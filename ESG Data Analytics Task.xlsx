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AKSHAY SOM\Documents\"/>
    </mc:Choice>
  </mc:AlternateContent>
  <xr:revisionPtr revIDLastSave="0" documentId="13_ncr:1_{A745E8DD-D71D-448D-867B-E4C5120B3F0B}" xr6:coauthVersionLast="47" xr6:coauthVersionMax="47" xr10:uidLastSave="{00000000-0000-0000-0000-000000000000}"/>
  <bookViews>
    <workbookView xWindow="-120" yWindow="-120" windowWidth="20730" windowHeight="11160" firstSheet="8" activeTab="9" xr2:uid="{7BD19213-EA67-4FB8-931D-7D824C154203}"/>
  </bookViews>
  <sheets>
    <sheet name="Emission Data" sheetId="1" r:id="rId1"/>
    <sheet name="Operational Data" sheetId="2" r:id="rId2"/>
    <sheet name="Supplier Data" sheetId="3" r:id="rId3"/>
    <sheet name="Regulatory Benchmarks" sheetId="4" r:id="rId4"/>
    <sheet name="Emission Data (2)" sheetId="7" r:id="rId5"/>
    <sheet name="Dashboard" sheetId="19" r:id="rId6"/>
    <sheet name="Quarterly Emission Trends by Fa" sheetId="12" r:id="rId7"/>
    <sheet name="Facility Emissions Comparison (" sheetId="13" r:id="rId8"/>
    <sheet name="Contribution of Scope" sheetId="14" r:id="rId9"/>
    <sheet name="Energy Consumption Trend" sheetId="20" r:id="rId10"/>
    <sheet name="Production Efficiency" sheetId="18" r:id="rId11"/>
    <sheet name="Sheet1" sheetId="5" r:id="rId12"/>
    <sheet name="Scatter Plot" sheetId="15" r:id="rId13"/>
  </sheets>
  <definedNames>
    <definedName name="_xlnm._FilterDatabase" localSheetId="0" hidden="1">'Emission Data'!$A$1:$F$2001</definedName>
    <definedName name="_xlnm._FilterDatabase" localSheetId="4" hidden="1">'Emission Data (2)'!$A$1:$J$2001</definedName>
    <definedName name="Slicer_Facility_Name">#N/A</definedName>
    <definedName name="Slicer_Facility_Name1">#N/A</definedName>
    <definedName name="Slicer_GHG_Type">#N/A</definedName>
    <definedName name="Slicer_GHG_Type1">#N/A</definedName>
    <definedName name="Slicer_Reporting_Period">#N/A</definedName>
    <definedName name="Slicer_Reporting_Period1">#N/A</definedName>
    <definedName name="Slicer_Scope">#N/A</definedName>
    <definedName name="Slicer_Scope1">#N/A</definedName>
  </definedNames>
  <calcPr calcId="191029"/>
  <pivotCaches>
    <pivotCache cacheId="0" r:id="rId14"/>
    <pivotCache cacheId="1" r:id="rId15"/>
    <pivotCache cacheId="2"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7" l="1"/>
  <c r="M2" i="7"/>
  <c r="B14" i="5"/>
  <c r="I2001" i="7"/>
  <c r="H2001" i="7"/>
  <c r="G2001" i="7"/>
  <c r="J2001" i="7" s="1"/>
  <c r="I2000" i="7"/>
  <c r="H2000" i="7"/>
  <c r="G2000" i="7"/>
  <c r="J2000" i="7" s="1"/>
  <c r="I1999" i="7"/>
  <c r="H1999" i="7"/>
  <c r="G1999" i="7"/>
  <c r="J1999" i="7" s="1"/>
  <c r="I1998" i="7"/>
  <c r="H1998" i="7"/>
  <c r="G1998" i="7"/>
  <c r="J1998" i="7" s="1"/>
  <c r="I1997" i="7"/>
  <c r="H1997" i="7"/>
  <c r="G1997" i="7"/>
  <c r="J1997" i="7" s="1"/>
  <c r="I1996" i="7"/>
  <c r="H1996" i="7"/>
  <c r="G1996" i="7"/>
  <c r="J1996" i="7" s="1"/>
  <c r="I1995" i="7"/>
  <c r="H1995" i="7"/>
  <c r="G1995" i="7"/>
  <c r="J1995" i="7" s="1"/>
  <c r="I1994" i="7"/>
  <c r="H1994" i="7"/>
  <c r="G1994" i="7"/>
  <c r="J1994" i="7" s="1"/>
  <c r="I1993" i="7"/>
  <c r="H1993" i="7"/>
  <c r="G1993" i="7"/>
  <c r="J1993" i="7" s="1"/>
  <c r="I1992" i="7"/>
  <c r="H1992" i="7"/>
  <c r="G1992" i="7"/>
  <c r="J1992" i="7" s="1"/>
  <c r="I1991" i="7"/>
  <c r="H1991" i="7"/>
  <c r="G1991" i="7"/>
  <c r="J1991" i="7" s="1"/>
  <c r="I1990" i="7"/>
  <c r="H1990" i="7"/>
  <c r="G1990" i="7"/>
  <c r="J1990" i="7" s="1"/>
  <c r="I1989" i="7"/>
  <c r="H1989" i="7"/>
  <c r="G1989" i="7"/>
  <c r="J1989" i="7" s="1"/>
  <c r="I1988" i="7"/>
  <c r="H1988" i="7"/>
  <c r="G1988" i="7"/>
  <c r="J1988" i="7" s="1"/>
  <c r="I1987" i="7"/>
  <c r="H1987" i="7"/>
  <c r="G1987" i="7"/>
  <c r="J1987" i="7" s="1"/>
  <c r="I1986" i="7"/>
  <c r="H1986" i="7"/>
  <c r="G1986" i="7"/>
  <c r="J1986" i="7" s="1"/>
  <c r="I1985" i="7"/>
  <c r="H1985" i="7"/>
  <c r="G1985" i="7"/>
  <c r="J1985" i="7" s="1"/>
  <c r="I1984" i="7"/>
  <c r="H1984" i="7"/>
  <c r="G1984" i="7"/>
  <c r="J1984" i="7" s="1"/>
  <c r="I1983" i="7"/>
  <c r="H1983" i="7"/>
  <c r="G1983" i="7"/>
  <c r="J1983" i="7" s="1"/>
  <c r="I1982" i="7"/>
  <c r="H1982" i="7"/>
  <c r="G1982" i="7"/>
  <c r="J1982" i="7" s="1"/>
  <c r="I1981" i="7"/>
  <c r="H1981" i="7"/>
  <c r="G1981" i="7"/>
  <c r="J1981" i="7" s="1"/>
  <c r="I1980" i="7"/>
  <c r="H1980" i="7"/>
  <c r="G1980" i="7"/>
  <c r="J1980" i="7" s="1"/>
  <c r="I1979" i="7"/>
  <c r="H1979" i="7"/>
  <c r="G1979" i="7"/>
  <c r="J1979" i="7" s="1"/>
  <c r="I1978" i="7"/>
  <c r="H1978" i="7"/>
  <c r="G1978" i="7"/>
  <c r="J1978" i="7" s="1"/>
  <c r="I1977" i="7"/>
  <c r="H1977" i="7"/>
  <c r="G1977" i="7"/>
  <c r="J1977" i="7" s="1"/>
  <c r="I1976" i="7"/>
  <c r="H1976" i="7"/>
  <c r="G1976" i="7"/>
  <c r="J1976" i="7" s="1"/>
  <c r="I1975" i="7"/>
  <c r="H1975" i="7"/>
  <c r="G1975" i="7"/>
  <c r="J1975" i="7" s="1"/>
  <c r="I1974" i="7"/>
  <c r="H1974" i="7"/>
  <c r="G1974" i="7"/>
  <c r="J1974" i="7" s="1"/>
  <c r="I1973" i="7"/>
  <c r="H1973" i="7"/>
  <c r="G1973" i="7"/>
  <c r="J1973" i="7" s="1"/>
  <c r="I1972" i="7"/>
  <c r="H1972" i="7"/>
  <c r="G1972" i="7"/>
  <c r="J1972" i="7" s="1"/>
  <c r="I1971" i="7"/>
  <c r="H1971" i="7"/>
  <c r="G1971" i="7"/>
  <c r="J1971" i="7" s="1"/>
  <c r="I1970" i="7"/>
  <c r="H1970" i="7"/>
  <c r="G1970" i="7"/>
  <c r="J1970" i="7" s="1"/>
  <c r="I1969" i="7"/>
  <c r="H1969" i="7"/>
  <c r="G1969" i="7"/>
  <c r="J1969" i="7" s="1"/>
  <c r="I1968" i="7"/>
  <c r="H1968" i="7"/>
  <c r="G1968" i="7"/>
  <c r="J1968" i="7" s="1"/>
  <c r="I1967" i="7"/>
  <c r="H1967" i="7"/>
  <c r="G1967" i="7"/>
  <c r="J1967" i="7" s="1"/>
  <c r="I1966" i="7"/>
  <c r="H1966" i="7"/>
  <c r="G1966" i="7"/>
  <c r="J1966" i="7" s="1"/>
  <c r="I1965" i="7"/>
  <c r="H1965" i="7"/>
  <c r="G1965" i="7"/>
  <c r="J1965" i="7" s="1"/>
  <c r="I1964" i="7"/>
  <c r="H1964" i="7"/>
  <c r="G1964" i="7"/>
  <c r="J1964" i="7" s="1"/>
  <c r="I1963" i="7"/>
  <c r="H1963" i="7"/>
  <c r="G1963" i="7"/>
  <c r="J1963" i="7" s="1"/>
  <c r="I1962" i="7"/>
  <c r="H1962" i="7"/>
  <c r="G1962" i="7"/>
  <c r="J1962" i="7" s="1"/>
  <c r="I1961" i="7"/>
  <c r="H1961" i="7"/>
  <c r="G1961" i="7"/>
  <c r="J1961" i="7" s="1"/>
  <c r="I1960" i="7"/>
  <c r="H1960" i="7"/>
  <c r="G1960" i="7"/>
  <c r="J1960" i="7" s="1"/>
  <c r="I1959" i="7"/>
  <c r="H1959" i="7"/>
  <c r="G1959" i="7"/>
  <c r="J1959" i="7" s="1"/>
  <c r="I1958" i="7"/>
  <c r="H1958" i="7"/>
  <c r="G1958" i="7"/>
  <c r="J1958" i="7" s="1"/>
  <c r="I1957" i="7"/>
  <c r="H1957" i="7"/>
  <c r="G1957" i="7"/>
  <c r="J1957" i="7" s="1"/>
  <c r="I1956" i="7"/>
  <c r="H1956" i="7"/>
  <c r="G1956" i="7"/>
  <c r="J1956" i="7" s="1"/>
  <c r="I1955" i="7"/>
  <c r="H1955" i="7"/>
  <c r="G1955" i="7"/>
  <c r="J1955" i="7" s="1"/>
  <c r="I1954" i="7"/>
  <c r="H1954" i="7"/>
  <c r="G1954" i="7"/>
  <c r="J1954" i="7" s="1"/>
  <c r="I1953" i="7"/>
  <c r="H1953" i="7"/>
  <c r="G1953" i="7"/>
  <c r="J1953" i="7" s="1"/>
  <c r="I1952" i="7"/>
  <c r="H1952" i="7"/>
  <c r="G1952" i="7"/>
  <c r="J1952" i="7" s="1"/>
  <c r="I1951" i="7"/>
  <c r="H1951" i="7"/>
  <c r="G1951" i="7"/>
  <c r="J1951" i="7" s="1"/>
  <c r="I1950" i="7"/>
  <c r="H1950" i="7"/>
  <c r="G1950" i="7"/>
  <c r="J1950" i="7" s="1"/>
  <c r="I1949" i="7"/>
  <c r="H1949" i="7"/>
  <c r="G1949" i="7"/>
  <c r="J1949" i="7" s="1"/>
  <c r="I1948" i="7"/>
  <c r="H1948" i="7"/>
  <c r="G1948" i="7"/>
  <c r="J1948" i="7" s="1"/>
  <c r="I1947" i="7"/>
  <c r="H1947" i="7"/>
  <c r="G1947" i="7"/>
  <c r="J1947" i="7" s="1"/>
  <c r="I1946" i="7"/>
  <c r="H1946" i="7"/>
  <c r="G1946" i="7"/>
  <c r="J1946" i="7" s="1"/>
  <c r="I1945" i="7"/>
  <c r="H1945" i="7"/>
  <c r="G1945" i="7"/>
  <c r="J1945" i="7" s="1"/>
  <c r="I1944" i="7"/>
  <c r="H1944" i="7"/>
  <c r="G1944" i="7"/>
  <c r="J1944" i="7" s="1"/>
  <c r="I1943" i="7"/>
  <c r="H1943" i="7"/>
  <c r="G1943" i="7"/>
  <c r="J1943" i="7" s="1"/>
  <c r="I1942" i="7"/>
  <c r="H1942" i="7"/>
  <c r="G1942" i="7"/>
  <c r="J1942" i="7" s="1"/>
  <c r="I1941" i="7"/>
  <c r="H1941" i="7"/>
  <c r="G1941" i="7"/>
  <c r="J1941" i="7" s="1"/>
  <c r="I1940" i="7"/>
  <c r="H1940" i="7"/>
  <c r="G1940" i="7"/>
  <c r="J1940" i="7" s="1"/>
  <c r="I1939" i="7"/>
  <c r="H1939" i="7"/>
  <c r="G1939" i="7"/>
  <c r="J1939" i="7" s="1"/>
  <c r="I1938" i="7"/>
  <c r="H1938" i="7"/>
  <c r="G1938" i="7"/>
  <c r="J1938" i="7" s="1"/>
  <c r="I1937" i="7"/>
  <c r="H1937" i="7"/>
  <c r="G1937" i="7"/>
  <c r="J1937" i="7" s="1"/>
  <c r="I1936" i="7"/>
  <c r="H1936" i="7"/>
  <c r="G1936" i="7"/>
  <c r="J1936" i="7" s="1"/>
  <c r="I1935" i="7"/>
  <c r="H1935" i="7"/>
  <c r="G1935" i="7"/>
  <c r="J1935" i="7" s="1"/>
  <c r="I1934" i="7"/>
  <c r="H1934" i="7"/>
  <c r="G1934" i="7"/>
  <c r="J1934" i="7" s="1"/>
  <c r="I1933" i="7"/>
  <c r="H1933" i="7"/>
  <c r="G1933" i="7"/>
  <c r="J1933" i="7" s="1"/>
  <c r="I1932" i="7"/>
  <c r="H1932" i="7"/>
  <c r="G1932" i="7"/>
  <c r="J1932" i="7" s="1"/>
  <c r="I1931" i="7"/>
  <c r="H1931" i="7"/>
  <c r="G1931" i="7"/>
  <c r="J1931" i="7" s="1"/>
  <c r="I1930" i="7"/>
  <c r="H1930" i="7"/>
  <c r="G1930" i="7"/>
  <c r="J1930" i="7" s="1"/>
  <c r="I1929" i="7"/>
  <c r="H1929" i="7"/>
  <c r="G1929" i="7"/>
  <c r="J1929" i="7" s="1"/>
  <c r="I1928" i="7"/>
  <c r="H1928" i="7"/>
  <c r="G1928" i="7"/>
  <c r="J1928" i="7" s="1"/>
  <c r="I1927" i="7"/>
  <c r="H1927" i="7"/>
  <c r="G1927" i="7"/>
  <c r="J1927" i="7" s="1"/>
  <c r="I1926" i="7"/>
  <c r="H1926" i="7"/>
  <c r="G1926" i="7"/>
  <c r="J1926" i="7" s="1"/>
  <c r="I1925" i="7"/>
  <c r="H1925" i="7"/>
  <c r="G1925" i="7"/>
  <c r="J1925" i="7" s="1"/>
  <c r="I1924" i="7"/>
  <c r="H1924" i="7"/>
  <c r="G1924" i="7"/>
  <c r="J1924" i="7" s="1"/>
  <c r="I1923" i="7"/>
  <c r="H1923" i="7"/>
  <c r="G1923" i="7"/>
  <c r="J1923" i="7" s="1"/>
  <c r="I1922" i="7"/>
  <c r="H1922" i="7"/>
  <c r="G1922" i="7"/>
  <c r="J1922" i="7" s="1"/>
  <c r="I1921" i="7"/>
  <c r="H1921" i="7"/>
  <c r="G1921" i="7"/>
  <c r="J1921" i="7" s="1"/>
  <c r="I1920" i="7"/>
  <c r="H1920" i="7"/>
  <c r="G1920" i="7"/>
  <c r="J1920" i="7" s="1"/>
  <c r="I1919" i="7"/>
  <c r="H1919" i="7"/>
  <c r="G1919" i="7"/>
  <c r="J1919" i="7" s="1"/>
  <c r="I1918" i="7"/>
  <c r="H1918" i="7"/>
  <c r="G1918" i="7"/>
  <c r="J1918" i="7" s="1"/>
  <c r="I1917" i="7"/>
  <c r="H1917" i="7"/>
  <c r="G1917" i="7"/>
  <c r="J1917" i="7" s="1"/>
  <c r="I1916" i="7"/>
  <c r="H1916" i="7"/>
  <c r="G1916" i="7"/>
  <c r="J1916" i="7" s="1"/>
  <c r="I1915" i="7"/>
  <c r="H1915" i="7"/>
  <c r="G1915" i="7"/>
  <c r="J1915" i="7" s="1"/>
  <c r="I1914" i="7"/>
  <c r="H1914" i="7"/>
  <c r="G1914" i="7"/>
  <c r="J1914" i="7" s="1"/>
  <c r="I1913" i="7"/>
  <c r="H1913" i="7"/>
  <c r="G1913" i="7"/>
  <c r="J1913" i="7" s="1"/>
  <c r="I1912" i="7"/>
  <c r="H1912" i="7"/>
  <c r="G1912" i="7"/>
  <c r="J1912" i="7" s="1"/>
  <c r="I1911" i="7"/>
  <c r="H1911" i="7"/>
  <c r="G1911" i="7"/>
  <c r="J1911" i="7" s="1"/>
  <c r="I1910" i="7"/>
  <c r="H1910" i="7"/>
  <c r="G1910" i="7"/>
  <c r="J1910" i="7" s="1"/>
  <c r="I1909" i="7"/>
  <c r="H1909" i="7"/>
  <c r="G1909" i="7"/>
  <c r="J1909" i="7" s="1"/>
  <c r="I1908" i="7"/>
  <c r="H1908" i="7"/>
  <c r="G1908" i="7"/>
  <c r="J1908" i="7" s="1"/>
  <c r="I1907" i="7"/>
  <c r="H1907" i="7"/>
  <c r="G1907" i="7"/>
  <c r="J1907" i="7" s="1"/>
  <c r="I1906" i="7"/>
  <c r="H1906" i="7"/>
  <c r="G1906" i="7"/>
  <c r="J1906" i="7" s="1"/>
  <c r="I1905" i="7"/>
  <c r="H1905" i="7"/>
  <c r="G1905" i="7"/>
  <c r="J1905" i="7" s="1"/>
  <c r="I1904" i="7"/>
  <c r="H1904" i="7"/>
  <c r="G1904" i="7"/>
  <c r="J1904" i="7" s="1"/>
  <c r="I1903" i="7"/>
  <c r="H1903" i="7"/>
  <c r="G1903" i="7"/>
  <c r="J1903" i="7" s="1"/>
  <c r="I1902" i="7"/>
  <c r="H1902" i="7"/>
  <c r="G1902" i="7"/>
  <c r="J1902" i="7" s="1"/>
  <c r="I1901" i="7"/>
  <c r="H1901" i="7"/>
  <c r="G1901" i="7"/>
  <c r="J1901" i="7" s="1"/>
  <c r="I1900" i="7"/>
  <c r="H1900" i="7"/>
  <c r="G1900" i="7"/>
  <c r="J1900" i="7" s="1"/>
  <c r="I1899" i="7"/>
  <c r="H1899" i="7"/>
  <c r="G1899" i="7"/>
  <c r="J1899" i="7" s="1"/>
  <c r="I1898" i="7"/>
  <c r="H1898" i="7"/>
  <c r="G1898" i="7"/>
  <c r="J1898" i="7" s="1"/>
  <c r="I1897" i="7"/>
  <c r="H1897" i="7"/>
  <c r="G1897" i="7"/>
  <c r="J1897" i="7" s="1"/>
  <c r="I1896" i="7"/>
  <c r="H1896" i="7"/>
  <c r="G1896" i="7"/>
  <c r="J1896" i="7" s="1"/>
  <c r="I1895" i="7"/>
  <c r="H1895" i="7"/>
  <c r="G1895" i="7"/>
  <c r="J1895" i="7" s="1"/>
  <c r="I1894" i="7"/>
  <c r="H1894" i="7"/>
  <c r="G1894" i="7"/>
  <c r="J1894" i="7" s="1"/>
  <c r="I1893" i="7"/>
  <c r="H1893" i="7"/>
  <c r="G1893" i="7"/>
  <c r="J1893" i="7" s="1"/>
  <c r="I1892" i="7"/>
  <c r="H1892" i="7"/>
  <c r="G1892" i="7"/>
  <c r="J1892" i="7" s="1"/>
  <c r="I1891" i="7"/>
  <c r="H1891" i="7"/>
  <c r="G1891" i="7"/>
  <c r="J1891" i="7" s="1"/>
  <c r="I1890" i="7"/>
  <c r="H1890" i="7"/>
  <c r="G1890" i="7"/>
  <c r="J1890" i="7" s="1"/>
  <c r="I1889" i="7"/>
  <c r="H1889" i="7"/>
  <c r="G1889" i="7"/>
  <c r="J1889" i="7" s="1"/>
  <c r="I1888" i="7"/>
  <c r="H1888" i="7"/>
  <c r="G1888" i="7"/>
  <c r="J1888" i="7" s="1"/>
  <c r="I1887" i="7"/>
  <c r="H1887" i="7"/>
  <c r="G1887" i="7"/>
  <c r="J1887" i="7" s="1"/>
  <c r="I1886" i="7"/>
  <c r="H1886" i="7"/>
  <c r="G1886" i="7"/>
  <c r="J1886" i="7" s="1"/>
  <c r="I1885" i="7"/>
  <c r="H1885" i="7"/>
  <c r="G1885" i="7"/>
  <c r="J1885" i="7" s="1"/>
  <c r="I1884" i="7"/>
  <c r="H1884" i="7"/>
  <c r="G1884" i="7"/>
  <c r="J1884" i="7" s="1"/>
  <c r="I1883" i="7"/>
  <c r="H1883" i="7"/>
  <c r="G1883" i="7"/>
  <c r="J1883" i="7" s="1"/>
  <c r="I1882" i="7"/>
  <c r="H1882" i="7"/>
  <c r="G1882" i="7"/>
  <c r="J1882" i="7" s="1"/>
  <c r="I1881" i="7"/>
  <c r="H1881" i="7"/>
  <c r="G1881" i="7"/>
  <c r="J1881" i="7" s="1"/>
  <c r="I1880" i="7"/>
  <c r="H1880" i="7"/>
  <c r="G1880" i="7"/>
  <c r="J1880" i="7" s="1"/>
  <c r="I1879" i="7"/>
  <c r="H1879" i="7"/>
  <c r="G1879" i="7"/>
  <c r="J1879" i="7" s="1"/>
  <c r="I1878" i="7"/>
  <c r="H1878" i="7"/>
  <c r="G1878" i="7"/>
  <c r="J1878" i="7" s="1"/>
  <c r="I1877" i="7"/>
  <c r="H1877" i="7"/>
  <c r="G1877" i="7"/>
  <c r="J1877" i="7" s="1"/>
  <c r="I1876" i="7"/>
  <c r="H1876" i="7"/>
  <c r="G1876" i="7"/>
  <c r="J1876" i="7" s="1"/>
  <c r="I1875" i="7"/>
  <c r="H1875" i="7"/>
  <c r="G1875" i="7"/>
  <c r="J1875" i="7" s="1"/>
  <c r="I1874" i="7"/>
  <c r="H1874" i="7"/>
  <c r="G1874" i="7"/>
  <c r="J1874" i="7" s="1"/>
  <c r="I1873" i="7"/>
  <c r="H1873" i="7"/>
  <c r="G1873" i="7"/>
  <c r="J1873" i="7" s="1"/>
  <c r="I1872" i="7"/>
  <c r="H1872" i="7"/>
  <c r="G1872" i="7"/>
  <c r="J1872" i="7" s="1"/>
  <c r="I1871" i="7"/>
  <c r="H1871" i="7"/>
  <c r="G1871" i="7"/>
  <c r="J1871" i="7" s="1"/>
  <c r="I1870" i="7"/>
  <c r="H1870" i="7"/>
  <c r="G1870" i="7"/>
  <c r="J1870" i="7" s="1"/>
  <c r="I1869" i="7"/>
  <c r="H1869" i="7"/>
  <c r="G1869" i="7"/>
  <c r="J1869" i="7" s="1"/>
  <c r="I1868" i="7"/>
  <c r="H1868" i="7"/>
  <c r="G1868" i="7"/>
  <c r="J1868" i="7" s="1"/>
  <c r="I1867" i="7"/>
  <c r="H1867" i="7"/>
  <c r="G1867" i="7"/>
  <c r="J1867" i="7" s="1"/>
  <c r="I1866" i="7"/>
  <c r="H1866" i="7"/>
  <c r="G1866" i="7"/>
  <c r="J1866" i="7" s="1"/>
  <c r="I1865" i="7"/>
  <c r="H1865" i="7"/>
  <c r="G1865" i="7"/>
  <c r="J1865" i="7" s="1"/>
  <c r="I1864" i="7"/>
  <c r="H1864" i="7"/>
  <c r="G1864" i="7"/>
  <c r="J1864" i="7" s="1"/>
  <c r="I1863" i="7"/>
  <c r="H1863" i="7"/>
  <c r="G1863" i="7"/>
  <c r="J1863" i="7" s="1"/>
  <c r="I1862" i="7"/>
  <c r="H1862" i="7"/>
  <c r="G1862" i="7"/>
  <c r="J1862" i="7" s="1"/>
  <c r="I1861" i="7"/>
  <c r="H1861" i="7"/>
  <c r="G1861" i="7"/>
  <c r="J1861" i="7" s="1"/>
  <c r="I1860" i="7"/>
  <c r="H1860" i="7"/>
  <c r="G1860" i="7"/>
  <c r="J1860" i="7" s="1"/>
  <c r="I1859" i="7"/>
  <c r="H1859" i="7"/>
  <c r="G1859" i="7"/>
  <c r="J1859" i="7" s="1"/>
  <c r="I1858" i="7"/>
  <c r="H1858" i="7"/>
  <c r="G1858" i="7"/>
  <c r="J1858" i="7" s="1"/>
  <c r="I1857" i="7"/>
  <c r="H1857" i="7"/>
  <c r="G1857" i="7"/>
  <c r="J1857" i="7" s="1"/>
  <c r="I1856" i="7"/>
  <c r="H1856" i="7"/>
  <c r="G1856" i="7"/>
  <c r="J1856" i="7" s="1"/>
  <c r="I1855" i="7"/>
  <c r="H1855" i="7"/>
  <c r="G1855" i="7"/>
  <c r="J1855" i="7" s="1"/>
  <c r="I1854" i="7"/>
  <c r="H1854" i="7"/>
  <c r="G1854" i="7"/>
  <c r="J1854" i="7" s="1"/>
  <c r="I1853" i="7"/>
  <c r="H1853" i="7"/>
  <c r="G1853" i="7"/>
  <c r="J1853" i="7" s="1"/>
  <c r="I1852" i="7"/>
  <c r="H1852" i="7"/>
  <c r="G1852" i="7"/>
  <c r="J1852" i="7" s="1"/>
  <c r="I1851" i="7"/>
  <c r="H1851" i="7"/>
  <c r="G1851" i="7"/>
  <c r="J1851" i="7" s="1"/>
  <c r="I1850" i="7"/>
  <c r="H1850" i="7"/>
  <c r="G1850" i="7"/>
  <c r="J1850" i="7" s="1"/>
  <c r="I1849" i="7"/>
  <c r="H1849" i="7"/>
  <c r="G1849" i="7"/>
  <c r="J1849" i="7" s="1"/>
  <c r="I1848" i="7"/>
  <c r="H1848" i="7"/>
  <c r="G1848" i="7"/>
  <c r="J1848" i="7" s="1"/>
  <c r="I1847" i="7"/>
  <c r="H1847" i="7"/>
  <c r="G1847" i="7"/>
  <c r="J1847" i="7" s="1"/>
  <c r="I1846" i="7"/>
  <c r="H1846" i="7"/>
  <c r="G1846" i="7"/>
  <c r="J1846" i="7" s="1"/>
  <c r="I1845" i="7"/>
  <c r="H1845" i="7"/>
  <c r="G1845" i="7"/>
  <c r="J1845" i="7" s="1"/>
  <c r="I1844" i="7"/>
  <c r="H1844" i="7"/>
  <c r="G1844" i="7"/>
  <c r="J1844" i="7" s="1"/>
  <c r="I1843" i="7"/>
  <c r="H1843" i="7"/>
  <c r="G1843" i="7"/>
  <c r="J1843" i="7" s="1"/>
  <c r="I1842" i="7"/>
  <c r="H1842" i="7"/>
  <c r="G1842" i="7"/>
  <c r="J1842" i="7" s="1"/>
  <c r="I1841" i="7"/>
  <c r="H1841" i="7"/>
  <c r="G1841" i="7"/>
  <c r="J1841" i="7" s="1"/>
  <c r="I1840" i="7"/>
  <c r="H1840" i="7"/>
  <c r="G1840" i="7"/>
  <c r="J1840" i="7" s="1"/>
  <c r="I1839" i="7"/>
  <c r="H1839" i="7"/>
  <c r="G1839" i="7"/>
  <c r="J1839" i="7" s="1"/>
  <c r="I1838" i="7"/>
  <c r="H1838" i="7"/>
  <c r="G1838" i="7"/>
  <c r="J1838" i="7" s="1"/>
  <c r="I1837" i="7"/>
  <c r="H1837" i="7"/>
  <c r="G1837" i="7"/>
  <c r="J1837" i="7" s="1"/>
  <c r="I1836" i="7"/>
  <c r="H1836" i="7"/>
  <c r="G1836" i="7"/>
  <c r="J1836" i="7" s="1"/>
  <c r="I1835" i="7"/>
  <c r="H1835" i="7"/>
  <c r="G1835" i="7"/>
  <c r="J1835" i="7" s="1"/>
  <c r="I1834" i="7"/>
  <c r="H1834" i="7"/>
  <c r="G1834" i="7"/>
  <c r="J1834" i="7" s="1"/>
  <c r="I1833" i="7"/>
  <c r="H1833" i="7"/>
  <c r="G1833" i="7"/>
  <c r="J1833" i="7" s="1"/>
  <c r="I1832" i="7"/>
  <c r="H1832" i="7"/>
  <c r="G1832" i="7"/>
  <c r="J1832" i="7" s="1"/>
  <c r="I1831" i="7"/>
  <c r="H1831" i="7"/>
  <c r="G1831" i="7"/>
  <c r="J1831" i="7" s="1"/>
  <c r="I1830" i="7"/>
  <c r="H1830" i="7"/>
  <c r="G1830" i="7"/>
  <c r="J1830" i="7" s="1"/>
  <c r="I1829" i="7"/>
  <c r="H1829" i="7"/>
  <c r="G1829" i="7"/>
  <c r="J1829" i="7" s="1"/>
  <c r="I1828" i="7"/>
  <c r="H1828" i="7"/>
  <c r="G1828" i="7"/>
  <c r="J1828" i="7" s="1"/>
  <c r="I1827" i="7"/>
  <c r="H1827" i="7"/>
  <c r="G1827" i="7"/>
  <c r="J1827" i="7" s="1"/>
  <c r="I1826" i="7"/>
  <c r="H1826" i="7"/>
  <c r="G1826" i="7"/>
  <c r="J1826" i="7" s="1"/>
  <c r="I1825" i="7"/>
  <c r="H1825" i="7"/>
  <c r="G1825" i="7"/>
  <c r="J1825" i="7" s="1"/>
  <c r="I1824" i="7"/>
  <c r="H1824" i="7"/>
  <c r="G1824" i="7"/>
  <c r="J1824" i="7" s="1"/>
  <c r="I1823" i="7"/>
  <c r="H1823" i="7"/>
  <c r="G1823" i="7"/>
  <c r="J1823" i="7" s="1"/>
  <c r="I1822" i="7"/>
  <c r="H1822" i="7"/>
  <c r="G1822" i="7"/>
  <c r="J1822" i="7" s="1"/>
  <c r="I1821" i="7"/>
  <c r="H1821" i="7"/>
  <c r="G1821" i="7"/>
  <c r="J1821" i="7" s="1"/>
  <c r="I1820" i="7"/>
  <c r="H1820" i="7"/>
  <c r="G1820" i="7"/>
  <c r="J1820" i="7" s="1"/>
  <c r="I1819" i="7"/>
  <c r="H1819" i="7"/>
  <c r="G1819" i="7"/>
  <c r="J1819" i="7" s="1"/>
  <c r="I1818" i="7"/>
  <c r="H1818" i="7"/>
  <c r="G1818" i="7"/>
  <c r="J1818" i="7" s="1"/>
  <c r="I1817" i="7"/>
  <c r="H1817" i="7"/>
  <c r="G1817" i="7"/>
  <c r="J1817" i="7" s="1"/>
  <c r="I1816" i="7"/>
  <c r="H1816" i="7"/>
  <c r="G1816" i="7"/>
  <c r="J1816" i="7" s="1"/>
  <c r="I1815" i="7"/>
  <c r="H1815" i="7"/>
  <c r="G1815" i="7"/>
  <c r="J1815" i="7" s="1"/>
  <c r="I1814" i="7"/>
  <c r="H1814" i="7"/>
  <c r="G1814" i="7"/>
  <c r="J1814" i="7" s="1"/>
  <c r="I1813" i="7"/>
  <c r="H1813" i="7"/>
  <c r="G1813" i="7"/>
  <c r="J1813" i="7" s="1"/>
  <c r="I1812" i="7"/>
  <c r="H1812" i="7"/>
  <c r="G1812" i="7"/>
  <c r="J1812" i="7" s="1"/>
  <c r="I1811" i="7"/>
  <c r="H1811" i="7"/>
  <c r="G1811" i="7"/>
  <c r="J1811" i="7" s="1"/>
  <c r="I1810" i="7"/>
  <c r="H1810" i="7"/>
  <c r="G1810" i="7"/>
  <c r="J1810" i="7" s="1"/>
  <c r="I1809" i="7"/>
  <c r="H1809" i="7"/>
  <c r="G1809" i="7"/>
  <c r="J1809" i="7" s="1"/>
  <c r="I1808" i="7"/>
  <c r="H1808" i="7"/>
  <c r="G1808" i="7"/>
  <c r="J1808" i="7" s="1"/>
  <c r="I1807" i="7"/>
  <c r="H1807" i="7"/>
  <c r="G1807" i="7"/>
  <c r="J1807" i="7" s="1"/>
  <c r="I1806" i="7"/>
  <c r="H1806" i="7"/>
  <c r="G1806" i="7"/>
  <c r="J1806" i="7" s="1"/>
  <c r="I1805" i="7"/>
  <c r="H1805" i="7"/>
  <c r="G1805" i="7"/>
  <c r="J1805" i="7" s="1"/>
  <c r="I1804" i="7"/>
  <c r="H1804" i="7"/>
  <c r="G1804" i="7"/>
  <c r="J1804" i="7" s="1"/>
  <c r="I1803" i="7"/>
  <c r="H1803" i="7"/>
  <c r="G1803" i="7"/>
  <c r="J1803" i="7" s="1"/>
  <c r="I1802" i="7"/>
  <c r="H1802" i="7"/>
  <c r="G1802" i="7"/>
  <c r="J1802" i="7" s="1"/>
  <c r="I1801" i="7"/>
  <c r="H1801" i="7"/>
  <c r="G1801" i="7"/>
  <c r="J1801" i="7" s="1"/>
  <c r="I1800" i="7"/>
  <c r="H1800" i="7"/>
  <c r="G1800" i="7"/>
  <c r="J1800" i="7" s="1"/>
  <c r="I1799" i="7"/>
  <c r="H1799" i="7"/>
  <c r="G1799" i="7"/>
  <c r="J1799" i="7" s="1"/>
  <c r="I1798" i="7"/>
  <c r="H1798" i="7"/>
  <c r="G1798" i="7"/>
  <c r="J1798" i="7" s="1"/>
  <c r="I1797" i="7"/>
  <c r="H1797" i="7"/>
  <c r="G1797" i="7"/>
  <c r="J1797" i="7" s="1"/>
  <c r="I1796" i="7"/>
  <c r="H1796" i="7"/>
  <c r="G1796" i="7"/>
  <c r="J1796" i="7" s="1"/>
  <c r="I1795" i="7"/>
  <c r="H1795" i="7"/>
  <c r="G1795" i="7"/>
  <c r="J1795" i="7" s="1"/>
  <c r="I1794" i="7"/>
  <c r="H1794" i="7"/>
  <c r="G1794" i="7"/>
  <c r="J1794" i="7" s="1"/>
  <c r="I1793" i="7"/>
  <c r="H1793" i="7"/>
  <c r="G1793" i="7"/>
  <c r="J1793" i="7" s="1"/>
  <c r="I1792" i="7"/>
  <c r="H1792" i="7"/>
  <c r="G1792" i="7"/>
  <c r="J1792" i="7" s="1"/>
  <c r="I1791" i="7"/>
  <c r="H1791" i="7"/>
  <c r="G1791" i="7"/>
  <c r="J1791" i="7" s="1"/>
  <c r="I1790" i="7"/>
  <c r="H1790" i="7"/>
  <c r="G1790" i="7"/>
  <c r="J1790" i="7" s="1"/>
  <c r="I1789" i="7"/>
  <c r="H1789" i="7"/>
  <c r="G1789" i="7"/>
  <c r="J1789" i="7" s="1"/>
  <c r="I1788" i="7"/>
  <c r="H1788" i="7"/>
  <c r="G1788" i="7"/>
  <c r="J1788" i="7" s="1"/>
  <c r="I1787" i="7"/>
  <c r="H1787" i="7"/>
  <c r="G1787" i="7"/>
  <c r="J1787" i="7" s="1"/>
  <c r="I1786" i="7"/>
  <c r="H1786" i="7"/>
  <c r="G1786" i="7"/>
  <c r="J1786" i="7" s="1"/>
  <c r="I1785" i="7"/>
  <c r="H1785" i="7"/>
  <c r="G1785" i="7"/>
  <c r="J1785" i="7" s="1"/>
  <c r="I1784" i="7"/>
  <c r="H1784" i="7"/>
  <c r="G1784" i="7"/>
  <c r="J1784" i="7" s="1"/>
  <c r="I1783" i="7"/>
  <c r="H1783" i="7"/>
  <c r="G1783" i="7"/>
  <c r="J1783" i="7" s="1"/>
  <c r="I1782" i="7"/>
  <c r="H1782" i="7"/>
  <c r="G1782" i="7"/>
  <c r="J1782" i="7" s="1"/>
  <c r="I1781" i="7"/>
  <c r="H1781" i="7"/>
  <c r="G1781" i="7"/>
  <c r="J1781" i="7" s="1"/>
  <c r="I1780" i="7"/>
  <c r="H1780" i="7"/>
  <c r="G1780" i="7"/>
  <c r="J1780" i="7" s="1"/>
  <c r="I1779" i="7"/>
  <c r="H1779" i="7"/>
  <c r="G1779" i="7"/>
  <c r="J1779" i="7" s="1"/>
  <c r="I1778" i="7"/>
  <c r="H1778" i="7"/>
  <c r="G1778" i="7"/>
  <c r="J1778" i="7" s="1"/>
  <c r="I1777" i="7"/>
  <c r="H1777" i="7"/>
  <c r="G1777" i="7"/>
  <c r="J1777" i="7" s="1"/>
  <c r="I1776" i="7"/>
  <c r="H1776" i="7"/>
  <c r="G1776" i="7"/>
  <c r="J1776" i="7" s="1"/>
  <c r="I1775" i="7"/>
  <c r="H1775" i="7"/>
  <c r="G1775" i="7"/>
  <c r="J1775" i="7" s="1"/>
  <c r="I1774" i="7"/>
  <c r="H1774" i="7"/>
  <c r="G1774" i="7"/>
  <c r="J1774" i="7" s="1"/>
  <c r="I1773" i="7"/>
  <c r="H1773" i="7"/>
  <c r="G1773" i="7"/>
  <c r="J1773" i="7" s="1"/>
  <c r="I1772" i="7"/>
  <c r="H1772" i="7"/>
  <c r="G1772" i="7"/>
  <c r="J1772" i="7" s="1"/>
  <c r="I1771" i="7"/>
  <c r="H1771" i="7"/>
  <c r="G1771" i="7"/>
  <c r="J1771" i="7" s="1"/>
  <c r="I1770" i="7"/>
  <c r="H1770" i="7"/>
  <c r="G1770" i="7"/>
  <c r="J1770" i="7" s="1"/>
  <c r="I1769" i="7"/>
  <c r="H1769" i="7"/>
  <c r="G1769" i="7"/>
  <c r="J1769" i="7" s="1"/>
  <c r="I1768" i="7"/>
  <c r="H1768" i="7"/>
  <c r="G1768" i="7"/>
  <c r="J1768" i="7" s="1"/>
  <c r="I1767" i="7"/>
  <c r="H1767" i="7"/>
  <c r="G1767" i="7"/>
  <c r="J1767" i="7" s="1"/>
  <c r="I1766" i="7"/>
  <c r="H1766" i="7"/>
  <c r="G1766" i="7"/>
  <c r="J1766" i="7" s="1"/>
  <c r="I1765" i="7"/>
  <c r="H1765" i="7"/>
  <c r="G1765" i="7"/>
  <c r="J1765" i="7" s="1"/>
  <c r="I1764" i="7"/>
  <c r="H1764" i="7"/>
  <c r="G1764" i="7"/>
  <c r="J1764" i="7" s="1"/>
  <c r="I1763" i="7"/>
  <c r="H1763" i="7"/>
  <c r="G1763" i="7"/>
  <c r="J1763" i="7" s="1"/>
  <c r="I1762" i="7"/>
  <c r="H1762" i="7"/>
  <c r="G1762" i="7"/>
  <c r="J1762" i="7" s="1"/>
  <c r="I1761" i="7"/>
  <c r="H1761" i="7"/>
  <c r="G1761" i="7"/>
  <c r="J1761" i="7" s="1"/>
  <c r="I1760" i="7"/>
  <c r="H1760" i="7"/>
  <c r="G1760" i="7"/>
  <c r="J1760" i="7" s="1"/>
  <c r="I1759" i="7"/>
  <c r="H1759" i="7"/>
  <c r="G1759" i="7"/>
  <c r="J1759" i="7" s="1"/>
  <c r="I1758" i="7"/>
  <c r="H1758" i="7"/>
  <c r="G1758" i="7"/>
  <c r="J1758" i="7" s="1"/>
  <c r="I1757" i="7"/>
  <c r="H1757" i="7"/>
  <c r="G1757" i="7"/>
  <c r="J1757" i="7" s="1"/>
  <c r="I1756" i="7"/>
  <c r="H1756" i="7"/>
  <c r="G1756" i="7"/>
  <c r="J1756" i="7" s="1"/>
  <c r="I1755" i="7"/>
  <c r="H1755" i="7"/>
  <c r="G1755" i="7"/>
  <c r="J1755" i="7" s="1"/>
  <c r="I1754" i="7"/>
  <c r="H1754" i="7"/>
  <c r="G1754" i="7"/>
  <c r="J1754" i="7" s="1"/>
  <c r="I1753" i="7"/>
  <c r="H1753" i="7"/>
  <c r="G1753" i="7"/>
  <c r="J1753" i="7" s="1"/>
  <c r="I1752" i="7"/>
  <c r="H1752" i="7"/>
  <c r="G1752" i="7"/>
  <c r="J1752" i="7" s="1"/>
  <c r="I1751" i="7"/>
  <c r="H1751" i="7"/>
  <c r="G1751" i="7"/>
  <c r="J1751" i="7" s="1"/>
  <c r="I1750" i="7"/>
  <c r="H1750" i="7"/>
  <c r="G1750" i="7"/>
  <c r="J1750" i="7" s="1"/>
  <c r="I1749" i="7"/>
  <c r="H1749" i="7"/>
  <c r="G1749" i="7"/>
  <c r="J1749" i="7" s="1"/>
  <c r="I1748" i="7"/>
  <c r="H1748" i="7"/>
  <c r="G1748" i="7"/>
  <c r="J1748" i="7" s="1"/>
  <c r="I1747" i="7"/>
  <c r="H1747" i="7"/>
  <c r="G1747" i="7"/>
  <c r="J1747" i="7" s="1"/>
  <c r="I1746" i="7"/>
  <c r="H1746" i="7"/>
  <c r="G1746" i="7"/>
  <c r="J1746" i="7" s="1"/>
  <c r="I1745" i="7"/>
  <c r="H1745" i="7"/>
  <c r="G1745" i="7"/>
  <c r="J1745" i="7" s="1"/>
  <c r="I1744" i="7"/>
  <c r="H1744" i="7"/>
  <c r="G1744" i="7"/>
  <c r="J1744" i="7" s="1"/>
  <c r="I1743" i="7"/>
  <c r="H1743" i="7"/>
  <c r="G1743" i="7"/>
  <c r="J1743" i="7" s="1"/>
  <c r="I1742" i="7"/>
  <c r="H1742" i="7"/>
  <c r="G1742" i="7"/>
  <c r="J1742" i="7" s="1"/>
  <c r="I1741" i="7"/>
  <c r="H1741" i="7"/>
  <c r="G1741" i="7"/>
  <c r="J1741" i="7" s="1"/>
  <c r="I1740" i="7"/>
  <c r="H1740" i="7"/>
  <c r="G1740" i="7"/>
  <c r="J1740" i="7" s="1"/>
  <c r="I1739" i="7"/>
  <c r="H1739" i="7"/>
  <c r="G1739" i="7"/>
  <c r="J1739" i="7" s="1"/>
  <c r="I1738" i="7"/>
  <c r="H1738" i="7"/>
  <c r="G1738" i="7"/>
  <c r="J1738" i="7" s="1"/>
  <c r="I1737" i="7"/>
  <c r="H1737" i="7"/>
  <c r="G1737" i="7"/>
  <c r="J1737" i="7" s="1"/>
  <c r="I1736" i="7"/>
  <c r="H1736" i="7"/>
  <c r="G1736" i="7"/>
  <c r="J1736" i="7" s="1"/>
  <c r="I1735" i="7"/>
  <c r="H1735" i="7"/>
  <c r="G1735" i="7"/>
  <c r="J1735" i="7" s="1"/>
  <c r="I1734" i="7"/>
  <c r="H1734" i="7"/>
  <c r="G1734" i="7"/>
  <c r="J1734" i="7" s="1"/>
  <c r="I1733" i="7"/>
  <c r="H1733" i="7"/>
  <c r="G1733" i="7"/>
  <c r="J1733" i="7" s="1"/>
  <c r="I1732" i="7"/>
  <c r="H1732" i="7"/>
  <c r="G1732" i="7"/>
  <c r="J1732" i="7" s="1"/>
  <c r="I1731" i="7"/>
  <c r="H1731" i="7"/>
  <c r="G1731" i="7"/>
  <c r="J1731" i="7" s="1"/>
  <c r="I1730" i="7"/>
  <c r="H1730" i="7"/>
  <c r="G1730" i="7"/>
  <c r="J1730" i="7" s="1"/>
  <c r="I1729" i="7"/>
  <c r="H1729" i="7"/>
  <c r="G1729" i="7"/>
  <c r="J1729" i="7" s="1"/>
  <c r="I1728" i="7"/>
  <c r="H1728" i="7"/>
  <c r="G1728" i="7"/>
  <c r="J1728" i="7" s="1"/>
  <c r="I1727" i="7"/>
  <c r="H1727" i="7"/>
  <c r="G1727" i="7"/>
  <c r="J1727" i="7" s="1"/>
  <c r="I1726" i="7"/>
  <c r="H1726" i="7"/>
  <c r="G1726" i="7"/>
  <c r="J1726" i="7" s="1"/>
  <c r="I1725" i="7"/>
  <c r="H1725" i="7"/>
  <c r="G1725" i="7"/>
  <c r="J1725" i="7" s="1"/>
  <c r="I1724" i="7"/>
  <c r="H1724" i="7"/>
  <c r="G1724" i="7"/>
  <c r="J1724" i="7" s="1"/>
  <c r="I1723" i="7"/>
  <c r="H1723" i="7"/>
  <c r="G1723" i="7"/>
  <c r="J1723" i="7" s="1"/>
  <c r="I1722" i="7"/>
  <c r="H1722" i="7"/>
  <c r="G1722" i="7"/>
  <c r="J1722" i="7" s="1"/>
  <c r="I1721" i="7"/>
  <c r="H1721" i="7"/>
  <c r="G1721" i="7"/>
  <c r="J1721" i="7" s="1"/>
  <c r="I1720" i="7"/>
  <c r="H1720" i="7"/>
  <c r="G1720" i="7"/>
  <c r="J1720" i="7" s="1"/>
  <c r="I1719" i="7"/>
  <c r="H1719" i="7"/>
  <c r="G1719" i="7"/>
  <c r="J1719" i="7" s="1"/>
  <c r="I1718" i="7"/>
  <c r="H1718" i="7"/>
  <c r="G1718" i="7"/>
  <c r="J1718" i="7" s="1"/>
  <c r="I1717" i="7"/>
  <c r="H1717" i="7"/>
  <c r="G1717" i="7"/>
  <c r="J1717" i="7" s="1"/>
  <c r="I1716" i="7"/>
  <c r="H1716" i="7"/>
  <c r="G1716" i="7"/>
  <c r="J1716" i="7" s="1"/>
  <c r="I1715" i="7"/>
  <c r="H1715" i="7"/>
  <c r="G1715" i="7"/>
  <c r="J1715" i="7" s="1"/>
  <c r="I1714" i="7"/>
  <c r="H1714" i="7"/>
  <c r="G1714" i="7"/>
  <c r="J1714" i="7" s="1"/>
  <c r="I1713" i="7"/>
  <c r="H1713" i="7"/>
  <c r="G1713" i="7"/>
  <c r="J1713" i="7" s="1"/>
  <c r="I1712" i="7"/>
  <c r="H1712" i="7"/>
  <c r="G1712" i="7"/>
  <c r="J1712" i="7" s="1"/>
  <c r="I1711" i="7"/>
  <c r="H1711" i="7"/>
  <c r="G1711" i="7"/>
  <c r="J1711" i="7" s="1"/>
  <c r="I1710" i="7"/>
  <c r="H1710" i="7"/>
  <c r="G1710" i="7"/>
  <c r="J1710" i="7" s="1"/>
  <c r="I1709" i="7"/>
  <c r="H1709" i="7"/>
  <c r="G1709" i="7"/>
  <c r="J1709" i="7" s="1"/>
  <c r="I1708" i="7"/>
  <c r="H1708" i="7"/>
  <c r="G1708" i="7"/>
  <c r="J1708" i="7" s="1"/>
  <c r="I1707" i="7"/>
  <c r="H1707" i="7"/>
  <c r="G1707" i="7"/>
  <c r="J1707" i="7" s="1"/>
  <c r="I1706" i="7"/>
  <c r="H1706" i="7"/>
  <c r="G1706" i="7"/>
  <c r="J1706" i="7" s="1"/>
  <c r="I1705" i="7"/>
  <c r="H1705" i="7"/>
  <c r="G1705" i="7"/>
  <c r="J1705" i="7" s="1"/>
  <c r="I1704" i="7"/>
  <c r="H1704" i="7"/>
  <c r="G1704" i="7"/>
  <c r="J1704" i="7" s="1"/>
  <c r="I1703" i="7"/>
  <c r="H1703" i="7"/>
  <c r="G1703" i="7"/>
  <c r="J1703" i="7" s="1"/>
  <c r="I1702" i="7"/>
  <c r="H1702" i="7"/>
  <c r="G1702" i="7"/>
  <c r="J1702" i="7" s="1"/>
  <c r="I1701" i="7"/>
  <c r="H1701" i="7"/>
  <c r="G1701" i="7"/>
  <c r="J1701" i="7" s="1"/>
  <c r="I1700" i="7"/>
  <c r="H1700" i="7"/>
  <c r="G1700" i="7"/>
  <c r="J1700" i="7" s="1"/>
  <c r="I1699" i="7"/>
  <c r="H1699" i="7"/>
  <c r="G1699" i="7"/>
  <c r="J1699" i="7" s="1"/>
  <c r="I1698" i="7"/>
  <c r="H1698" i="7"/>
  <c r="G1698" i="7"/>
  <c r="J1698" i="7" s="1"/>
  <c r="I1697" i="7"/>
  <c r="H1697" i="7"/>
  <c r="G1697" i="7"/>
  <c r="J1697" i="7" s="1"/>
  <c r="I1696" i="7"/>
  <c r="H1696" i="7"/>
  <c r="G1696" i="7"/>
  <c r="J1696" i="7" s="1"/>
  <c r="I1695" i="7"/>
  <c r="H1695" i="7"/>
  <c r="G1695" i="7"/>
  <c r="J1695" i="7" s="1"/>
  <c r="I1694" i="7"/>
  <c r="H1694" i="7"/>
  <c r="G1694" i="7"/>
  <c r="J1694" i="7" s="1"/>
  <c r="I1693" i="7"/>
  <c r="H1693" i="7"/>
  <c r="G1693" i="7"/>
  <c r="J1693" i="7" s="1"/>
  <c r="I1692" i="7"/>
  <c r="H1692" i="7"/>
  <c r="G1692" i="7"/>
  <c r="J1692" i="7" s="1"/>
  <c r="I1691" i="7"/>
  <c r="H1691" i="7"/>
  <c r="G1691" i="7"/>
  <c r="J1691" i="7" s="1"/>
  <c r="I1690" i="7"/>
  <c r="H1690" i="7"/>
  <c r="G1690" i="7"/>
  <c r="J1690" i="7" s="1"/>
  <c r="I1689" i="7"/>
  <c r="H1689" i="7"/>
  <c r="G1689" i="7"/>
  <c r="J1689" i="7" s="1"/>
  <c r="I1688" i="7"/>
  <c r="H1688" i="7"/>
  <c r="G1688" i="7"/>
  <c r="J1688" i="7" s="1"/>
  <c r="I1687" i="7"/>
  <c r="H1687" i="7"/>
  <c r="G1687" i="7"/>
  <c r="J1687" i="7" s="1"/>
  <c r="I1686" i="7"/>
  <c r="H1686" i="7"/>
  <c r="G1686" i="7"/>
  <c r="J1686" i="7" s="1"/>
  <c r="I1685" i="7"/>
  <c r="H1685" i="7"/>
  <c r="G1685" i="7"/>
  <c r="J1685" i="7" s="1"/>
  <c r="I1684" i="7"/>
  <c r="H1684" i="7"/>
  <c r="G1684" i="7"/>
  <c r="J1684" i="7" s="1"/>
  <c r="I1683" i="7"/>
  <c r="H1683" i="7"/>
  <c r="G1683" i="7"/>
  <c r="J1683" i="7" s="1"/>
  <c r="I1682" i="7"/>
  <c r="H1682" i="7"/>
  <c r="G1682" i="7"/>
  <c r="J1682" i="7" s="1"/>
  <c r="I1681" i="7"/>
  <c r="H1681" i="7"/>
  <c r="G1681" i="7"/>
  <c r="J1681" i="7" s="1"/>
  <c r="I1680" i="7"/>
  <c r="H1680" i="7"/>
  <c r="G1680" i="7"/>
  <c r="J1680" i="7" s="1"/>
  <c r="I1679" i="7"/>
  <c r="H1679" i="7"/>
  <c r="G1679" i="7"/>
  <c r="J1679" i="7" s="1"/>
  <c r="I1678" i="7"/>
  <c r="H1678" i="7"/>
  <c r="G1678" i="7"/>
  <c r="J1678" i="7" s="1"/>
  <c r="I1677" i="7"/>
  <c r="H1677" i="7"/>
  <c r="G1677" i="7"/>
  <c r="J1677" i="7" s="1"/>
  <c r="I1676" i="7"/>
  <c r="H1676" i="7"/>
  <c r="G1676" i="7"/>
  <c r="J1676" i="7" s="1"/>
  <c r="I1675" i="7"/>
  <c r="H1675" i="7"/>
  <c r="G1675" i="7"/>
  <c r="J1675" i="7" s="1"/>
  <c r="I1674" i="7"/>
  <c r="H1674" i="7"/>
  <c r="G1674" i="7"/>
  <c r="J1674" i="7" s="1"/>
  <c r="I1673" i="7"/>
  <c r="H1673" i="7"/>
  <c r="G1673" i="7"/>
  <c r="J1673" i="7" s="1"/>
  <c r="I1672" i="7"/>
  <c r="H1672" i="7"/>
  <c r="G1672" i="7"/>
  <c r="J1672" i="7" s="1"/>
  <c r="I1671" i="7"/>
  <c r="H1671" i="7"/>
  <c r="G1671" i="7"/>
  <c r="J1671" i="7" s="1"/>
  <c r="I1670" i="7"/>
  <c r="H1670" i="7"/>
  <c r="G1670" i="7"/>
  <c r="J1670" i="7" s="1"/>
  <c r="I1669" i="7"/>
  <c r="H1669" i="7"/>
  <c r="G1669" i="7"/>
  <c r="J1669" i="7" s="1"/>
  <c r="I1668" i="7"/>
  <c r="H1668" i="7"/>
  <c r="G1668" i="7"/>
  <c r="J1668" i="7" s="1"/>
  <c r="I1667" i="7"/>
  <c r="H1667" i="7"/>
  <c r="G1667" i="7"/>
  <c r="J1667" i="7" s="1"/>
  <c r="I1666" i="7"/>
  <c r="H1666" i="7"/>
  <c r="G1666" i="7"/>
  <c r="J1666" i="7" s="1"/>
  <c r="I1665" i="7"/>
  <c r="H1665" i="7"/>
  <c r="G1665" i="7"/>
  <c r="J1665" i="7" s="1"/>
  <c r="I1664" i="7"/>
  <c r="H1664" i="7"/>
  <c r="G1664" i="7"/>
  <c r="J1664" i="7" s="1"/>
  <c r="I1663" i="7"/>
  <c r="H1663" i="7"/>
  <c r="G1663" i="7"/>
  <c r="J1663" i="7" s="1"/>
  <c r="I1662" i="7"/>
  <c r="H1662" i="7"/>
  <c r="G1662" i="7"/>
  <c r="J1662" i="7" s="1"/>
  <c r="I1661" i="7"/>
  <c r="H1661" i="7"/>
  <c r="G1661" i="7"/>
  <c r="J1661" i="7" s="1"/>
  <c r="I1660" i="7"/>
  <c r="H1660" i="7"/>
  <c r="G1660" i="7"/>
  <c r="J1660" i="7" s="1"/>
  <c r="I1659" i="7"/>
  <c r="H1659" i="7"/>
  <c r="G1659" i="7"/>
  <c r="J1659" i="7" s="1"/>
  <c r="I1658" i="7"/>
  <c r="H1658" i="7"/>
  <c r="G1658" i="7"/>
  <c r="J1658" i="7" s="1"/>
  <c r="I1657" i="7"/>
  <c r="H1657" i="7"/>
  <c r="G1657" i="7"/>
  <c r="J1657" i="7" s="1"/>
  <c r="I1656" i="7"/>
  <c r="H1656" i="7"/>
  <c r="G1656" i="7"/>
  <c r="J1656" i="7" s="1"/>
  <c r="I1655" i="7"/>
  <c r="H1655" i="7"/>
  <c r="G1655" i="7"/>
  <c r="J1655" i="7" s="1"/>
  <c r="I1654" i="7"/>
  <c r="H1654" i="7"/>
  <c r="G1654" i="7"/>
  <c r="J1654" i="7" s="1"/>
  <c r="I1653" i="7"/>
  <c r="H1653" i="7"/>
  <c r="G1653" i="7"/>
  <c r="J1653" i="7" s="1"/>
  <c r="I1652" i="7"/>
  <c r="H1652" i="7"/>
  <c r="G1652" i="7"/>
  <c r="J1652" i="7" s="1"/>
  <c r="I1651" i="7"/>
  <c r="H1651" i="7"/>
  <c r="G1651" i="7"/>
  <c r="J1651" i="7" s="1"/>
  <c r="I1650" i="7"/>
  <c r="H1650" i="7"/>
  <c r="G1650" i="7"/>
  <c r="J1650" i="7" s="1"/>
  <c r="I1649" i="7"/>
  <c r="H1649" i="7"/>
  <c r="G1649" i="7"/>
  <c r="J1649" i="7" s="1"/>
  <c r="I1648" i="7"/>
  <c r="H1648" i="7"/>
  <c r="G1648" i="7"/>
  <c r="J1648" i="7" s="1"/>
  <c r="I1647" i="7"/>
  <c r="H1647" i="7"/>
  <c r="G1647" i="7"/>
  <c r="J1647" i="7" s="1"/>
  <c r="I1646" i="7"/>
  <c r="H1646" i="7"/>
  <c r="G1646" i="7"/>
  <c r="J1646" i="7" s="1"/>
  <c r="I1645" i="7"/>
  <c r="H1645" i="7"/>
  <c r="G1645" i="7"/>
  <c r="J1645" i="7" s="1"/>
  <c r="I1644" i="7"/>
  <c r="H1644" i="7"/>
  <c r="G1644" i="7"/>
  <c r="J1644" i="7" s="1"/>
  <c r="I1643" i="7"/>
  <c r="H1643" i="7"/>
  <c r="G1643" i="7"/>
  <c r="J1643" i="7" s="1"/>
  <c r="I1642" i="7"/>
  <c r="H1642" i="7"/>
  <c r="G1642" i="7"/>
  <c r="J1642" i="7" s="1"/>
  <c r="I1641" i="7"/>
  <c r="H1641" i="7"/>
  <c r="G1641" i="7"/>
  <c r="J1641" i="7" s="1"/>
  <c r="I1640" i="7"/>
  <c r="H1640" i="7"/>
  <c r="G1640" i="7"/>
  <c r="J1640" i="7" s="1"/>
  <c r="I1639" i="7"/>
  <c r="H1639" i="7"/>
  <c r="G1639" i="7"/>
  <c r="J1639" i="7" s="1"/>
  <c r="I1638" i="7"/>
  <c r="H1638" i="7"/>
  <c r="G1638" i="7"/>
  <c r="J1638" i="7" s="1"/>
  <c r="I1637" i="7"/>
  <c r="H1637" i="7"/>
  <c r="G1637" i="7"/>
  <c r="J1637" i="7" s="1"/>
  <c r="I1636" i="7"/>
  <c r="H1636" i="7"/>
  <c r="G1636" i="7"/>
  <c r="J1636" i="7" s="1"/>
  <c r="I1635" i="7"/>
  <c r="H1635" i="7"/>
  <c r="G1635" i="7"/>
  <c r="J1635" i="7" s="1"/>
  <c r="I1634" i="7"/>
  <c r="H1634" i="7"/>
  <c r="G1634" i="7"/>
  <c r="J1634" i="7" s="1"/>
  <c r="I1633" i="7"/>
  <c r="H1633" i="7"/>
  <c r="G1633" i="7"/>
  <c r="J1633" i="7" s="1"/>
  <c r="I1632" i="7"/>
  <c r="H1632" i="7"/>
  <c r="G1632" i="7"/>
  <c r="J1632" i="7" s="1"/>
  <c r="I1631" i="7"/>
  <c r="H1631" i="7"/>
  <c r="G1631" i="7"/>
  <c r="J1631" i="7" s="1"/>
  <c r="I1630" i="7"/>
  <c r="H1630" i="7"/>
  <c r="G1630" i="7"/>
  <c r="J1630" i="7" s="1"/>
  <c r="I1629" i="7"/>
  <c r="H1629" i="7"/>
  <c r="G1629" i="7"/>
  <c r="J1629" i="7" s="1"/>
  <c r="I1628" i="7"/>
  <c r="H1628" i="7"/>
  <c r="G1628" i="7"/>
  <c r="J1628" i="7" s="1"/>
  <c r="I1627" i="7"/>
  <c r="H1627" i="7"/>
  <c r="G1627" i="7"/>
  <c r="J1627" i="7" s="1"/>
  <c r="I1626" i="7"/>
  <c r="H1626" i="7"/>
  <c r="G1626" i="7"/>
  <c r="J1626" i="7" s="1"/>
  <c r="I1625" i="7"/>
  <c r="H1625" i="7"/>
  <c r="G1625" i="7"/>
  <c r="J1625" i="7" s="1"/>
  <c r="I1624" i="7"/>
  <c r="H1624" i="7"/>
  <c r="G1624" i="7"/>
  <c r="J1624" i="7" s="1"/>
  <c r="I1623" i="7"/>
  <c r="H1623" i="7"/>
  <c r="G1623" i="7"/>
  <c r="J1623" i="7" s="1"/>
  <c r="I1622" i="7"/>
  <c r="H1622" i="7"/>
  <c r="G1622" i="7"/>
  <c r="J1622" i="7" s="1"/>
  <c r="I1621" i="7"/>
  <c r="H1621" i="7"/>
  <c r="G1621" i="7"/>
  <c r="J1621" i="7" s="1"/>
  <c r="I1620" i="7"/>
  <c r="H1620" i="7"/>
  <c r="G1620" i="7"/>
  <c r="J1620" i="7" s="1"/>
  <c r="I1619" i="7"/>
  <c r="H1619" i="7"/>
  <c r="G1619" i="7"/>
  <c r="J1619" i="7" s="1"/>
  <c r="I1618" i="7"/>
  <c r="H1618" i="7"/>
  <c r="G1618" i="7"/>
  <c r="J1618" i="7" s="1"/>
  <c r="I1617" i="7"/>
  <c r="H1617" i="7"/>
  <c r="G1617" i="7"/>
  <c r="J1617" i="7" s="1"/>
  <c r="I1616" i="7"/>
  <c r="H1616" i="7"/>
  <c r="G1616" i="7"/>
  <c r="J1616" i="7" s="1"/>
  <c r="I1615" i="7"/>
  <c r="H1615" i="7"/>
  <c r="G1615" i="7"/>
  <c r="J1615" i="7" s="1"/>
  <c r="I1614" i="7"/>
  <c r="H1614" i="7"/>
  <c r="G1614" i="7"/>
  <c r="J1614" i="7" s="1"/>
  <c r="I1613" i="7"/>
  <c r="H1613" i="7"/>
  <c r="G1613" i="7"/>
  <c r="J1613" i="7" s="1"/>
  <c r="I1612" i="7"/>
  <c r="H1612" i="7"/>
  <c r="G1612" i="7"/>
  <c r="J1612" i="7" s="1"/>
  <c r="I1611" i="7"/>
  <c r="H1611" i="7"/>
  <c r="G1611" i="7"/>
  <c r="J1611" i="7" s="1"/>
  <c r="I1610" i="7"/>
  <c r="H1610" i="7"/>
  <c r="G1610" i="7"/>
  <c r="J1610" i="7" s="1"/>
  <c r="I1609" i="7"/>
  <c r="H1609" i="7"/>
  <c r="G1609" i="7"/>
  <c r="J1609" i="7" s="1"/>
  <c r="I1608" i="7"/>
  <c r="H1608" i="7"/>
  <c r="G1608" i="7"/>
  <c r="J1608" i="7" s="1"/>
  <c r="I1607" i="7"/>
  <c r="H1607" i="7"/>
  <c r="G1607" i="7"/>
  <c r="J1607" i="7" s="1"/>
  <c r="I1606" i="7"/>
  <c r="H1606" i="7"/>
  <c r="G1606" i="7"/>
  <c r="J1606" i="7" s="1"/>
  <c r="I1605" i="7"/>
  <c r="H1605" i="7"/>
  <c r="G1605" i="7"/>
  <c r="J1605" i="7" s="1"/>
  <c r="I1604" i="7"/>
  <c r="H1604" i="7"/>
  <c r="G1604" i="7"/>
  <c r="J1604" i="7" s="1"/>
  <c r="I1603" i="7"/>
  <c r="H1603" i="7"/>
  <c r="G1603" i="7"/>
  <c r="J1603" i="7" s="1"/>
  <c r="I1602" i="7"/>
  <c r="H1602" i="7"/>
  <c r="G1602" i="7"/>
  <c r="J1602" i="7" s="1"/>
  <c r="I1601" i="7"/>
  <c r="H1601" i="7"/>
  <c r="G1601" i="7"/>
  <c r="J1601" i="7" s="1"/>
  <c r="I1600" i="7"/>
  <c r="H1600" i="7"/>
  <c r="G1600" i="7"/>
  <c r="J1600" i="7" s="1"/>
  <c r="I1599" i="7"/>
  <c r="H1599" i="7"/>
  <c r="G1599" i="7"/>
  <c r="J1599" i="7" s="1"/>
  <c r="I1598" i="7"/>
  <c r="H1598" i="7"/>
  <c r="G1598" i="7"/>
  <c r="J1598" i="7" s="1"/>
  <c r="I1597" i="7"/>
  <c r="H1597" i="7"/>
  <c r="G1597" i="7"/>
  <c r="J1597" i="7" s="1"/>
  <c r="I1596" i="7"/>
  <c r="H1596" i="7"/>
  <c r="G1596" i="7"/>
  <c r="J1596" i="7" s="1"/>
  <c r="I1595" i="7"/>
  <c r="H1595" i="7"/>
  <c r="G1595" i="7"/>
  <c r="J1595" i="7" s="1"/>
  <c r="I1594" i="7"/>
  <c r="H1594" i="7"/>
  <c r="G1594" i="7"/>
  <c r="J1594" i="7" s="1"/>
  <c r="I1593" i="7"/>
  <c r="H1593" i="7"/>
  <c r="G1593" i="7"/>
  <c r="J1593" i="7" s="1"/>
  <c r="I1592" i="7"/>
  <c r="H1592" i="7"/>
  <c r="G1592" i="7"/>
  <c r="J1592" i="7" s="1"/>
  <c r="I1591" i="7"/>
  <c r="H1591" i="7"/>
  <c r="G1591" i="7"/>
  <c r="J1591" i="7" s="1"/>
  <c r="I1590" i="7"/>
  <c r="H1590" i="7"/>
  <c r="G1590" i="7"/>
  <c r="J1590" i="7" s="1"/>
  <c r="I1589" i="7"/>
  <c r="H1589" i="7"/>
  <c r="G1589" i="7"/>
  <c r="J1589" i="7" s="1"/>
  <c r="I1588" i="7"/>
  <c r="H1588" i="7"/>
  <c r="G1588" i="7"/>
  <c r="J1588" i="7" s="1"/>
  <c r="I1587" i="7"/>
  <c r="H1587" i="7"/>
  <c r="G1587" i="7"/>
  <c r="J1587" i="7" s="1"/>
  <c r="I1586" i="7"/>
  <c r="H1586" i="7"/>
  <c r="G1586" i="7"/>
  <c r="J1586" i="7" s="1"/>
  <c r="I1585" i="7"/>
  <c r="H1585" i="7"/>
  <c r="G1585" i="7"/>
  <c r="J1585" i="7" s="1"/>
  <c r="I1584" i="7"/>
  <c r="H1584" i="7"/>
  <c r="G1584" i="7"/>
  <c r="J1584" i="7" s="1"/>
  <c r="I1583" i="7"/>
  <c r="H1583" i="7"/>
  <c r="G1583" i="7"/>
  <c r="J1583" i="7" s="1"/>
  <c r="I1582" i="7"/>
  <c r="H1582" i="7"/>
  <c r="G1582" i="7"/>
  <c r="J1582" i="7" s="1"/>
  <c r="I1581" i="7"/>
  <c r="H1581" i="7"/>
  <c r="G1581" i="7"/>
  <c r="J1581" i="7" s="1"/>
  <c r="I1580" i="7"/>
  <c r="H1580" i="7"/>
  <c r="G1580" i="7"/>
  <c r="J1580" i="7" s="1"/>
  <c r="I1579" i="7"/>
  <c r="H1579" i="7"/>
  <c r="G1579" i="7"/>
  <c r="J1579" i="7" s="1"/>
  <c r="I1578" i="7"/>
  <c r="H1578" i="7"/>
  <c r="G1578" i="7"/>
  <c r="J1578" i="7" s="1"/>
  <c r="I1577" i="7"/>
  <c r="H1577" i="7"/>
  <c r="G1577" i="7"/>
  <c r="J1577" i="7" s="1"/>
  <c r="I1576" i="7"/>
  <c r="H1576" i="7"/>
  <c r="G1576" i="7"/>
  <c r="J1576" i="7" s="1"/>
  <c r="I1575" i="7"/>
  <c r="H1575" i="7"/>
  <c r="G1575" i="7"/>
  <c r="J1575" i="7" s="1"/>
  <c r="I1574" i="7"/>
  <c r="H1574" i="7"/>
  <c r="G1574" i="7"/>
  <c r="J1574" i="7" s="1"/>
  <c r="I1573" i="7"/>
  <c r="H1573" i="7"/>
  <c r="G1573" i="7"/>
  <c r="J1573" i="7" s="1"/>
  <c r="I1572" i="7"/>
  <c r="H1572" i="7"/>
  <c r="G1572" i="7"/>
  <c r="J1572" i="7" s="1"/>
  <c r="I1571" i="7"/>
  <c r="H1571" i="7"/>
  <c r="G1571" i="7"/>
  <c r="J1571" i="7" s="1"/>
  <c r="I1570" i="7"/>
  <c r="H1570" i="7"/>
  <c r="G1570" i="7"/>
  <c r="J1570" i="7" s="1"/>
  <c r="I1569" i="7"/>
  <c r="H1569" i="7"/>
  <c r="G1569" i="7"/>
  <c r="J1569" i="7" s="1"/>
  <c r="I1568" i="7"/>
  <c r="H1568" i="7"/>
  <c r="G1568" i="7"/>
  <c r="J1568" i="7" s="1"/>
  <c r="I1567" i="7"/>
  <c r="H1567" i="7"/>
  <c r="G1567" i="7"/>
  <c r="J1567" i="7" s="1"/>
  <c r="I1566" i="7"/>
  <c r="H1566" i="7"/>
  <c r="G1566" i="7"/>
  <c r="J1566" i="7" s="1"/>
  <c r="I1565" i="7"/>
  <c r="H1565" i="7"/>
  <c r="G1565" i="7"/>
  <c r="J1565" i="7" s="1"/>
  <c r="I1564" i="7"/>
  <c r="H1564" i="7"/>
  <c r="G1564" i="7"/>
  <c r="J1564" i="7" s="1"/>
  <c r="I1563" i="7"/>
  <c r="H1563" i="7"/>
  <c r="G1563" i="7"/>
  <c r="J1563" i="7" s="1"/>
  <c r="I1562" i="7"/>
  <c r="H1562" i="7"/>
  <c r="G1562" i="7"/>
  <c r="J1562" i="7" s="1"/>
  <c r="I1561" i="7"/>
  <c r="H1561" i="7"/>
  <c r="G1561" i="7"/>
  <c r="J1561" i="7" s="1"/>
  <c r="I1560" i="7"/>
  <c r="H1560" i="7"/>
  <c r="G1560" i="7"/>
  <c r="J1560" i="7" s="1"/>
  <c r="I1559" i="7"/>
  <c r="H1559" i="7"/>
  <c r="G1559" i="7"/>
  <c r="J1559" i="7" s="1"/>
  <c r="I1558" i="7"/>
  <c r="H1558" i="7"/>
  <c r="G1558" i="7"/>
  <c r="J1558" i="7" s="1"/>
  <c r="I1557" i="7"/>
  <c r="H1557" i="7"/>
  <c r="G1557" i="7"/>
  <c r="J1557" i="7" s="1"/>
  <c r="I1556" i="7"/>
  <c r="H1556" i="7"/>
  <c r="G1556" i="7"/>
  <c r="J1556" i="7" s="1"/>
  <c r="I1555" i="7"/>
  <c r="H1555" i="7"/>
  <c r="G1555" i="7"/>
  <c r="J1555" i="7" s="1"/>
  <c r="I1554" i="7"/>
  <c r="H1554" i="7"/>
  <c r="G1554" i="7"/>
  <c r="J1554" i="7" s="1"/>
  <c r="I1553" i="7"/>
  <c r="H1553" i="7"/>
  <c r="G1553" i="7"/>
  <c r="J1553" i="7" s="1"/>
  <c r="I1552" i="7"/>
  <c r="H1552" i="7"/>
  <c r="G1552" i="7"/>
  <c r="J1552" i="7" s="1"/>
  <c r="I1551" i="7"/>
  <c r="H1551" i="7"/>
  <c r="G1551" i="7"/>
  <c r="J1551" i="7" s="1"/>
  <c r="I1550" i="7"/>
  <c r="H1550" i="7"/>
  <c r="G1550" i="7"/>
  <c r="J1550" i="7" s="1"/>
  <c r="I1549" i="7"/>
  <c r="H1549" i="7"/>
  <c r="G1549" i="7"/>
  <c r="J1549" i="7" s="1"/>
  <c r="I1548" i="7"/>
  <c r="H1548" i="7"/>
  <c r="G1548" i="7"/>
  <c r="J1548" i="7" s="1"/>
  <c r="I1547" i="7"/>
  <c r="H1547" i="7"/>
  <c r="G1547" i="7"/>
  <c r="J1547" i="7" s="1"/>
  <c r="I1546" i="7"/>
  <c r="H1546" i="7"/>
  <c r="G1546" i="7"/>
  <c r="J1546" i="7" s="1"/>
  <c r="I1545" i="7"/>
  <c r="H1545" i="7"/>
  <c r="G1545" i="7"/>
  <c r="J1545" i="7" s="1"/>
  <c r="I1544" i="7"/>
  <c r="H1544" i="7"/>
  <c r="G1544" i="7"/>
  <c r="J1544" i="7" s="1"/>
  <c r="I1543" i="7"/>
  <c r="H1543" i="7"/>
  <c r="G1543" i="7"/>
  <c r="J1543" i="7" s="1"/>
  <c r="I1542" i="7"/>
  <c r="H1542" i="7"/>
  <c r="G1542" i="7"/>
  <c r="J1542" i="7" s="1"/>
  <c r="I1541" i="7"/>
  <c r="H1541" i="7"/>
  <c r="G1541" i="7"/>
  <c r="J1541" i="7" s="1"/>
  <c r="I1540" i="7"/>
  <c r="H1540" i="7"/>
  <c r="G1540" i="7"/>
  <c r="J1540" i="7" s="1"/>
  <c r="I1539" i="7"/>
  <c r="H1539" i="7"/>
  <c r="G1539" i="7"/>
  <c r="J1539" i="7" s="1"/>
  <c r="I1538" i="7"/>
  <c r="H1538" i="7"/>
  <c r="G1538" i="7"/>
  <c r="J1538" i="7" s="1"/>
  <c r="I1537" i="7"/>
  <c r="H1537" i="7"/>
  <c r="G1537" i="7"/>
  <c r="J1537" i="7" s="1"/>
  <c r="I1536" i="7"/>
  <c r="H1536" i="7"/>
  <c r="G1536" i="7"/>
  <c r="J1536" i="7" s="1"/>
  <c r="I1535" i="7"/>
  <c r="H1535" i="7"/>
  <c r="G1535" i="7"/>
  <c r="J1535" i="7" s="1"/>
  <c r="I1534" i="7"/>
  <c r="H1534" i="7"/>
  <c r="G1534" i="7"/>
  <c r="J1534" i="7" s="1"/>
  <c r="I1533" i="7"/>
  <c r="H1533" i="7"/>
  <c r="G1533" i="7"/>
  <c r="J1533" i="7" s="1"/>
  <c r="I1532" i="7"/>
  <c r="H1532" i="7"/>
  <c r="G1532" i="7"/>
  <c r="J1532" i="7" s="1"/>
  <c r="I1531" i="7"/>
  <c r="H1531" i="7"/>
  <c r="G1531" i="7"/>
  <c r="J1531" i="7" s="1"/>
  <c r="I1530" i="7"/>
  <c r="H1530" i="7"/>
  <c r="G1530" i="7"/>
  <c r="J1530" i="7" s="1"/>
  <c r="I1529" i="7"/>
  <c r="H1529" i="7"/>
  <c r="G1529" i="7"/>
  <c r="J1529" i="7" s="1"/>
  <c r="I1528" i="7"/>
  <c r="H1528" i="7"/>
  <c r="G1528" i="7"/>
  <c r="J1528" i="7" s="1"/>
  <c r="I1527" i="7"/>
  <c r="H1527" i="7"/>
  <c r="G1527" i="7"/>
  <c r="J1527" i="7" s="1"/>
  <c r="I1526" i="7"/>
  <c r="H1526" i="7"/>
  <c r="G1526" i="7"/>
  <c r="J1526" i="7" s="1"/>
  <c r="I1525" i="7"/>
  <c r="H1525" i="7"/>
  <c r="G1525" i="7"/>
  <c r="J1525" i="7" s="1"/>
  <c r="I1524" i="7"/>
  <c r="H1524" i="7"/>
  <c r="G1524" i="7"/>
  <c r="J1524" i="7" s="1"/>
  <c r="I1523" i="7"/>
  <c r="H1523" i="7"/>
  <c r="G1523" i="7"/>
  <c r="J1523" i="7" s="1"/>
  <c r="I1522" i="7"/>
  <c r="H1522" i="7"/>
  <c r="G1522" i="7"/>
  <c r="J1522" i="7" s="1"/>
  <c r="I1521" i="7"/>
  <c r="H1521" i="7"/>
  <c r="G1521" i="7"/>
  <c r="J1521" i="7" s="1"/>
  <c r="I1520" i="7"/>
  <c r="H1520" i="7"/>
  <c r="G1520" i="7"/>
  <c r="J1520" i="7" s="1"/>
  <c r="I1519" i="7"/>
  <c r="H1519" i="7"/>
  <c r="G1519" i="7"/>
  <c r="J1519" i="7" s="1"/>
  <c r="I1518" i="7"/>
  <c r="H1518" i="7"/>
  <c r="G1518" i="7"/>
  <c r="J1518" i="7" s="1"/>
  <c r="I1517" i="7"/>
  <c r="H1517" i="7"/>
  <c r="G1517" i="7"/>
  <c r="J1517" i="7" s="1"/>
  <c r="I1516" i="7"/>
  <c r="H1516" i="7"/>
  <c r="G1516" i="7"/>
  <c r="J1516" i="7" s="1"/>
  <c r="I1515" i="7"/>
  <c r="H1515" i="7"/>
  <c r="G1515" i="7"/>
  <c r="J1515" i="7" s="1"/>
  <c r="I1514" i="7"/>
  <c r="H1514" i="7"/>
  <c r="G1514" i="7"/>
  <c r="J1514" i="7" s="1"/>
  <c r="I1513" i="7"/>
  <c r="H1513" i="7"/>
  <c r="G1513" i="7"/>
  <c r="J1513" i="7" s="1"/>
  <c r="I1512" i="7"/>
  <c r="H1512" i="7"/>
  <c r="G1512" i="7"/>
  <c r="J1512" i="7" s="1"/>
  <c r="I1511" i="7"/>
  <c r="H1511" i="7"/>
  <c r="G1511" i="7"/>
  <c r="J1511" i="7" s="1"/>
  <c r="I1510" i="7"/>
  <c r="H1510" i="7"/>
  <c r="G1510" i="7"/>
  <c r="J1510" i="7" s="1"/>
  <c r="I1509" i="7"/>
  <c r="H1509" i="7"/>
  <c r="G1509" i="7"/>
  <c r="J1509" i="7" s="1"/>
  <c r="I1508" i="7"/>
  <c r="H1508" i="7"/>
  <c r="G1508" i="7"/>
  <c r="J1508" i="7" s="1"/>
  <c r="I1507" i="7"/>
  <c r="H1507" i="7"/>
  <c r="G1507" i="7"/>
  <c r="J1507" i="7" s="1"/>
  <c r="I1506" i="7"/>
  <c r="H1506" i="7"/>
  <c r="G1506" i="7"/>
  <c r="J1506" i="7" s="1"/>
  <c r="I1505" i="7"/>
  <c r="H1505" i="7"/>
  <c r="G1505" i="7"/>
  <c r="J1505" i="7" s="1"/>
  <c r="I1504" i="7"/>
  <c r="H1504" i="7"/>
  <c r="G1504" i="7"/>
  <c r="J1504" i="7" s="1"/>
  <c r="I1503" i="7"/>
  <c r="H1503" i="7"/>
  <c r="G1503" i="7"/>
  <c r="J1503" i="7" s="1"/>
  <c r="I1502" i="7"/>
  <c r="H1502" i="7"/>
  <c r="G1502" i="7"/>
  <c r="J1502" i="7" s="1"/>
  <c r="I1501" i="7"/>
  <c r="H1501" i="7"/>
  <c r="G1501" i="7"/>
  <c r="J1501" i="7" s="1"/>
  <c r="I1500" i="7"/>
  <c r="H1500" i="7"/>
  <c r="G1500" i="7"/>
  <c r="J1500" i="7" s="1"/>
  <c r="I1499" i="7"/>
  <c r="H1499" i="7"/>
  <c r="G1499" i="7"/>
  <c r="J1499" i="7" s="1"/>
  <c r="I1498" i="7"/>
  <c r="H1498" i="7"/>
  <c r="G1498" i="7"/>
  <c r="J1498" i="7" s="1"/>
  <c r="I1497" i="7"/>
  <c r="H1497" i="7"/>
  <c r="G1497" i="7"/>
  <c r="J1497" i="7" s="1"/>
  <c r="I1496" i="7"/>
  <c r="H1496" i="7"/>
  <c r="G1496" i="7"/>
  <c r="J1496" i="7" s="1"/>
  <c r="I1495" i="7"/>
  <c r="H1495" i="7"/>
  <c r="G1495" i="7"/>
  <c r="J1495" i="7" s="1"/>
  <c r="I1494" i="7"/>
  <c r="H1494" i="7"/>
  <c r="G1494" i="7"/>
  <c r="J1494" i="7" s="1"/>
  <c r="I1493" i="7"/>
  <c r="H1493" i="7"/>
  <c r="G1493" i="7"/>
  <c r="J1493" i="7" s="1"/>
  <c r="I1492" i="7"/>
  <c r="H1492" i="7"/>
  <c r="G1492" i="7"/>
  <c r="J1492" i="7" s="1"/>
  <c r="I1491" i="7"/>
  <c r="H1491" i="7"/>
  <c r="G1491" i="7"/>
  <c r="J1491" i="7" s="1"/>
  <c r="I1490" i="7"/>
  <c r="H1490" i="7"/>
  <c r="G1490" i="7"/>
  <c r="J1490" i="7" s="1"/>
  <c r="I1489" i="7"/>
  <c r="H1489" i="7"/>
  <c r="G1489" i="7"/>
  <c r="J1489" i="7" s="1"/>
  <c r="I1488" i="7"/>
  <c r="H1488" i="7"/>
  <c r="G1488" i="7"/>
  <c r="J1488" i="7" s="1"/>
  <c r="I1487" i="7"/>
  <c r="H1487" i="7"/>
  <c r="G1487" i="7"/>
  <c r="J1487" i="7" s="1"/>
  <c r="I1486" i="7"/>
  <c r="H1486" i="7"/>
  <c r="G1486" i="7"/>
  <c r="J1486" i="7" s="1"/>
  <c r="I1485" i="7"/>
  <c r="H1485" i="7"/>
  <c r="G1485" i="7"/>
  <c r="J1485" i="7" s="1"/>
  <c r="I1484" i="7"/>
  <c r="H1484" i="7"/>
  <c r="G1484" i="7"/>
  <c r="J1484" i="7" s="1"/>
  <c r="I1483" i="7"/>
  <c r="H1483" i="7"/>
  <c r="G1483" i="7"/>
  <c r="J1483" i="7" s="1"/>
  <c r="I1482" i="7"/>
  <c r="H1482" i="7"/>
  <c r="G1482" i="7"/>
  <c r="J1482" i="7" s="1"/>
  <c r="I1481" i="7"/>
  <c r="H1481" i="7"/>
  <c r="G1481" i="7"/>
  <c r="J1481" i="7" s="1"/>
  <c r="I1480" i="7"/>
  <c r="H1480" i="7"/>
  <c r="G1480" i="7"/>
  <c r="J1480" i="7" s="1"/>
  <c r="I1479" i="7"/>
  <c r="H1479" i="7"/>
  <c r="G1479" i="7"/>
  <c r="J1479" i="7" s="1"/>
  <c r="I1478" i="7"/>
  <c r="H1478" i="7"/>
  <c r="G1478" i="7"/>
  <c r="J1478" i="7" s="1"/>
  <c r="I1477" i="7"/>
  <c r="H1477" i="7"/>
  <c r="G1477" i="7"/>
  <c r="J1477" i="7" s="1"/>
  <c r="I1476" i="7"/>
  <c r="H1476" i="7"/>
  <c r="G1476" i="7"/>
  <c r="J1476" i="7" s="1"/>
  <c r="I1475" i="7"/>
  <c r="H1475" i="7"/>
  <c r="G1475" i="7"/>
  <c r="J1475" i="7" s="1"/>
  <c r="I1474" i="7"/>
  <c r="H1474" i="7"/>
  <c r="G1474" i="7"/>
  <c r="J1474" i="7" s="1"/>
  <c r="I1473" i="7"/>
  <c r="H1473" i="7"/>
  <c r="G1473" i="7"/>
  <c r="J1473" i="7" s="1"/>
  <c r="I1472" i="7"/>
  <c r="H1472" i="7"/>
  <c r="G1472" i="7"/>
  <c r="J1472" i="7" s="1"/>
  <c r="I1471" i="7"/>
  <c r="H1471" i="7"/>
  <c r="G1471" i="7"/>
  <c r="J1471" i="7" s="1"/>
  <c r="I1470" i="7"/>
  <c r="H1470" i="7"/>
  <c r="G1470" i="7"/>
  <c r="J1470" i="7" s="1"/>
  <c r="I1469" i="7"/>
  <c r="H1469" i="7"/>
  <c r="G1469" i="7"/>
  <c r="J1469" i="7" s="1"/>
  <c r="I1468" i="7"/>
  <c r="H1468" i="7"/>
  <c r="G1468" i="7"/>
  <c r="J1468" i="7" s="1"/>
  <c r="I1467" i="7"/>
  <c r="H1467" i="7"/>
  <c r="G1467" i="7"/>
  <c r="J1467" i="7" s="1"/>
  <c r="I1466" i="7"/>
  <c r="H1466" i="7"/>
  <c r="G1466" i="7"/>
  <c r="J1466" i="7" s="1"/>
  <c r="I1465" i="7"/>
  <c r="H1465" i="7"/>
  <c r="G1465" i="7"/>
  <c r="J1465" i="7" s="1"/>
  <c r="I1464" i="7"/>
  <c r="H1464" i="7"/>
  <c r="G1464" i="7"/>
  <c r="J1464" i="7" s="1"/>
  <c r="I1463" i="7"/>
  <c r="H1463" i="7"/>
  <c r="G1463" i="7"/>
  <c r="J1463" i="7" s="1"/>
  <c r="I1462" i="7"/>
  <c r="H1462" i="7"/>
  <c r="G1462" i="7"/>
  <c r="J1462" i="7" s="1"/>
  <c r="I1461" i="7"/>
  <c r="H1461" i="7"/>
  <c r="G1461" i="7"/>
  <c r="J1461" i="7" s="1"/>
  <c r="I1460" i="7"/>
  <c r="H1460" i="7"/>
  <c r="G1460" i="7"/>
  <c r="J1460" i="7" s="1"/>
  <c r="I1459" i="7"/>
  <c r="H1459" i="7"/>
  <c r="G1459" i="7"/>
  <c r="J1459" i="7" s="1"/>
  <c r="I1458" i="7"/>
  <c r="H1458" i="7"/>
  <c r="G1458" i="7"/>
  <c r="J1458" i="7" s="1"/>
  <c r="I1457" i="7"/>
  <c r="H1457" i="7"/>
  <c r="G1457" i="7"/>
  <c r="J1457" i="7" s="1"/>
  <c r="I1456" i="7"/>
  <c r="H1456" i="7"/>
  <c r="G1456" i="7"/>
  <c r="J1456" i="7" s="1"/>
  <c r="I1455" i="7"/>
  <c r="H1455" i="7"/>
  <c r="G1455" i="7"/>
  <c r="J1455" i="7" s="1"/>
  <c r="I1454" i="7"/>
  <c r="H1454" i="7"/>
  <c r="G1454" i="7"/>
  <c r="J1454" i="7" s="1"/>
  <c r="I1453" i="7"/>
  <c r="H1453" i="7"/>
  <c r="G1453" i="7"/>
  <c r="J1453" i="7" s="1"/>
  <c r="I1452" i="7"/>
  <c r="H1452" i="7"/>
  <c r="G1452" i="7"/>
  <c r="J1452" i="7" s="1"/>
  <c r="I1451" i="7"/>
  <c r="H1451" i="7"/>
  <c r="G1451" i="7"/>
  <c r="J1451" i="7" s="1"/>
  <c r="I1450" i="7"/>
  <c r="H1450" i="7"/>
  <c r="G1450" i="7"/>
  <c r="J1450" i="7" s="1"/>
  <c r="I1449" i="7"/>
  <c r="H1449" i="7"/>
  <c r="G1449" i="7"/>
  <c r="J1449" i="7" s="1"/>
  <c r="I1448" i="7"/>
  <c r="H1448" i="7"/>
  <c r="G1448" i="7"/>
  <c r="J1448" i="7" s="1"/>
  <c r="I1447" i="7"/>
  <c r="H1447" i="7"/>
  <c r="G1447" i="7"/>
  <c r="J1447" i="7" s="1"/>
  <c r="I1446" i="7"/>
  <c r="H1446" i="7"/>
  <c r="G1446" i="7"/>
  <c r="J1446" i="7" s="1"/>
  <c r="I1445" i="7"/>
  <c r="H1445" i="7"/>
  <c r="G1445" i="7"/>
  <c r="J1445" i="7" s="1"/>
  <c r="I1444" i="7"/>
  <c r="H1444" i="7"/>
  <c r="G1444" i="7"/>
  <c r="J1444" i="7" s="1"/>
  <c r="I1443" i="7"/>
  <c r="H1443" i="7"/>
  <c r="G1443" i="7"/>
  <c r="J1443" i="7" s="1"/>
  <c r="I1442" i="7"/>
  <c r="H1442" i="7"/>
  <c r="G1442" i="7"/>
  <c r="J1442" i="7" s="1"/>
  <c r="I1441" i="7"/>
  <c r="H1441" i="7"/>
  <c r="G1441" i="7"/>
  <c r="J1441" i="7" s="1"/>
  <c r="I1440" i="7"/>
  <c r="H1440" i="7"/>
  <c r="G1440" i="7"/>
  <c r="J1440" i="7" s="1"/>
  <c r="I1439" i="7"/>
  <c r="H1439" i="7"/>
  <c r="G1439" i="7"/>
  <c r="J1439" i="7" s="1"/>
  <c r="I1438" i="7"/>
  <c r="H1438" i="7"/>
  <c r="G1438" i="7"/>
  <c r="J1438" i="7" s="1"/>
  <c r="I1437" i="7"/>
  <c r="H1437" i="7"/>
  <c r="G1437" i="7"/>
  <c r="J1437" i="7" s="1"/>
  <c r="I1436" i="7"/>
  <c r="H1436" i="7"/>
  <c r="G1436" i="7"/>
  <c r="J1436" i="7" s="1"/>
  <c r="I1435" i="7"/>
  <c r="H1435" i="7"/>
  <c r="G1435" i="7"/>
  <c r="J1435" i="7" s="1"/>
  <c r="I1434" i="7"/>
  <c r="H1434" i="7"/>
  <c r="G1434" i="7"/>
  <c r="J1434" i="7" s="1"/>
  <c r="I1433" i="7"/>
  <c r="H1433" i="7"/>
  <c r="G1433" i="7"/>
  <c r="J1433" i="7" s="1"/>
  <c r="I1432" i="7"/>
  <c r="H1432" i="7"/>
  <c r="G1432" i="7"/>
  <c r="J1432" i="7" s="1"/>
  <c r="I1431" i="7"/>
  <c r="H1431" i="7"/>
  <c r="G1431" i="7"/>
  <c r="J1431" i="7" s="1"/>
  <c r="I1430" i="7"/>
  <c r="H1430" i="7"/>
  <c r="G1430" i="7"/>
  <c r="J1430" i="7" s="1"/>
  <c r="I1429" i="7"/>
  <c r="H1429" i="7"/>
  <c r="G1429" i="7"/>
  <c r="J1429" i="7" s="1"/>
  <c r="I1428" i="7"/>
  <c r="H1428" i="7"/>
  <c r="G1428" i="7"/>
  <c r="J1428" i="7" s="1"/>
  <c r="I1427" i="7"/>
  <c r="H1427" i="7"/>
  <c r="G1427" i="7"/>
  <c r="J1427" i="7" s="1"/>
  <c r="I1426" i="7"/>
  <c r="H1426" i="7"/>
  <c r="G1426" i="7"/>
  <c r="J1426" i="7" s="1"/>
  <c r="I1425" i="7"/>
  <c r="H1425" i="7"/>
  <c r="G1425" i="7"/>
  <c r="J1425" i="7" s="1"/>
  <c r="I1424" i="7"/>
  <c r="H1424" i="7"/>
  <c r="G1424" i="7"/>
  <c r="J1424" i="7" s="1"/>
  <c r="I1423" i="7"/>
  <c r="H1423" i="7"/>
  <c r="G1423" i="7"/>
  <c r="J1423" i="7" s="1"/>
  <c r="I1422" i="7"/>
  <c r="H1422" i="7"/>
  <c r="G1422" i="7"/>
  <c r="J1422" i="7" s="1"/>
  <c r="I1421" i="7"/>
  <c r="H1421" i="7"/>
  <c r="G1421" i="7"/>
  <c r="J1421" i="7" s="1"/>
  <c r="I1420" i="7"/>
  <c r="H1420" i="7"/>
  <c r="G1420" i="7"/>
  <c r="J1420" i="7" s="1"/>
  <c r="I1419" i="7"/>
  <c r="H1419" i="7"/>
  <c r="G1419" i="7"/>
  <c r="J1419" i="7" s="1"/>
  <c r="I1418" i="7"/>
  <c r="H1418" i="7"/>
  <c r="G1418" i="7"/>
  <c r="J1418" i="7" s="1"/>
  <c r="I1417" i="7"/>
  <c r="H1417" i="7"/>
  <c r="G1417" i="7"/>
  <c r="J1417" i="7" s="1"/>
  <c r="I1416" i="7"/>
  <c r="H1416" i="7"/>
  <c r="G1416" i="7"/>
  <c r="J1416" i="7" s="1"/>
  <c r="I1415" i="7"/>
  <c r="H1415" i="7"/>
  <c r="G1415" i="7"/>
  <c r="J1415" i="7" s="1"/>
  <c r="I1414" i="7"/>
  <c r="H1414" i="7"/>
  <c r="G1414" i="7"/>
  <c r="J1414" i="7" s="1"/>
  <c r="I1413" i="7"/>
  <c r="H1413" i="7"/>
  <c r="G1413" i="7"/>
  <c r="J1413" i="7" s="1"/>
  <c r="I1412" i="7"/>
  <c r="H1412" i="7"/>
  <c r="G1412" i="7"/>
  <c r="J1412" i="7" s="1"/>
  <c r="I1411" i="7"/>
  <c r="H1411" i="7"/>
  <c r="G1411" i="7"/>
  <c r="J1411" i="7" s="1"/>
  <c r="I1410" i="7"/>
  <c r="H1410" i="7"/>
  <c r="G1410" i="7"/>
  <c r="J1410" i="7" s="1"/>
  <c r="I1409" i="7"/>
  <c r="H1409" i="7"/>
  <c r="G1409" i="7"/>
  <c r="J1409" i="7" s="1"/>
  <c r="I1408" i="7"/>
  <c r="H1408" i="7"/>
  <c r="G1408" i="7"/>
  <c r="J1408" i="7" s="1"/>
  <c r="I1407" i="7"/>
  <c r="H1407" i="7"/>
  <c r="G1407" i="7"/>
  <c r="J1407" i="7" s="1"/>
  <c r="I1406" i="7"/>
  <c r="H1406" i="7"/>
  <c r="G1406" i="7"/>
  <c r="J1406" i="7" s="1"/>
  <c r="I1405" i="7"/>
  <c r="H1405" i="7"/>
  <c r="G1405" i="7"/>
  <c r="J1405" i="7" s="1"/>
  <c r="I1404" i="7"/>
  <c r="H1404" i="7"/>
  <c r="G1404" i="7"/>
  <c r="J1404" i="7" s="1"/>
  <c r="I1403" i="7"/>
  <c r="H1403" i="7"/>
  <c r="G1403" i="7"/>
  <c r="J1403" i="7" s="1"/>
  <c r="I1402" i="7"/>
  <c r="H1402" i="7"/>
  <c r="G1402" i="7"/>
  <c r="J1402" i="7" s="1"/>
  <c r="I1401" i="7"/>
  <c r="H1401" i="7"/>
  <c r="G1401" i="7"/>
  <c r="J1401" i="7" s="1"/>
  <c r="I1400" i="7"/>
  <c r="H1400" i="7"/>
  <c r="G1400" i="7"/>
  <c r="J1400" i="7" s="1"/>
  <c r="I1399" i="7"/>
  <c r="H1399" i="7"/>
  <c r="G1399" i="7"/>
  <c r="J1399" i="7" s="1"/>
  <c r="I1398" i="7"/>
  <c r="H1398" i="7"/>
  <c r="G1398" i="7"/>
  <c r="J1398" i="7" s="1"/>
  <c r="I1397" i="7"/>
  <c r="H1397" i="7"/>
  <c r="G1397" i="7"/>
  <c r="J1397" i="7" s="1"/>
  <c r="I1396" i="7"/>
  <c r="H1396" i="7"/>
  <c r="G1396" i="7"/>
  <c r="J1396" i="7" s="1"/>
  <c r="I1395" i="7"/>
  <c r="H1395" i="7"/>
  <c r="G1395" i="7"/>
  <c r="J1395" i="7" s="1"/>
  <c r="I1394" i="7"/>
  <c r="H1394" i="7"/>
  <c r="G1394" i="7"/>
  <c r="J1394" i="7" s="1"/>
  <c r="I1393" i="7"/>
  <c r="H1393" i="7"/>
  <c r="G1393" i="7"/>
  <c r="J1393" i="7" s="1"/>
  <c r="I1392" i="7"/>
  <c r="H1392" i="7"/>
  <c r="G1392" i="7"/>
  <c r="J1392" i="7" s="1"/>
  <c r="I1391" i="7"/>
  <c r="H1391" i="7"/>
  <c r="G1391" i="7"/>
  <c r="J1391" i="7" s="1"/>
  <c r="I1390" i="7"/>
  <c r="H1390" i="7"/>
  <c r="G1390" i="7"/>
  <c r="J1390" i="7" s="1"/>
  <c r="I1389" i="7"/>
  <c r="H1389" i="7"/>
  <c r="G1389" i="7"/>
  <c r="J1389" i="7" s="1"/>
  <c r="I1388" i="7"/>
  <c r="H1388" i="7"/>
  <c r="G1388" i="7"/>
  <c r="J1388" i="7" s="1"/>
  <c r="I1387" i="7"/>
  <c r="H1387" i="7"/>
  <c r="G1387" i="7"/>
  <c r="J1387" i="7" s="1"/>
  <c r="I1386" i="7"/>
  <c r="H1386" i="7"/>
  <c r="G1386" i="7"/>
  <c r="J1386" i="7" s="1"/>
  <c r="I1385" i="7"/>
  <c r="H1385" i="7"/>
  <c r="G1385" i="7"/>
  <c r="J1385" i="7" s="1"/>
  <c r="I1384" i="7"/>
  <c r="H1384" i="7"/>
  <c r="G1384" i="7"/>
  <c r="J1384" i="7" s="1"/>
  <c r="I1383" i="7"/>
  <c r="H1383" i="7"/>
  <c r="G1383" i="7"/>
  <c r="J1383" i="7" s="1"/>
  <c r="I1382" i="7"/>
  <c r="H1382" i="7"/>
  <c r="G1382" i="7"/>
  <c r="J1382" i="7" s="1"/>
  <c r="I1381" i="7"/>
  <c r="H1381" i="7"/>
  <c r="G1381" i="7"/>
  <c r="J1381" i="7" s="1"/>
  <c r="I1380" i="7"/>
  <c r="H1380" i="7"/>
  <c r="G1380" i="7"/>
  <c r="J1380" i="7" s="1"/>
  <c r="I1379" i="7"/>
  <c r="H1379" i="7"/>
  <c r="G1379" i="7"/>
  <c r="J1379" i="7" s="1"/>
  <c r="I1378" i="7"/>
  <c r="H1378" i="7"/>
  <c r="G1378" i="7"/>
  <c r="J1378" i="7" s="1"/>
  <c r="I1377" i="7"/>
  <c r="H1377" i="7"/>
  <c r="G1377" i="7"/>
  <c r="J1377" i="7" s="1"/>
  <c r="I1376" i="7"/>
  <c r="H1376" i="7"/>
  <c r="G1376" i="7"/>
  <c r="J1376" i="7" s="1"/>
  <c r="I1375" i="7"/>
  <c r="H1375" i="7"/>
  <c r="G1375" i="7"/>
  <c r="J1375" i="7" s="1"/>
  <c r="I1374" i="7"/>
  <c r="H1374" i="7"/>
  <c r="G1374" i="7"/>
  <c r="J1374" i="7" s="1"/>
  <c r="I1373" i="7"/>
  <c r="H1373" i="7"/>
  <c r="G1373" i="7"/>
  <c r="J1373" i="7" s="1"/>
  <c r="I1372" i="7"/>
  <c r="H1372" i="7"/>
  <c r="G1372" i="7"/>
  <c r="J1372" i="7" s="1"/>
  <c r="I1371" i="7"/>
  <c r="H1371" i="7"/>
  <c r="G1371" i="7"/>
  <c r="J1371" i="7" s="1"/>
  <c r="I1370" i="7"/>
  <c r="H1370" i="7"/>
  <c r="G1370" i="7"/>
  <c r="J1370" i="7" s="1"/>
  <c r="I1369" i="7"/>
  <c r="H1369" i="7"/>
  <c r="G1369" i="7"/>
  <c r="J1369" i="7" s="1"/>
  <c r="I1368" i="7"/>
  <c r="H1368" i="7"/>
  <c r="G1368" i="7"/>
  <c r="J1368" i="7" s="1"/>
  <c r="I1367" i="7"/>
  <c r="H1367" i="7"/>
  <c r="G1367" i="7"/>
  <c r="J1367" i="7" s="1"/>
  <c r="I1366" i="7"/>
  <c r="H1366" i="7"/>
  <c r="G1366" i="7"/>
  <c r="J1366" i="7" s="1"/>
  <c r="I1365" i="7"/>
  <c r="H1365" i="7"/>
  <c r="G1365" i="7"/>
  <c r="J1365" i="7" s="1"/>
  <c r="I1364" i="7"/>
  <c r="H1364" i="7"/>
  <c r="G1364" i="7"/>
  <c r="J1364" i="7" s="1"/>
  <c r="I1363" i="7"/>
  <c r="H1363" i="7"/>
  <c r="G1363" i="7"/>
  <c r="J1363" i="7" s="1"/>
  <c r="I1362" i="7"/>
  <c r="H1362" i="7"/>
  <c r="G1362" i="7"/>
  <c r="J1362" i="7" s="1"/>
  <c r="I1361" i="7"/>
  <c r="H1361" i="7"/>
  <c r="G1361" i="7"/>
  <c r="J1361" i="7" s="1"/>
  <c r="I1360" i="7"/>
  <c r="H1360" i="7"/>
  <c r="G1360" i="7"/>
  <c r="J1360" i="7" s="1"/>
  <c r="I1359" i="7"/>
  <c r="H1359" i="7"/>
  <c r="G1359" i="7"/>
  <c r="J1359" i="7" s="1"/>
  <c r="I1358" i="7"/>
  <c r="H1358" i="7"/>
  <c r="G1358" i="7"/>
  <c r="J1358" i="7" s="1"/>
  <c r="I1357" i="7"/>
  <c r="H1357" i="7"/>
  <c r="G1357" i="7"/>
  <c r="J1357" i="7" s="1"/>
  <c r="I1356" i="7"/>
  <c r="H1356" i="7"/>
  <c r="G1356" i="7"/>
  <c r="J1356" i="7" s="1"/>
  <c r="I1355" i="7"/>
  <c r="H1355" i="7"/>
  <c r="G1355" i="7"/>
  <c r="J1355" i="7" s="1"/>
  <c r="I1354" i="7"/>
  <c r="H1354" i="7"/>
  <c r="G1354" i="7"/>
  <c r="J1354" i="7" s="1"/>
  <c r="I1353" i="7"/>
  <c r="H1353" i="7"/>
  <c r="G1353" i="7"/>
  <c r="J1353" i="7" s="1"/>
  <c r="I1352" i="7"/>
  <c r="H1352" i="7"/>
  <c r="G1352" i="7"/>
  <c r="J1352" i="7" s="1"/>
  <c r="I1351" i="7"/>
  <c r="H1351" i="7"/>
  <c r="G1351" i="7"/>
  <c r="J1351" i="7" s="1"/>
  <c r="I1350" i="7"/>
  <c r="H1350" i="7"/>
  <c r="G1350" i="7"/>
  <c r="J1350" i="7" s="1"/>
  <c r="I1349" i="7"/>
  <c r="H1349" i="7"/>
  <c r="G1349" i="7"/>
  <c r="J1349" i="7" s="1"/>
  <c r="I1348" i="7"/>
  <c r="H1348" i="7"/>
  <c r="G1348" i="7"/>
  <c r="J1348" i="7" s="1"/>
  <c r="I1347" i="7"/>
  <c r="H1347" i="7"/>
  <c r="G1347" i="7"/>
  <c r="J1347" i="7" s="1"/>
  <c r="I1346" i="7"/>
  <c r="H1346" i="7"/>
  <c r="G1346" i="7"/>
  <c r="J1346" i="7" s="1"/>
  <c r="I1345" i="7"/>
  <c r="H1345" i="7"/>
  <c r="G1345" i="7"/>
  <c r="J1345" i="7" s="1"/>
  <c r="I1344" i="7"/>
  <c r="H1344" i="7"/>
  <c r="G1344" i="7"/>
  <c r="J1344" i="7" s="1"/>
  <c r="I1343" i="7"/>
  <c r="H1343" i="7"/>
  <c r="G1343" i="7"/>
  <c r="J1343" i="7" s="1"/>
  <c r="I1342" i="7"/>
  <c r="H1342" i="7"/>
  <c r="G1342" i="7"/>
  <c r="J1342" i="7" s="1"/>
  <c r="I1341" i="7"/>
  <c r="H1341" i="7"/>
  <c r="G1341" i="7"/>
  <c r="J1341" i="7" s="1"/>
  <c r="I1340" i="7"/>
  <c r="H1340" i="7"/>
  <c r="G1340" i="7"/>
  <c r="J1340" i="7" s="1"/>
  <c r="I1339" i="7"/>
  <c r="H1339" i="7"/>
  <c r="G1339" i="7"/>
  <c r="J1339" i="7" s="1"/>
  <c r="I1338" i="7"/>
  <c r="H1338" i="7"/>
  <c r="G1338" i="7"/>
  <c r="J1338" i="7" s="1"/>
  <c r="I1337" i="7"/>
  <c r="H1337" i="7"/>
  <c r="G1337" i="7"/>
  <c r="J1337" i="7" s="1"/>
  <c r="I1336" i="7"/>
  <c r="H1336" i="7"/>
  <c r="G1336" i="7"/>
  <c r="J1336" i="7" s="1"/>
  <c r="I1335" i="7"/>
  <c r="H1335" i="7"/>
  <c r="G1335" i="7"/>
  <c r="J1335" i="7" s="1"/>
  <c r="I1334" i="7"/>
  <c r="H1334" i="7"/>
  <c r="G1334" i="7"/>
  <c r="J1334" i="7" s="1"/>
  <c r="I1333" i="7"/>
  <c r="H1333" i="7"/>
  <c r="G1333" i="7"/>
  <c r="J1333" i="7" s="1"/>
  <c r="I1332" i="7"/>
  <c r="H1332" i="7"/>
  <c r="G1332" i="7"/>
  <c r="J1332" i="7" s="1"/>
  <c r="I1331" i="7"/>
  <c r="H1331" i="7"/>
  <c r="G1331" i="7"/>
  <c r="J1331" i="7" s="1"/>
  <c r="I1330" i="7"/>
  <c r="H1330" i="7"/>
  <c r="G1330" i="7"/>
  <c r="J1330" i="7" s="1"/>
  <c r="I1329" i="7"/>
  <c r="H1329" i="7"/>
  <c r="G1329" i="7"/>
  <c r="J1329" i="7" s="1"/>
  <c r="I1328" i="7"/>
  <c r="H1328" i="7"/>
  <c r="G1328" i="7"/>
  <c r="J1328" i="7" s="1"/>
  <c r="I1327" i="7"/>
  <c r="H1327" i="7"/>
  <c r="G1327" i="7"/>
  <c r="J1327" i="7" s="1"/>
  <c r="I1326" i="7"/>
  <c r="H1326" i="7"/>
  <c r="G1326" i="7"/>
  <c r="J1326" i="7" s="1"/>
  <c r="I1325" i="7"/>
  <c r="H1325" i="7"/>
  <c r="G1325" i="7"/>
  <c r="J1325" i="7" s="1"/>
  <c r="I1324" i="7"/>
  <c r="H1324" i="7"/>
  <c r="G1324" i="7"/>
  <c r="J1324" i="7" s="1"/>
  <c r="I1323" i="7"/>
  <c r="H1323" i="7"/>
  <c r="G1323" i="7"/>
  <c r="J1323" i="7" s="1"/>
  <c r="I1322" i="7"/>
  <c r="H1322" i="7"/>
  <c r="G1322" i="7"/>
  <c r="J1322" i="7" s="1"/>
  <c r="I1321" i="7"/>
  <c r="H1321" i="7"/>
  <c r="G1321" i="7"/>
  <c r="J1321" i="7" s="1"/>
  <c r="I1320" i="7"/>
  <c r="H1320" i="7"/>
  <c r="G1320" i="7"/>
  <c r="J1320" i="7" s="1"/>
  <c r="I1319" i="7"/>
  <c r="H1319" i="7"/>
  <c r="G1319" i="7"/>
  <c r="J1319" i="7" s="1"/>
  <c r="I1318" i="7"/>
  <c r="H1318" i="7"/>
  <c r="G1318" i="7"/>
  <c r="J1318" i="7" s="1"/>
  <c r="I1317" i="7"/>
  <c r="H1317" i="7"/>
  <c r="G1317" i="7"/>
  <c r="J1317" i="7" s="1"/>
  <c r="I1316" i="7"/>
  <c r="H1316" i="7"/>
  <c r="G1316" i="7"/>
  <c r="J1316" i="7" s="1"/>
  <c r="I1315" i="7"/>
  <c r="H1315" i="7"/>
  <c r="G1315" i="7"/>
  <c r="J1315" i="7" s="1"/>
  <c r="I1314" i="7"/>
  <c r="H1314" i="7"/>
  <c r="G1314" i="7"/>
  <c r="J1314" i="7" s="1"/>
  <c r="I1313" i="7"/>
  <c r="H1313" i="7"/>
  <c r="G1313" i="7"/>
  <c r="J1313" i="7" s="1"/>
  <c r="I1312" i="7"/>
  <c r="H1312" i="7"/>
  <c r="G1312" i="7"/>
  <c r="J1312" i="7" s="1"/>
  <c r="I1311" i="7"/>
  <c r="H1311" i="7"/>
  <c r="G1311" i="7"/>
  <c r="J1311" i="7" s="1"/>
  <c r="I1310" i="7"/>
  <c r="H1310" i="7"/>
  <c r="G1310" i="7"/>
  <c r="J1310" i="7" s="1"/>
  <c r="I1309" i="7"/>
  <c r="H1309" i="7"/>
  <c r="G1309" i="7"/>
  <c r="J1309" i="7" s="1"/>
  <c r="I1308" i="7"/>
  <c r="H1308" i="7"/>
  <c r="G1308" i="7"/>
  <c r="J1308" i="7" s="1"/>
  <c r="I1307" i="7"/>
  <c r="H1307" i="7"/>
  <c r="G1307" i="7"/>
  <c r="J1307" i="7" s="1"/>
  <c r="I1306" i="7"/>
  <c r="H1306" i="7"/>
  <c r="G1306" i="7"/>
  <c r="J1306" i="7" s="1"/>
  <c r="I1305" i="7"/>
  <c r="H1305" i="7"/>
  <c r="G1305" i="7"/>
  <c r="J1305" i="7" s="1"/>
  <c r="I1304" i="7"/>
  <c r="H1304" i="7"/>
  <c r="G1304" i="7"/>
  <c r="J1304" i="7" s="1"/>
  <c r="I1303" i="7"/>
  <c r="H1303" i="7"/>
  <c r="G1303" i="7"/>
  <c r="J1303" i="7" s="1"/>
  <c r="I1302" i="7"/>
  <c r="H1302" i="7"/>
  <c r="G1302" i="7"/>
  <c r="J1302" i="7" s="1"/>
  <c r="I1301" i="7"/>
  <c r="H1301" i="7"/>
  <c r="G1301" i="7"/>
  <c r="J1301" i="7" s="1"/>
  <c r="I1300" i="7"/>
  <c r="H1300" i="7"/>
  <c r="G1300" i="7"/>
  <c r="J1300" i="7" s="1"/>
  <c r="I1299" i="7"/>
  <c r="H1299" i="7"/>
  <c r="G1299" i="7"/>
  <c r="J1299" i="7" s="1"/>
  <c r="I1298" i="7"/>
  <c r="H1298" i="7"/>
  <c r="G1298" i="7"/>
  <c r="J1298" i="7" s="1"/>
  <c r="I1297" i="7"/>
  <c r="H1297" i="7"/>
  <c r="G1297" i="7"/>
  <c r="J1297" i="7" s="1"/>
  <c r="I1296" i="7"/>
  <c r="H1296" i="7"/>
  <c r="G1296" i="7"/>
  <c r="J1296" i="7" s="1"/>
  <c r="I1295" i="7"/>
  <c r="H1295" i="7"/>
  <c r="G1295" i="7"/>
  <c r="J1295" i="7" s="1"/>
  <c r="I1294" i="7"/>
  <c r="H1294" i="7"/>
  <c r="G1294" i="7"/>
  <c r="J1294" i="7" s="1"/>
  <c r="I1293" i="7"/>
  <c r="H1293" i="7"/>
  <c r="G1293" i="7"/>
  <c r="J1293" i="7" s="1"/>
  <c r="I1292" i="7"/>
  <c r="H1292" i="7"/>
  <c r="G1292" i="7"/>
  <c r="J1292" i="7" s="1"/>
  <c r="I1291" i="7"/>
  <c r="H1291" i="7"/>
  <c r="G1291" i="7"/>
  <c r="J1291" i="7" s="1"/>
  <c r="I1290" i="7"/>
  <c r="H1290" i="7"/>
  <c r="G1290" i="7"/>
  <c r="J1290" i="7" s="1"/>
  <c r="I1289" i="7"/>
  <c r="H1289" i="7"/>
  <c r="G1289" i="7"/>
  <c r="J1289" i="7" s="1"/>
  <c r="I1288" i="7"/>
  <c r="H1288" i="7"/>
  <c r="G1288" i="7"/>
  <c r="J1288" i="7" s="1"/>
  <c r="I1287" i="7"/>
  <c r="H1287" i="7"/>
  <c r="G1287" i="7"/>
  <c r="J1287" i="7" s="1"/>
  <c r="I1286" i="7"/>
  <c r="H1286" i="7"/>
  <c r="G1286" i="7"/>
  <c r="J1286" i="7" s="1"/>
  <c r="I1285" i="7"/>
  <c r="H1285" i="7"/>
  <c r="G1285" i="7"/>
  <c r="J1285" i="7" s="1"/>
  <c r="I1284" i="7"/>
  <c r="H1284" i="7"/>
  <c r="G1284" i="7"/>
  <c r="J1284" i="7" s="1"/>
  <c r="I1283" i="7"/>
  <c r="H1283" i="7"/>
  <c r="G1283" i="7"/>
  <c r="J1283" i="7" s="1"/>
  <c r="I1282" i="7"/>
  <c r="H1282" i="7"/>
  <c r="G1282" i="7"/>
  <c r="J1282" i="7" s="1"/>
  <c r="I1281" i="7"/>
  <c r="H1281" i="7"/>
  <c r="G1281" i="7"/>
  <c r="J1281" i="7" s="1"/>
  <c r="I1280" i="7"/>
  <c r="H1280" i="7"/>
  <c r="G1280" i="7"/>
  <c r="J1280" i="7" s="1"/>
  <c r="I1279" i="7"/>
  <c r="H1279" i="7"/>
  <c r="G1279" i="7"/>
  <c r="J1279" i="7" s="1"/>
  <c r="I1278" i="7"/>
  <c r="H1278" i="7"/>
  <c r="G1278" i="7"/>
  <c r="J1278" i="7" s="1"/>
  <c r="I1277" i="7"/>
  <c r="H1277" i="7"/>
  <c r="G1277" i="7"/>
  <c r="J1277" i="7" s="1"/>
  <c r="I1276" i="7"/>
  <c r="H1276" i="7"/>
  <c r="G1276" i="7"/>
  <c r="J1276" i="7" s="1"/>
  <c r="I1275" i="7"/>
  <c r="H1275" i="7"/>
  <c r="G1275" i="7"/>
  <c r="J1275" i="7" s="1"/>
  <c r="I1274" i="7"/>
  <c r="H1274" i="7"/>
  <c r="G1274" i="7"/>
  <c r="J1274" i="7" s="1"/>
  <c r="I1273" i="7"/>
  <c r="H1273" i="7"/>
  <c r="G1273" i="7"/>
  <c r="J1273" i="7" s="1"/>
  <c r="I1272" i="7"/>
  <c r="H1272" i="7"/>
  <c r="G1272" i="7"/>
  <c r="J1272" i="7" s="1"/>
  <c r="I1271" i="7"/>
  <c r="H1271" i="7"/>
  <c r="G1271" i="7"/>
  <c r="J1271" i="7" s="1"/>
  <c r="I1270" i="7"/>
  <c r="H1270" i="7"/>
  <c r="G1270" i="7"/>
  <c r="J1270" i="7" s="1"/>
  <c r="I1269" i="7"/>
  <c r="H1269" i="7"/>
  <c r="G1269" i="7"/>
  <c r="J1269" i="7" s="1"/>
  <c r="I1268" i="7"/>
  <c r="H1268" i="7"/>
  <c r="G1268" i="7"/>
  <c r="J1268" i="7" s="1"/>
  <c r="I1267" i="7"/>
  <c r="H1267" i="7"/>
  <c r="G1267" i="7"/>
  <c r="J1267" i="7" s="1"/>
  <c r="I1266" i="7"/>
  <c r="H1266" i="7"/>
  <c r="G1266" i="7"/>
  <c r="J1266" i="7" s="1"/>
  <c r="I1265" i="7"/>
  <c r="H1265" i="7"/>
  <c r="G1265" i="7"/>
  <c r="J1265" i="7" s="1"/>
  <c r="I1264" i="7"/>
  <c r="H1264" i="7"/>
  <c r="G1264" i="7"/>
  <c r="J1264" i="7" s="1"/>
  <c r="I1263" i="7"/>
  <c r="H1263" i="7"/>
  <c r="G1263" i="7"/>
  <c r="J1263" i="7" s="1"/>
  <c r="I1262" i="7"/>
  <c r="H1262" i="7"/>
  <c r="G1262" i="7"/>
  <c r="J1262" i="7" s="1"/>
  <c r="I1261" i="7"/>
  <c r="H1261" i="7"/>
  <c r="G1261" i="7"/>
  <c r="J1261" i="7" s="1"/>
  <c r="I1260" i="7"/>
  <c r="H1260" i="7"/>
  <c r="G1260" i="7"/>
  <c r="J1260" i="7" s="1"/>
  <c r="I1259" i="7"/>
  <c r="H1259" i="7"/>
  <c r="G1259" i="7"/>
  <c r="J1259" i="7" s="1"/>
  <c r="I1258" i="7"/>
  <c r="H1258" i="7"/>
  <c r="G1258" i="7"/>
  <c r="J1258" i="7" s="1"/>
  <c r="I1257" i="7"/>
  <c r="H1257" i="7"/>
  <c r="G1257" i="7"/>
  <c r="J1257" i="7" s="1"/>
  <c r="I1256" i="7"/>
  <c r="H1256" i="7"/>
  <c r="G1256" i="7"/>
  <c r="J1256" i="7" s="1"/>
  <c r="I1255" i="7"/>
  <c r="H1255" i="7"/>
  <c r="G1255" i="7"/>
  <c r="J1255" i="7" s="1"/>
  <c r="I1254" i="7"/>
  <c r="H1254" i="7"/>
  <c r="G1254" i="7"/>
  <c r="J1254" i="7" s="1"/>
  <c r="I1253" i="7"/>
  <c r="H1253" i="7"/>
  <c r="G1253" i="7"/>
  <c r="J1253" i="7" s="1"/>
  <c r="I1252" i="7"/>
  <c r="H1252" i="7"/>
  <c r="G1252" i="7"/>
  <c r="J1252" i="7" s="1"/>
  <c r="I1251" i="7"/>
  <c r="H1251" i="7"/>
  <c r="G1251" i="7"/>
  <c r="J1251" i="7" s="1"/>
  <c r="I1250" i="7"/>
  <c r="H1250" i="7"/>
  <c r="G1250" i="7"/>
  <c r="J1250" i="7" s="1"/>
  <c r="I1249" i="7"/>
  <c r="H1249" i="7"/>
  <c r="G1249" i="7"/>
  <c r="J1249" i="7" s="1"/>
  <c r="I1248" i="7"/>
  <c r="H1248" i="7"/>
  <c r="G1248" i="7"/>
  <c r="J1248" i="7" s="1"/>
  <c r="I1247" i="7"/>
  <c r="H1247" i="7"/>
  <c r="G1247" i="7"/>
  <c r="J1247" i="7" s="1"/>
  <c r="I1246" i="7"/>
  <c r="H1246" i="7"/>
  <c r="G1246" i="7"/>
  <c r="J1246" i="7" s="1"/>
  <c r="I1245" i="7"/>
  <c r="H1245" i="7"/>
  <c r="G1245" i="7"/>
  <c r="J1245" i="7" s="1"/>
  <c r="I1244" i="7"/>
  <c r="H1244" i="7"/>
  <c r="G1244" i="7"/>
  <c r="J1244" i="7" s="1"/>
  <c r="I1243" i="7"/>
  <c r="H1243" i="7"/>
  <c r="G1243" i="7"/>
  <c r="J1243" i="7" s="1"/>
  <c r="I1242" i="7"/>
  <c r="H1242" i="7"/>
  <c r="G1242" i="7"/>
  <c r="J1242" i="7" s="1"/>
  <c r="I1241" i="7"/>
  <c r="H1241" i="7"/>
  <c r="G1241" i="7"/>
  <c r="J1241" i="7" s="1"/>
  <c r="I1240" i="7"/>
  <c r="H1240" i="7"/>
  <c r="G1240" i="7"/>
  <c r="J1240" i="7" s="1"/>
  <c r="I1239" i="7"/>
  <c r="H1239" i="7"/>
  <c r="G1239" i="7"/>
  <c r="J1239" i="7" s="1"/>
  <c r="I1238" i="7"/>
  <c r="H1238" i="7"/>
  <c r="G1238" i="7"/>
  <c r="J1238" i="7" s="1"/>
  <c r="I1237" i="7"/>
  <c r="H1237" i="7"/>
  <c r="G1237" i="7"/>
  <c r="J1237" i="7" s="1"/>
  <c r="I1236" i="7"/>
  <c r="H1236" i="7"/>
  <c r="G1236" i="7"/>
  <c r="J1236" i="7" s="1"/>
  <c r="I1235" i="7"/>
  <c r="H1235" i="7"/>
  <c r="G1235" i="7"/>
  <c r="J1235" i="7" s="1"/>
  <c r="I1234" i="7"/>
  <c r="H1234" i="7"/>
  <c r="G1234" i="7"/>
  <c r="J1234" i="7" s="1"/>
  <c r="I1233" i="7"/>
  <c r="H1233" i="7"/>
  <c r="G1233" i="7"/>
  <c r="J1233" i="7" s="1"/>
  <c r="I1232" i="7"/>
  <c r="H1232" i="7"/>
  <c r="G1232" i="7"/>
  <c r="J1232" i="7" s="1"/>
  <c r="I1231" i="7"/>
  <c r="H1231" i="7"/>
  <c r="G1231" i="7"/>
  <c r="J1231" i="7" s="1"/>
  <c r="I1230" i="7"/>
  <c r="H1230" i="7"/>
  <c r="G1230" i="7"/>
  <c r="J1230" i="7" s="1"/>
  <c r="I1229" i="7"/>
  <c r="H1229" i="7"/>
  <c r="G1229" i="7"/>
  <c r="J1229" i="7" s="1"/>
  <c r="I1228" i="7"/>
  <c r="H1228" i="7"/>
  <c r="G1228" i="7"/>
  <c r="J1228" i="7" s="1"/>
  <c r="I1227" i="7"/>
  <c r="H1227" i="7"/>
  <c r="G1227" i="7"/>
  <c r="J1227" i="7" s="1"/>
  <c r="I1226" i="7"/>
  <c r="H1226" i="7"/>
  <c r="G1226" i="7"/>
  <c r="J1226" i="7" s="1"/>
  <c r="I1225" i="7"/>
  <c r="H1225" i="7"/>
  <c r="G1225" i="7"/>
  <c r="J1225" i="7" s="1"/>
  <c r="I1224" i="7"/>
  <c r="H1224" i="7"/>
  <c r="G1224" i="7"/>
  <c r="J1224" i="7" s="1"/>
  <c r="I1223" i="7"/>
  <c r="H1223" i="7"/>
  <c r="G1223" i="7"/>
  <c r="J1223" i="7" s="1"/>
  <c r="I1222" i="7"/>
  <c r="H1222" i="7"/>
  <c r="G1222" i="7"/>
  <c r="J1222" i="7" s="1"/>
  <c r="I1221" i="7"/>
  <c r="H1221" i="7"/>
  <c r="G1221" i="7"/>
  <c r="J1221" i="7" s="1"/>
  <c r="I1220" i="7"/>
  <c r="H1220" i="7"/>
  <c r="G1220" i="7"/>
  <c r="J1220" i="7" s="1"/>
  <c r="I1219" i="7"/>
  <c r="H1219" i="7"/>
  <c r="G1219" i="7"/>
  <c r="J1219" i="7" s="1"/>
  <c r="I1218" i="7"/>
  <c r="H1218" i="7"/>
  <c r="G1218" i="7"/>
  <c r="J1218" i="7" s="1"/>
  <c r="I1217" i="7"/>
  <c r="H1217" i="7"/>
  <c r="G1217" i="7"/>
  <c r="J1217" i="7" s="1"/>
  <c r="I1216" i="7"/>
  <c r="H1216" i="7"/>
  <c r="G1216" i="7"/>
  <c r="J1216" i="7" s="1"/>
  <c r="I1215" i="7"/>
  <c r="H1215" i="7"/>
  <c r="G1215" i="7"/>
  <c r="J1215" i="7" s="1"/>
  <c r="I1214" i="7"/>
  <c r="H1214" i="7"/>
  <c r="G1214" i="7"/>
  <c r="J1214" i="7" s="1"/>
  <c r="I1213" i="7"/>
  <c r="H1213" i="7"/>
  <c r="G1213" i="7"/>
  <c r="J1213" i="7" s="1"/>
  <c r="I1212" i="7"/>
  <c r="H1212" i="7"/>
  <c r="G1212" i="7"/>
  <c r="J1212" i="7" s="1"/>
  <c r="I1211" i="7"/>
  <c r="H1211" i="7"/>
  <c r="G1211" i="7"/>
  <c r="J1211" i="7" s="1"/>
  <c r="I1210" i="7"/>
  <c r="H1210" i="7"/>
  <c r="G1210" i="7"/>
  <c r="J1210" i="7" s="1"/>
  <c r="I1209" i="7"/>
  <c r="H1209" i="7"/>
  <c r="G1209" i="7"/>
  <c r="J1209" i="7" s="1"/>
  <c r="I1208" i="7"/>
  <c r="H1208" i="7"/>
  <c r="G1208" i="7"/>
  <c r="J1208" i="7" s="1"/>
  <c r="I1207" i="7"/>
  <c r="H1207" i="7"/>
  <c r="G1207" i="7"/>
  <c r="J1207" i="7" s="1"/>
  <c r="I1206" i="7"/>
  <c r="H1206" i="7"/>
  <c r="G1206" i="7"/>
  <c r="J1206" i="7" s="1"/>
  <c r="I1205" i="7"/>
  <c r="H1205" i="7"/>
  <c r="G1205" i="7"/>
  <c r="J1205" i="7" s="1"/>
  <c r="I1204" i="7"/>
  <c r="H1204" i="7"/>
  <c r="G1204" i="7"/>
  <c r="J1204" i="7" s="1"/>
  <c r="I1203" i="7"/>
  <c r="H1203" i="7"/>
  <c r="G1203" i="7"/>
  <c r="J1203" i="7" s="1"/>
  <c r="I1202" i="7"/>
  <c r="H1202" i="7"/>
  <c r="G1202" i="7"/>
  <c r="J1202" i="7" s="1"/>
  <c r="I1201" i="7"/>
  <c r="H1201" i="7"/>
  <c r="G1201" i="7"/>
  <c r="J1201" i="7" s="1"/>
  <c r="I1200" i="7"/>
  <c r="H1200" i="7"/>
  <c r="G1200" i="7"/>
  <c r="J1200" i="7" s="1"/>
  <c r="I1199" i="7"/>
  <c r="H1199" i="7"/>
  <c r="G1199" i="7"/>
  <c r="J1199" i="7" s="1"/>
  <c r="I1198" i="7"/>
  <c r="H1198" i="7"/>
  <c r="G1198" i="7"/>
  <c r="J1198" i="7" s="1"/>
  <c r="I1197" i="7"/>
  <c r="H1197" i="7"/>
  <c r="G1197" i="7"/>
  <c r="J1197" i="7" s="1"/>
  <c r="I1196" i="7"/>
  <c r="H1196" i="7"/>
  <c r="G1196" i="7"/>
  <c r="J1196" i="7" s="1"/>
  <c r="I1195" i="7"/>
  <c r="H1195" i="7"/>
  <c r="G1195" i="7"/>
  <c r="J1195" i="7" s="1"/>
  <c r="I1194" i="7"/>
  <c r="H1194" i="7"/>
  <c r="G1194" i="7"/>
  <c r="J1194" i="7" s="1"/>
  <c r="I1193" i="7"/>
  <c r="H1193" i="7"/>
  <c r="G1193" i="7"/>
  <c r="J1193" i="7" s="1"/>
  <c r="I1192" i="7"/>
  <c r="H1192" i="7"/>
  <c r="G1192" i="7"/>
  <c r="J1192" i="7" s="1"/>
  <c r="I1191" i="7"/>
  <c r="H1191" i="7"/>
  <c r="G1191" i="7"/>
  <c r="J1191" i="7" s="1"/>
  <c r="I1190" i="7"/>
  <c r="H1190" i="7"/>
  <c r="G1190" i="7"/>
  <c r="J1190" i="7" s="1"/>
  <c r="I1189" i="7"/>
  <c r="H1189" i="7"/>
  <c r="G1189" i="7"/>
  <c r="J1189" i="7" s="1"/>
  <c r="I1188" i="7"/>
  <c r="H1188" i="7"/>
  <c r="G1188" i="7"/>
  <c r="J1188" i="7" s="1"/>
  <c r="I1187" i="7"/>
  <c r="H1187" i="7"/>
  <c r="G1187" i="7"/>
  <c r="J1187" i="7" s="1"/>
  <c r="I1186" i="7"/>
  <c r="H1186" i="7"/>
  <c r="G1186" i="7"/>
  <c r="J1186" i="7" s="1"/>
  <c r="I1185" i="7"/>
  <c r="H1185" i="7"/>
  <c r="G1185" i="7"/>
  <c r="J1185" i="7" s="1"/>
  <c r="I1184" i="7"/>
  <c r="H1184" i="7"/>
  <c r="G1184" i="7"/>
  <c r="J1184" i="7" s="1"/>
  <c r="I1183" i="7"/>
  <c r="H1183" i="7"/>
  <c r="G1183" i="7"/>
  <c r="J1183" i="7" s="1"/>
  <c r="I1182" i="7"/>
  <c r="H1182" i="7"/>
  <c r="G1182" i="7"/>
  <c r="J1182" i="7" s="1"/>
  <c r="I1181" i="7"/>
  <c r="H1181" i="7"/>
  <c r="G1181" i="7"/>
  <c r="J1181" i="7" s="1"/>
  <c r="I1180" i="7"/>
  <c r="H1180" i="7"/>
  <c r="G1180" i="7"/>
  <c r="J1180" i="7" s="1"/>
  <c r="I1179" i="7"/>
  <c r="H1179" i="7"/>
  <c r="G1179" i="7"/>
  <c r="J1179" i="7" s="1"/>
  <c r="I1178" i="7"/>
  <c r="H1178" i="7"/>
  <c r="G1178" i="7"/>
  <c r="J1178" i="7" s="1"/>
  <c r="I1177" i="7"/>
  <c r="H1177" i="7"/>
  <c r="G1177" i="7"/>
  <c r="J1177" i="7" s="1"/>
  <c r="I1176" i="7"/>
  <c r="H1176" i="7"/>
  <c r="G1176" i="7"/>
  <c r="J1176" i="7" s="1"/>
  <c r="I1175" i="7"/>
  <c r="H1175" i="7"/>
  <c r="G1175" i="7"/>
  <c r="J1175" i="7" s="1"/>
  <c r="I1174" i="7"/>
  <c r="H1174" i="7"/>
  <c r="G1174" i="7"/>
  <c r="J1174" i="7" s="1"/>
  <c r="I1173" i="7"/>
  <c r="H1173" i="7"/>
  <c r="G1173" i="7"/>
  <c r="J1173" i="7" s="1"/>
  <c r="I1172" i="7"/>
  <c r="H1172" i="7"/>
  <c r="G1172" i="7"/>
  <c r="J1172" i="7" s="1"/>
  <c r="I1171" i="7"/>
  <c r="H1171" i="7"/>
  <c r="G1171" i="7"/>
  <c r="J1171" i="7" s="1"/>
  <c r="I1170" i="7"/>
  <c r="H1170" i="7"/>
  <c r="G1170" i="7"/>
  <c r="J1170" i="7" s="1"/>
  <c r="I1169" i="7"/>
  <c r="H1169" i="7"/>
  <c r="G1169" i="7"/>
  <c r="J1169" i="7" s="1"/>
  <c r="I1168" i="7"/>
  <c r="H1168" i="7"/>
  <c r="G1168" i="7"/>
  <c r="J1168" i="7" s="1"/>
  <c r="I1167" i="7"/>
  <c r="H1167" i="7"/>
  <c r="G1167" i="7"/>
  <c r="J1167" i="7" s="1"/>
  <c r="I1166" i="7"/>
  <c r="H1166" i="7"/>
  <c r="G1166" i="7"/>
  <c r="J1166" i="7" s="1"/>
  <c r="I1165" i="7"/>
  <c r="H1165" i="7"/>
  <c r="G1165" i="7"/>
  <c r="J1165" i="7" s="1"/>
  <c r="I1164" i="7"/>
  <c r="H1164" i="7"/>
  <c r="G1164" i="7"/>
  <c r="J1164" i="7" s="1"/>
  <c r="I1163" i="7"/>
  <c r="H1163" i="7"/>
  <c r="G1163" i="7"/>
  <c r="J1163" i="7" s="1"/>
  <c r="I1162" i="7"/>
  <c r="H1162" i="7"/>
  <c r="G1162" i="7"/>
  <c r="J1162" i="7" s="1"/>
  <c r="I1161" i="7"/>
  <c r="H1161" i="7"/>
  <c r="G1161" i="7"/>
  <c r="J1161" i="7" s="1"/>
  <c r="I1160" i="7"/>
  <c r="H1160" i="7"/>
  <c r="G1160" i="7"/>
  <c r="J1160" i="7" s="1"/>
  <c r="I1159" i="7"/>
  <c r="H1159" i="7"/>
  <c r="G1159" i="7"/>
  <c r="J1159" i="7" s="1"/>
  <c r="I1158" i="7"/>
  <c r="H1158" i="7"/>
  <c r="G1158" i="7"/>
  <c r="J1158" i="7" s="1"/>
  <c r="I1157" i="7"/>
  <c r="H1157" i="7"/>
  <c r="G1157" i="7"/>
  <c r="J1157" i="7" s="1"/>
  <c r="I1156" i="7"/>
  <c r="H1156" i="7"/>
  <c r="G1156" i="7"/>
  <c r="J1156" i="7" s="1"/>
  <c r="I1155" i="7"/>
  <c r="H1155" i="7"/>
  <c r="G1155" i="7"/>
  <c r="J1155" i="7" s="1"/>
  <c r="I1154" i="7"/>
  <c r="H1154" i="7"/>
  <c r="G1154" i="7"/>
  <c r="J1154" i="7" s="1"/>
  <c r="I1153" i="7"/>
  <c r="H1153" i="7"/>
  <c r="G1153" i="7"/>
  <c r="J1153" i="7" s="1"/>
  <c r="I1152" i="7"/>
  <c r="H1152" i="7"/>
  <c r="G1152" i="7"/>
  <c r="J1152" i="7" s="1"/>
  <c r="I1151" i="7"/>
  <c r="H1151" i="7"/>
  <c r="G1151" i="7"/>
  <c r="J1151" i="7" s="1"/>
  <c r="I1150" i="7"/>
  <c r="H1150" i="7"/>
  <c r="G1150" i="7"/>
  <c r="J1150" i="7" s="1"/>
  <c r="I1149" i="7"/>
  <c r="H1149" i="7"/>
  <c r="G1149" i="7"/>
  <c r="J1149" i="7" s="1"/>
  <c r="I1148" i="7"/>
  <c r="H1148" i="7"/>
  <c r="G1148" i="7"/>
  <c r="J1148" i="7" s="1"/>
  <c r="I1147" i="7"/>
  <c r="H1147" i="7"/>
  <c r="G1147" i="7"/>
  <c r="J1147" i="7" s="1"/>
  <c r="I1146" i="7"/>
  <c r="H1146" i="7"/>
  <c r="G1146" i="7"/>
  <c r="J1146" i="7" s="1"/>
  <c r="I1145" i="7"/>
  <c r="H1145" i="7"/>
  <c r="G1145" i="7"/>
  <c r="J1145" i="7" s="1"/>
  <c r="I1144" i="7"/>
  <c r="H1144" i="7"/>
  <c r="G1144" i="7"/>
  <c r="J1144" i="7" s="1"/>
  <c r="I1143" i="7"/>
  <c r="H1143" i="7"/>
  <c r="G1143" i="7"/>
  <c r="J1143" i="7" s="1"/>
  <c r="I1142" i="7"/>
  <c r="H1142" i="7"/>
  <c r="G1142" i="7"/>
  <c r="J1142" i="7" s="1"/>
  <c r="I1141" i="7"/>
  <c r="H1141" i="7"/>
  <c r="G1141" i="7"/>
  <c r="J1141" i="7" s="1"/>
  <c r="I1140" i="7"/>
  <c r="H1140" i="7"/>
  <c r="G1140" i="7"/>
  <c r="J1140" i="7" s="1"/>
  <c r="I1139" i="7"/>
  <c r="H1139" i="7"/>
  <c r="G1139" i="7"/>
  <c r="J1139" i="7" s="1"/>
  <c r="I1138" i="7"/>
  <c r="H1138" i="7"/>
  <c r="G1138" i="7"/>
  <c r="J1138" i="7" s="1"/>
  <c r="I1137" i="7"/>
  <c r="H1137" i="7"/>
  <c r="G1137" i="7"/>
  <c r="J1137" i="7" s="1"/>
  <c r="I1136" i="7"/>
  <c r="H1136" i="7"/>
  <c r="G1136" i="7"/>
  <c r="J1136" i="7" s="1"/>
  <c r="I1135" i="7"/>
  <c r="H1135" i="7"/>
  <c r="G1135" i="7"/>
  <c r="J1135" i="7" s="1"/>
  <c r="I1134" i="7"/>
  <c r="H1134" i="7"/>
  <c r="G1134" i="7"/>
  <c r="J1134" i="7" s="1"/>
  <c r="I1133" i="7"/>
  <c r="H1133" i="7"/>
  <c r="G1133" i="7"/>
  <c r="J1133" i="7" s="1"/>
  <c r="I1132" i="7"/>
  <c r="H1132" i="7"/>
  <c r="G1132" i="7"/>
  <c r="J1132" i="7" s="1"/>
  <c r="I1131" i="7"/>
  <c r="H1131" i="7"/>
  <c r="G1131" i="7"/>
  <c r="J1131" i="7" s="1"/>
  <c r="I1130" i="7"/>
  <c r="H1130" i="7"/>
  <c r="G1130" i="7"/>
  <c r="J1130" i="7" s="1"/>
  <c r="I1129" i="7"/>
  <c r="H1129" i="7"/>
  <c r="G1129" i="7"/>
  <c r="J1129" i="7" s="1"/>
  <c r="I1128" i="7"/>
  <c r="H1128" i="7"/>
  <c r="G1128" i="7"/>
  <c r="J1128" i="7" s="1"/>
  <c r="I1127" i="7"/>
  <c r="H1127" i="7"/>
  <c r="G1127" i="7"/>
  <c r="J1127" i="7" s="1"/>
  <c r="I1126" i="7"/>
  <c r="H1126" i="7"/>
  <c r="G1126" i="7"/>
  <c r="J1126" i="7" s="1"/>
  <c r="I1125" i="7"/>
  <c r="H1125" i="7"/>
  <c r="G1125" i="7"/>
  <c r="J1125" i="7" s="1"/>
  <c r="I1124" i="7"/>
  <c r="H1124" i="7"/>
  <c r="G1124" i="7"/>
  <c r="J1124" i="7" s="1"/>
  <c r="I1123" i="7"/>
  <c r="H1123" i="7"/>
  <c r="G1123" i="7"/>
  <c r="J1123" i="7" s="1"/>
  <c r="I1122" i="7"/>
  <c r="H1122" i="7"/>
  <c r="G1122" i="7"/>
  <c r="J1122" i="7" s="1"/>
  <c r="I1121" i="7"/>
  <c r="H1121" i="7"/>
  <c r="G1121" i="7"/>
  <c r="J1121" i="7" s="1"/>
  <c r="I1120" i="7"/>
  <c r="H1120" i="7"/>
  <c r="G1120" i="7"/>
  <c r="J1120" i="7" s="1"/>
  <c r="I1119" i="7"/>
  <c r="H1119" i="7"/>
  <c r="G1119" i="7"/>
  <c r="J1119" i="7" s="1"/>
  <c r="I1118" i="7"/>
  <c r="H1118" i="7"/>
  <c r="G1118" i="7"/>
  <c r="J1118" i="7" s="1"/>
  <c r="I1117" i="7"/>
  <c r="H1117" i="7"/>
  <c r="G1117" i="7"/>
  <c r="J1117" i="7" s="1"/>
  <c r="I1116" i="7"/>
  <c r="H1116" i="7"/>
  <c r="G1116" i="7"/>
  <c r="J1116" i="7" s="1"/>
  <c r="I1115" i="7"/>
  <c r="H1115" i="7"/>
  <c r="G1115" i="7"/>
  <c r="J1115" i="7" s="1"/>
  <c r="I1114" i="7"/>
  <c r="H1114" i="7"/>
  <c r="G1114" i="7"/>
  <c r="J1114" i="7" s="1"/>
  <c r="I1113" i="7"/>
  <c r="H1113" i="7"/>
  <c r="G1113" i="7"/>
  <c r="J1113" i="7" s="1"/>
  <c r="I1112" i="7"/>
  <c r="H1112" i="7"/>
  <c r="G1112" i="7"/>
  <c r="J1112" i="7" s="1"/>
  <c r="I1111" i="7"/>
  <c r="H1111" i="7"/>
  <c r="G1111" i="7"/>
  <c r="J1111" i="7" s="1"/>
  <c r="I1110" i="7"/>
  <c r="H1110" i="7"/>
  <c r="G1110" i="7"/>
  <c r="J1110" i="7" s="1"/>
  <c r="I1109" i="7"/>
  <c r="H1109" i="7"/>
  <c r="G1109" i="7"/>
  <c r="J1109" i="7" s="1"/>
  <c r="I1108" i="7"/>
  <c r="H1108" i="7"/>
  <c r="G1108" i="7"/>
  <c r="J1108" i="7" s="1"/>
  <c r="I1107" i="7"/>
  <c r="H1107" i="7"/>
  <c r="G1107" i="7"/>
  <c r="J1107" i="7" s="1"/>
  <c r="I1106" i="7"/>
  <c r="H1106" i="7"/>
  <c r="G1106" i="7"/>
  <c r="J1106" i="7" s="1"/>
  <c r="I1105" i="7"/>
  <c r="H1105" i="7"/>
  <c r="G1105" i="7"/>
  <c r="J1105" i="7" s="1"/>
  <c r="I1104" i="7"/>
  <c r="H1104" i="7"/>
  <c r="G1104" i="7"/>
  <c r="J1104" i="7" s="1"/>
  <c r="I1103" i="7"/>
  <c r="H1103" i="7"/>
  <c r="G1103" i="7"/>
  <c r="J1103" i="7" s="1"/>
  <c r="I1102" i="7"/>
  <c r="H1102" i="7"/>
  <c r="G1102" i="7"/>
  <c r="J1102" i="7" s="1"/>
  <c r="I1101" i="7"/>
  <c r="H1101" i="7"/>
  <c r="G1101" i="7"/>
  <c r="J1101" i="7" s="1"/>
  <c r="I1100" i="7"/>
  <c r="H1100" i="7"/>
  <c r="G1100" i="7"/>
  <c r="J1100" i="7" s="1"/>
  <c r="I1099" i="7"/>
  <c r="H1099" i="7"/>
  <c r="G1099" i="7"/>
  <c r="J1099" i="7" s="1"/>
  <c r="I1098" i="7"/>
  <c r="H1098" i="7"/>
  <c r="G1098" i="7"/>
  <c r="J1098" i="7" s="1"/>
  <c r="I1097" i="7"/>
  <c r="H1097" i="7"/>
  <c r="G1097" i="7"/>
  <c r="J1097" i="7" s="1"/>
  <c r="I1096" i="7"/>
  <c r="H1096" i="7"/>
  <c r="G1096" i="7"/>
  <c r="J1096" i="7" s="1"/>
  <c r="I1095" i="7"/>
  <c r="H1095" i="7"/>
  <c r="G1095" i="7"/>
  <c r="J1095" i="7" s="1"/>
  <c r="I1094" i="7"/>
  <c r="H1094" i="7"/>
  <c r="G1094" i="7"/>
  <c r="J1094" i="7" s="1"/>
  <c r="I1093" i="7"/>
  <c r="H1093" i="7"/>
  <c r="G1093" i="7"/>
  <c r="J1093" i="7" s="1"/>
  <c r="I1092" i="7"/>
  <c r="H1092" i="7"/>
  <c r="G1092" i="7"/>
  <c r="J1092" i="7" s="1"/>
  <c r="I1091" i="7"/>
  <c r="H1091" i="7"/>
  <c r="G1091" i="7"/>
  <c r="J1091" i="7" s="1"/>
  <c r="I1090" i="7"/>
  <c r="H1090" i="7"/>
  <c r="G1090" i="7"/>
  <c r="J1090" i="7" s="1"/>
  <c r="I1089" i="7"/>
  <c r="H1089" i="7"/>
  <c r="G1089" i="7"/>
  <c r="J1089" i="7" s="1"/>
  <c r="I1088" i="7"/>
  <c r="H1088" i="7"/>
  <c r="G1088" i="7"/>
  <c r="J1088" i="7" s="1"/>
  <c r="I1087" i="7"/>
  <c r="H1087" i="7"/>
  <c r="G1087" i="7"/>
  <c r="J1087" i="7" s="1"/>
  <c r="I1086" i="7"/>
  <c r="H1086" i="7"/>
  <c r="G1086" i="7"/>
  <c r="J1086" i="7" s="1"/>
  <c r="I1085" i="7"/>
  <c r="H1085" i="7"/>
  <c r="G1085" i="7"/>
  <c r="J1085" i="7" s="1"/>
  <c r="I1084" i="7"/>
  <c r="H1084" i="7"/>
  <c r="G1084" i="7"/>
  <c r="J1084" i="7" s="1"/>
  <c r="I1083" i="7"/>
  <c r="H1083" i="7"/>
  <c r="G1083" i="7"/>
  <c r="J1083" i="7" s="1"/>
  <c r="I1082" i="7"/>
  <c r="H1082" i="7"/>
  <c r="G1082" i="7"/>
  <c r="J1082" i="7" s="1"/>
  <c r="I1081" i="7"/>
  <c r="H1081" i="7"/>
  <c r="G1081" i="7"/>
  <c r="J1081" i="7" s="1"/>
  <c r="I1080" i="7"/>
  <c r="H1080" i="7"/>
  <c r="G1080" i="7"/>
  <c r="J1080" i="7" s="1"/>
  <c r="I1079" i="7"/>
  <c r="H1079" i="7"/>
  <c r="G1079" i="7"/>
  <c r="J1079" i="7" s="1"/>
  <c r="I1078" i="7"/>
  <c r="H1078" i="7"/>
  <c r="G1078" i="7"/>
  <c r="J1078" i="7" s="1"/>
  <c r="I1077" i="7"/>
  <c r="H1077" i="7"/>
  <c r="G1077" i="7"/>
  <c r="J1077" i="7" s="1"/>
  <c r="I1076" i="7"/>
  <c r="H1076" i="7"/>
  <c r="G1076" i="7"/>
  <c r="J1076" i="7" s="1"/>
  <c r="I1075" i="7"/>
  <c r="H1075" i="7"/>
  <c r="G1075" i="7"/>
  <c r="J1075" i="7" s="1"/>
  <c r="I1074" i="7"/>
  <c r="H1074" i="7"/>
  <c r="G1074" i="7"/>
  <c r="J1074" i="7" s="1"/>
  <c r="I1073" i="7"/>
  <c r="H1073" i="7"/>
  <c r="G1073" i="7"/>
  <c r="J1073" i="7" s="1"/>
  <c r="I1072" i="7"/>
  <c r="H1072" i="7"/>
  <c r="G1072" i="7"/>
  <c r="J1072" i="7" s="1"/>
  <c r="I1071" i="7"/>
  <c r="H1071" i="7"/>
  <c r="G1071" i="7"/>
  <c r="J1071" i="7" s="1"/>
  <c r="I1070" i="7"/>
  <c r="H1070" i="7"/>
  <c r="G1070" i="7"/>
  <c r="J1070" i="7" s="1"/>
  <c r="I1069" i="7"/>
  <c r="H1069" i="7"/>
  <c r="G1069" i="7"/>
  <c r="J1069" i="7" s="1"/>
  <c r="I1068" i="7"/>
  <c r="H1068" i="7"/>
  <c r="G1068" i="7"/>
  <c r="J1068" i="7" s="1"/>
  <c r="I1067" i="7"/>
  <c r="H1067" i="7"/>
  <c r="G1067" i="7"/>
  <c r="J1067" i="7" s="1"/>
  <c r="I1066" i="7"/>
  <c r="H1066" i="7"/>
  <c r="G1066" i="7"/>
  <c r="J1066" i="7" s="1"/>
  <c r="I1065" i="7"/>
  <c r="H1065" i="7"/>
  <c r="G1065" i="7"/>
  <c r="J1065" i="7" s="1"/>
  <c r="I1064" i="7"/>
  <c r="H1064" i="7"/>
  <c r="G1064" i="7"/>
  <c r="J1064" i="7" s="1"/>
  <c r="I1063" i="7"/>
  <c r="H1063" i="7"/>
  <c r="G1063" i="7"/>
  <c r="J1063" i="7" s="1"/>
  <c r="I1062" i="7"/>
  <c r="H1062" i="7"/>
  <c r="G1062" i="7"/>
  <c r="J1062" i="7" s="1"/>
  <c r="I1061" i="7"/>
  <c r="H1061" i="7"/>
  <c r="G1061" i="7"/>
  <c r="J1061" i="7" s="1"/>
  <c r="I1060" i="7"/>
  <c r="H1060" i="7"/>
  <c r="G1060" i="7"/>
  <c r="J1060" i="7" s="1"/>
  <c r="I1059" i="7"/>
  <c r="H1059" i="7"/>
  <c r="G1059" i="7"/>
  <c r="J1059" i="7" s="1"/>
  <c r="I1058" i="7"/>
  <c r="H1058" i="7"/>
  <c r="G1058" i="7"/>
  <c r="J1058" i="7" s="1"/>
  <c r="I1057" i="7"/>
  <c r="H1057" i="7"/>
  <c r="G1057" i="7"/>
  <c r="J1057" i="7" s="1"/>
  <c r="I1056" i="7"/>
  <c r="H1056" i="7"/>
  <c r="G1056" i="7"/>
  <c r="J1056" i="7" s="1"/>
  <c r="I1055" i="7"/>
  <c r="H1055" i="7"/>
  <c r="G1055" i="7"/>
  <c r="J1055" i="7" s="1"/>
  <c r="I1054" i="7"/>
  <c r="H1054" i="7"/>
  <c r="G1054" i="7"/>
  <c r="J1054" i="7" s="1"/>
  <c r="I1053" i="7"/>
  <c r="H1053" i="7"/>
  <c r="G1053" i="7"/>
  <c r="J1053" i="7" s="1"/>
  <c r="I1052" i="7"/>
  <c r="H1052" i="7"/>
  <c r="G1052" i="7"/>
  <c r="J1052" i="7" s="1"/>
  <c r="I1051" i="7"/>
  <c r="H1051" i="7"/>
  <c r="G1051" i="7"/>
  <c r="J1051" i="7" s="1"/>
  <c r="I1050" i="7"/>
  <c r="H1050" i="7"/>
  <c r="G1050" i="7"/>
  <c r="J1050" i="7" s="1"/>
  <c r="I1049" i="7"/>
  <c r="H1049" i="7"/>
  <c r="G1049" i="7"/>
  <c r="J1049" i="7" s="1"/>
  <c r="I1048" i="7"/>
  <c r="H1048" i="7"/>
  <c r="G1048" i="7"/>
  <c r="J1048" i="7" s="1"/>
  <c r="I1047" i="7"/>
  <c r="H1047" i="7"/>
  <c r="G1047" i="7"/>
  <c r="J1047" i="7" s="1"/>
  <c r="I1046" i="7"/>
  <c r="H1046" i="7"/>
  <c r="G1046" i="7"/>
  <c r="J1046" i="7" s="1"/>
  <c r="I1045" i="7"/>
  <c r="H1045" i="7"/>
  <c r="G1045" i="7"/>
  <c r="J1045" i="7" s="1"/>
  <c r="I1044" i="7"/>
  <c r="H1044" i="7"/>
  <c r="G1044" i="7"/>
  <c r="J1044" i="7" s="1"/>
  <c r="I1043" i="7"/>
  <c r="H1043" i="7"/>
  <c r="G1043" i="7"/>
  <c r="J1043" i="7" s="1"/>
  <c r="I1042" i="7"/>
  <c r="H1042" i="7"/>
  <c r="G1042" i="7"/>
  <c r="J1042" i="7" s="1"/>
  <c r="I1041" i="7"/>
  <c r="H1041" i="7"/>
  <c r="G1041" i="7"/>
  <c r="J1041" i="7" s="1"/>
  <c r="I1040" i="7"/>
  <c r="H1040" i="7"/>
  <c r="G1040" i="7"/>
  <c r="J1040" i="7" s="1"/>
  <c r="I1039" i="7"/>
  <c r="H1039" i="7"/>
  <c r="G1039" i="7"/>
  <c r="J1039" i="7" s="1"/>
  <c r="I1038" i="7"/>
  <c r="H1038" i="7"/>
  <c r="G1038" i="7"/>
  <c r="J1038" i="7" s="1"/>
  <c r="I1037" i="7"/>
  <c r="H1037" i="7"/>
  <c r="G1037" i="7"/>
  <c r="J1037" i="7" s="1"/>
  <c r="I1036" i="7"/>
  <c r="H1036" i="7"/>
  <c r="G1036" i="7"/>
  <c r="J1036" i="7" s="1"/>
  <c r="I1035" i="7"/>
  <c r="H1035" i="7"/>
  <c r="G1035" i="7"/>
  <c r="J1035" i="7" s="1"/>
  <c r="I1034" i="7"/>
  <c r="H1034" i="7"/>
  <c r="G1034" i="7"/>
  <c r="J1034" i="7" s="1"/>
  <c r="I1033" i="7"/>
  <c r="H1033" i="7"/>
  <c r="G1033" i="7"/>
  <c r="J1033" i="7" s="1"/>
  <c r="I1032" i="7"/>
  <c r="H1032" i="7"/>
  <c r="G1032" i="7"/>
  <c r="J1032" i="7" s="1"/>
  <c r="I1031" i="7"/>
  <c r="H1031" i="7"/>
  <c r="G1031" i="7"/>
  <c r="J1031" i="7" s="1"/>
  <c r="I1030" i="7"/>
  <c r="H1030" i="7"/>
  <c r="G1030" i="7"/>
  <c r="J1030" i="7" s="1"/>
  <c r="I1029" i="7"/>
  <c r="H1029" i="7"/>
  <c r="G1029" i="7"/>
  <c r="J1029" i="7" s="1"/>
  <c r="I1028" i="7"/>
  <c r="H1028" i="7"/>
  <c r="G1028" i="7"/>
  <c r="J1028" i="7" s="1"/>
  <c r="I1027" i="7"/>
  <c r="H1027" i="7"/>
  <c r="G1027" i="7"/>
  <c r="J1027" i="7" s="1"/>
  <c r="I1026" i="7"/>
  <c r="H1026" i="7"/>
  <c r="G1026" i="7"/>
  <c r="J1026" i="7" s="1"/>
  <c r="I1025" i="7"/>
  <c r="H1025" i="7"/>
  <c r="G1025" i="7"/>
  <c r="J1025" i="7" s="1"/>
  <c r="I1024" i="7"/>
  <c r="H1024" i="7"/>
  <c r="G1024" i="7"/>
  <c r="J1024" i="7" s="1"/>
  <c r="I1023" i="7"/>
  <c r="H1023" i="7"/>
  <c r="G1023" i="7"/>
  <c r="J1023" i="7" s="1"/>
  <c r="I1022" i="7"/>
  <c r="H1022" i="7"/>
  <c r="G1022" i="7"/>
  <c r="J1022" i="7" s="1"/>
  <c r="I1021" i="7"/>
  <c r="H1021" i="7"/>
  <c r="G1021" i="7"/>
  <c r="J1021" i="7" s="1"/>
  <c r="I1020" i="7"/>
  <c r="H1020" i="7"/>
  <c r="G1020" i="7"/>
  <c r="J1020" i="7" s="1"/>
  <c r="I1019" i="7"/>
  <c r="H1019" i="7"/>
  <c r="G1019" i="7"/>
  <c r="J1019" i="7" s="1"/>
  <c r="I1018" i="7"/>
  <c r="H1018" i="7"/>
  <c r="G1018" i="7"/>
  <c r="J1018" i="7" s="1"/>
  <c r="I1017" i="7"/>
  <c r="H1017" i="7"/>
  <c r="G1017" i="7"/>
  <c r="J1017" i="7" s="1"/>
  <c r="I1016" i="7"/>
  <c r="H1016" i="7"/>
  <c r="G1016" i="7"/>
  <c r="J1016" i="7" s="1"/>
  <c r="I1015" i="7"/>
  <c r="H1015" i="7"/>
  <c r="G1015" i="7"/>
  <c r="J1015" i="7" s="1"/>
  <c r="I1014" i="7"/>
  <c r="H1014" i="7"/>
  <c r="G1014" i="7"/>
  <c r="J1014" i="7" s="1"/>
  <c r="I1013" i="7"/>
  <c r="H1013" i="7"/>
  <c r="G1013" i="7"/>
  <c r="J1013" i="7" s="1"/>
  <c r="I1012" i="7"/>
  <c r="H1012" i="7"/>
  <c r="G1012" i="7"/>
  <c r="J1012" i="7" s="1"/>
  <c r="I1011" i="7"/>
  <c r="H1011" i="7"/>
  <c r="G1011" i="7"/>
  <c r="J1011" i="7" s="1"/>
  <c r="I1010" i="7"/>
  <c r="H1010" i="7"/>
  <c r="G1010" i="7"/>
  <c r="J1010" i="7" s="1"/>
  <c r="I1009" i="7"/>
  <c r="H1009" i="7"/>
  <c r="G1009" i="7"/>
  <c r="J1009" i="7" s="1"/>
  <c r="I1008" i="7"/>
  <c r="H1008" i="7"/>
  <c r="G1008" i="7"/>
  <c r="J1008" i="7" s="1"/>
  <c r="I1007" i="7"/>
  <c r="H1007" i="7"/>
  <c r="G1007" i="7"/>
  <c r="J1007" i="7" s="1"/>
  <c r="I1006" i="7"/>
  <c r="H1006" i="7"/>
  <c r="G1006" i="7"/>
  <c r="J1006" i="7" s="1"/>
  <c r="I1005" i="7"/>
  <c r="H1005" i="7"/>
  <c r="G1005" i="7"/>
  <c r="J1005" i="7" s="1"/>
  <c r="I1004" i="7"/>
  <c r="H1004" i="7"/>
  <c r="G1004" i="7"/>
  <c r="J1004" i="7" s="1"/>
  <c r="I1003" i="7"/>
  <c r="H1003" i="7"/>
  <c r="G1003" i="7"/>
  <c r="J1003" i="7" s="1"/>
  <c r="I1002" i="7"/>
  <c r="H1002" i="7"/>
  <c r="G1002" i="7"/>
  <c r="J1002" i="7" s="1"/>
  <c r="I1001" i="7"/>
  <c r="H1001" i="7"/>
  <c r="G1001" i="7"/>
  <c r="J1001" i="7" s="1"/>
  <c r="I1000" i="7"/>
  <c r="H1000" i="7"/>
  <c r="G1000" i="7"/>
  <c r="J1000" i="7" s="1"/>
  <c r="I999" i="7"/>
  <c r="H999" i="7"/>
  <c r="G999" i="7"/>
  <c r="J999" i="7" s="1"/>
  <c r="I998" i="7"/>
  <c r="H998" i="7"/>
  <c r="G998" i="7"/>
  <c r="J998" i="7" s="1"/>
  <c r="I997" i="7"/>
  <c r="H997" i="7"/>
  <c r="G997" i="7"/>
  <c r="J997" i="7" s="1"/>
  <c r="I996" i="7"/>
  <c r="H996" i="7"/>
  <c r="G996" i="7"/>
  <c r="J996" i="7" s="1"/>
  <c r="I995" i="7"/>
  <c r="H995" i="7"/>
  <c r="G995" i="7"/>
  <c r="J995" i="7" s="1"/>
  <c r="I994" i="7"/>
  <c r="H994" i="7"/>
  <c r="G994" i="7"/>
  <c r="J994" i="7" s="1"/>
  <c r="I993" i="7"/>
  <c r="H993" i="7"/>
  <c r="G993" i="7"/>
  <c r="J993" i="7" s="1"/>
  <c r="I992" i="7"/>
  <c r="H992" i="7"/>
  <c r="G992" i="7"/>
  <c r="J992" i="7" s="1"/>
  <c r="I991" i="7"/>
  <c r="H991" i="7"/>
  <c r="G991" i="7"/>
  <c r="J991" i="7" s="1"/>
  <c r="I990" i="7"/>
  <c r="H990" i="7"/>
  <c r="G990" i="7"/>
  <c r="J990" i="7" s="1"/>
  <c r="I989" i="7"/>
  <c r="H989" i="7"/>
  <c r="G989" i="7"/>
  <c r="J989" i="7" s="1"/>
  <c r="I988" i="7"/>
  <c r="H988" i="7"/>
  <c r="G988" i="7"/>
  <c r="J988" i="7" s="1"/>
  <c r="I987" i="7"/>
  <c r="H987" i="7"/>
  <c r="G987" i="7"/>
  <c r="J987" i="7" s="1"/>
  <c r="I986" i="7"/>
  <c r="H986" i="7"/>
  <c r="G986" i="7"/>
  <c r="J986" i="7" s="1"/>
  <c r="I985" i="7"/>
  <c r="H985" i="7"/>
  <c r="G985" i="7"/>
  <c r="J985" i="7" s="1"/>
  <c r="I984" i="7"/>
  <c r="H984" i="7"/>
  <c r="G984" i="7"/>
  <c r="J984" i="7" s="1"/>
  <c r="I983" i="7"/>
  <c r="H983" i="7"/>
  <c r="G983" i="7"/>
  <c r="J983" i="7" s="1"/>
  <c r="I982" i="7"/>
  <c r="H982" i="7"/>
  <c r="G982" i="7"/>
  <c r="J982" i="7" s="1"/>
  <c r="I981" i="7"/>
  <c r="H981" i="7"/>
  <c r="G981" i="7"/>
  <c r="J981" i="7" s="1"/>
  <c r="I980" i="7"/>
  <c r="H980" i="7"/>
  <c r="G980" i="7"/>
  <c r="J980" i="7" s="1"/>
  <c r="I979" i="7"/>
  <c r="H979" i="7"/>
  <c r="G979" i="7"/>
  <c r="J979" i="7" s="1"/>
  <c r="I978" i="7"/>
  <c r="H978" i="7"/>
  <c r="G978" i="7"/>
  <c r="J978" i="7" s="1"/>
  <c r="I977" i="7"/>
  <c r="H977" i="7"/>
  <c r="G977" i="7"/>
  <c r="J977" i="7" s="1"/>
  <c r="I976" i="7"/>
  <c r="H976" i="7"/>
  <c r="G976" i="7"/>
  <c r="J976" i="7" s="1"/>
  <c r="I975" i="7"/>
  <c r="H975" i="7"/>
  <c r="G975" i="7"/>
  <c r="J975" i="7" s="1"/>
  <c r="I974" i="7"/>
  <c r="H974" i="7"/>
  <c r="G974" i="7"/>
  <c r="J974" i="7" s="1"/>
  <c r="I973" i="7"/>
  <c r="H973" i="7"/>
  <c r="G973" i="7"/>
  <c r="J973" i="7" s="1"/>
  <c r="I972" i="7"/>
  <c r="H972" i="7"/>
  <c r="G972" i="7"/>
  <c r="J972" i="7" s="1"/>
  <c r="I971" i="7"/>
  <c r="H971" i="7"/>
  <c r="G971" i="7"/>
  <c r="J971" i="7" s="1"/>
  <c r="I970" i="7"/>
  <c r="H970" i="7"/>
  <c r="G970" i="7"/>
  <c r="J970" i="7" s="1"/>
  <c r="I969" i="7"/>
  <c r="H969" i="7"/>
  <c r="G969" i="7"/>
  <c r="J969" i="7" s="1"/>
  <c r="I968" i="7"/>
  <c r="H968" i="7"/>
  <c r="G968" i="7"/>
  <c r="J968" i="7" s="1"/>
  <c r="I967" i="7"/>
  <c r="H967" i="7"/>
  <c r="G967" i="7"/>
  <c r="J967" i="7" s="1"/>
  <c r="I966" i="7"/>
  <c r="H966" i="7"/>
  <c r="G966" i="7"/>
  <c r="J966" i="7" s="1"/>
  <c r="I965" i="7"/>
  <c r="H965" i="7"/>
  <c r="G965" i="7"/>
  <c r="J965" i="7" s="1"/>
  <c r="I964" i="7"/>
  <c r="H964" i="7"/>
  <c r="G964" i="7"/>
  <c r="J964" i="7" s="1"/>
  <c r="I963" i="7"/>
  <c r="H963" i="7"/>
  <c r="G963" i="7"/>
  <c r="J963" i="7" s="1"/>
  <c r="I962" i="7"/>
  <c r="H962" i="7"/>
  <c r="G962" i="7"/>
  <c r="J962" i="7" s="1"/>
  <c r="I961" i="7"/>
  <c r="H961" i="7"/>
  <c r="G961" i="7"/>
  <c r="J961" i="7" s="1"/>
  <c r="I960" i="7"/>
  <c r="H960" i="7"/>
  <c r="G960" i="7"/>
  <c r="J960" i="7" s="1"/>
  <c r="I959" i="7"/>
  <c r="H959" i="7"/>
  <c r="G959" i="7"/>
  <c r="J959" i="7" s="1"/>
  <c r="I958" i="7"/>
  <c r="H958" i="7"/>
  <c r="G958" i="7"/>
  <c r="J958" i="7" s="1"/>
  <c r="I957" i="7"/>
  <c r="H957" i="7"/>
  <c r="G957" i="7"/>
  <c r="J957" i="7" s="1"/>
  <c r="I956" i="7"/>
  <c r="H956" i="7"/>
  <c r="G956" i="7"/>
  <c r="J956" i="7" s="1"/>
  <c r="I955" i="7"/>
  <c r="H955" i="7"/>
  <c r="G955" i="7"/>
  <c r="J955" i="7" s="1"/>
  <c r="I954" i="7"/>
  <c r="H954" i="7"/>
  <c r="G954" i="7"/>
  <c r="J954" i="7" s="1"/>
  <c r="I953" i="7"/>
  <c r="H953" i="7"/>
  <c r="G953" i="7"/>
  <c r="J953" i="7" s="1"/>
  <c r="I952" i="7"/>
  <c r="H952" i="7"/>
  <c r="G952" i="7"/>
  <c r="J952" i="7" s="1"/>
  <c r="I951" i="7"/>
  <c r="H951" i="7"/>
  <c r="G951" i="7"/>
  <c r="J951" i="7" s="1"/>
  <c r="I950" i="7"/>
  <c r="H950" i="7"/>
  <c r="G950" i="7"/>
  <c r="J950" i="7" s="1"/>
  <c r="I949" i="7"/>
  <c r="H949" i="7"/>
  <c r="G949" i="7"/>
  <c r="J949" i="7" s="1"/>
  <c r="I948" i="7"/>
  <c r="H948" i="7"/>
  <c r="G948" i="7"/>
  <c r="J948" i="7" s="1"/>
  <c r="I947" i="7"/>
  <c r="H947" i="7"/>
  <c r="G947" i="7"/>
  <c r="J947" i="7" s="1"/>
  <c r="I946" i="7"/>
  <c r="H946" i="7"/>
  <c r="G946" i="7"/>
  <c r="J946" i="7" s="1"/>
  <c r="I945" i="7"/>
  <c r="H945" i="7"/>
  <c r="G945" i="7"/>
  <c r="J945" i="7" s="1"/>
  <c r="I944" i="7"/>
  <c r="H944" i="7"/>
  <c r="G944" i="7"/>
  <c r="J944" i="7" s="1"/>
  <c r="I943" i="7"/>
  <c r="H943" i="7"/>
  <c r="G943" i="7"/>
  <c r="J943" i="7" s="1"/>
  <c r="I942" i="7"/>
  <c r="H942" i="7"/>
  <c r="G942" i="7"/>
  <c r="J942" i="7" s="1"/>
  <c r="I941" i="7"/>
  <c r="H941" i="7"/>
  <c r="G941" i="7"/>
  <c r="J941" i="7" s="1"/>
  <c r="I940" i="7"/>
  <c r="H940" i="7"/>
  <c r="G940" i="7"/>
  <c r="J940" i="7" s="1"/>
  <c r="I939" i="7"/>
  <c r="H939" i="7"/>
  <c r="G939" i="7"/>
  <c r="J939" i="7" s="1"/>
  <c r="I938" i="7"/>
  <c r="H938" i="7"/>
  <c r="G938" i="7"/>
  <c r="J938" i="7" s="1"/>
  <c r="I937" i="7"/>
  <c r="H937" i="7"/>
  <c r="G937" i="7"/>
  <c r="J937" i="7" s="1"/>
  <c r="I936" i="7"/>
  <c r="H936" i="7"/>
  <c r="G936" i="7"/>
  <c r="J936" i="7" s="1"/>
  <c r="I935" i="7"/>
  <c r="H935" i="7"/>
  <c r="G935" i="7"/>
  <c r="J935" i="7" s="1"/>
  <c r="I934" i="7"/>
  <c r="H934" i="7"/>
  <c r="G934" i="7"/>
  <c r="J934" i="7" s="1"/>
  <c r="I933" i="7"/>
  <c r="H933" i="7"/>
  <c r="G933" i="7"/>
  <c r="J933" i="7" s="1"/>
  <c r="I932" i="7"/>
  <c r="H932" i="7"/>
  <c r="G932" i="7"/>
  <c r="J932" i="7" s="1"/>
  <c r="I931" i="7"/>
  <c r="H931" i="7"/>
  <c r="G931" i="7"/>
  <c r="J931" i="7" s="1"/>
  <c r="I930" i="7"/>
  <c r="H930" i="7"/>
  <c r="G930" i="7"/>
  <c r="J930" i="7" s="1"/>
  <c r="I929" i="7"/>
  <c r="H929" i="7"/>
  <c r="G929" i="7"/>
  <c r="J929" i="7" s="1"/>
  <c r="I928" i="7"/>
  <c r="H928" i="7"/>
  <c r="G928" i="7"/>
  <c r="J928" i="7" s="1"/>
  <c r="I927" i="7"/>
  <c r="H927" i="7"/>
  <c r="G927" i="7"/>
  <c r="J927" i="7" s="1"/>
  <c r="I926" i="7"/>
  <c r="H926" i="7"/>
  <c r="G926" i="7"/>
  <c r="J926" i="7" s="1"/>
  <c r="I925" i="7"/>
  <c r="H925" i="7"/>
  <c r="G925" i="7"/>
  <c r="J925" i="7" s="1"/>
  <c r="I924" i="7"/>
  <c r="H924" i="7"/>
  <c r="G924" i="7"/>
  <c r="J924" i="7" s="1"/>
  <c r="I923" i="7"/>
  <c r="H923" i="7"/>
  <c r="G923" i="7"/>
  <c r="J923" i="7" s="1"/>
  <c r="I922" i="7"/>
  <c r="H922" i="7"/>
  <c r="G922" i="7"/>
  <c r="J922" i="7" s="1"/>
  <c r="I921" i="7"/>
  <c r="H921" i="7"/>
  <c r="G921" i="7"/>
  <c r="J921" i="7" s="1"/>
  <c r="I920" i="7"/>
  <c r="H920" i="7"/>
  <c r="G920" i="7"/>
  <c r="J920" i="7" s="1"/>
  <c r="I919" i="7"/>
  <c r="H919" i="7"/>
  <c r="G919" i="7"/>
  <c r="J919" i="7" s="1"/>
  <c r="I918" i="7"/>
  <c r="H918" i="7"/>
  <c r="G918" i="7"/>
  <c r="J918" i="7" s="1"/>
  <c r="I917" i="7"/>
  <c r="H917" i="7"/>
  <c r="G917" i="7"/>
  <c r="J917" i="7" s="1"/>
  <c r="I916" i="7"/>
  <c r="H916" i="7"/>
  <c r="G916" i="7"/>
  <c r="J916" i="7" s="1"/>
  <c r="I915" i="7"/>
  <c r="H915" i="7"/>
  <c r="G915" i="7"/>
  <c r="J915" i="7" s="1"/>
  <c r="I914" i="7"/>
  <c r="H914" i="7"/>
  <c r="G914" i="7"/>
  <c r="J914" i="7" s="1"/>
  <c r="I913" i="7"/>
  <c r="H913" i="7"/>
  <c r="G913" i="7"/>
  <c r="J913" i="7" s="1"/>
  <c r="I912" i="7"/>
  <c r="H912" i="7"/>
  <c r="G912" i="7"/>
  <c r="J912" i="7" s="1"/>
  <c r="I911" i="7"/>
  <c r="H911" i="7"/>
  <c r="G911" i="7"/>
  <c r="J911" i="7" s="1"/>
  <c r="I910" i="7"/>
  <c r="H910" i="7"/>
  <c r="G910" i="7"/>
  <c r="J910" i="7" s="1"/>
  <c r="I909" i="7"/>
  <c r="H909" i="7"/>
  <c r="G909" i="7"/>
  <c r="J909" i="7" s="1"/>
  <c r="I908" i="7"/>
  <c r="H908" i="7"/>
  <c r="G908" i="7"/>
  <c r="J908" i="7" s="1"/>
  <c r="I907" i="7"/>
  <c r="H907" i="7"/>
  <c r="G907" i="7"/>
  <c r="J907" i="7" s="1"/>
  <c r="I906" i="7"/>
  <c r="H906" i="7"/>
  <c r="G906" i="7"/>
  <c r="J906" i="7" s="1"/>
  <c r="I905" i="7"/>
  <c r="H905" i="7"/>
  <c r="G905" i="7"/>
  <c r="J905" i="7" s="1"/>
  <c r="I904" i="7"/>
  <c r="H904" i="7"/>
  <c r="G904" i="7"/>
  <c r="J904" i="7" s="1"/>
  <c r="I903" i="7"/>
  <c r="H903" i="7"/>
  <c r="G903" i="7"/>
  <c r="J903" i="7" s="1"/>
  <c r="I902" i="7"/>
  <c r="H902" i="7"/>
  <c r="G902" i="7"/>
  <c r="J902" i="7" s="1"/>
  <c r="I901" i="7"/>
  <c r="H901" i="7"/>
  <c r="G901" i="7"/>
  <c r="J901" i="7" s="1"/>
  <c r="I900" i="7"/>
  <c r="H900" i="7"/>
  <c r="G900" i="7"/>
  <c r="J900" i="7" s="1"/>
  <c r="I899" i="7"/>
  <c r="H899" i="7"/>
  <c r="G899" i="7"/>
  <c r="J899" i="7" s="1"/>
  <c r="I898" i="7"/>
  <c r="H898" i="7"/>
  <c r="G898" i="7"/>
  <c r="J898" i="7" s="1"/>
  <c r="I897" i="7"/>
  <c r="H897" i="7"/>
  <c r="G897" i="7"/>
  <c r="J897" i="7" s="1"/>
  <c r="I896" i="7"/>
  <c r="H896" i="7"/>
  <c r="G896" i="7"/>
  <c r="J896" i="7" s="1"/>
  <c r="I895" i="7"/>
  <c r="H895" i="7"/>
  <c r="G895" i="7"/>
  <c r="J895" i="7" s="1"/>
  <c r="I894" i="7"/>
  <c r="H894" i="7"/>
  <c r="G894" i="7"/>
  <c r="J894" i="7" s="1"/>
  <c r="I893" i="7"/>
  <c r="H893" i="7"/>
  <c r="G893" i="7"/>
  <c r="J893" i="7" s="1"/>
  <c r="I892" i="7"/>
  <c r="H892" i="7"/>
  <c r="G892" i="7"/>
  <c r="J892" i="7" s="1"/>
  <c r="I891" i="7"/>
  <c r="H891" i="7"/>
  <c r="G891" i="7"/>
  <c r="J891" i="7" s="1"/>
  <c r="I890" i="7"/>
  <c r="H890" i="7"/>
  <c r="G890" i="7"/>
  <c r="J890" i="7" s="1"/>
  <c r="I889" i="7"/>
  <c r="H889" i="7"/>
  <c r="G889" i="7"/>
  <c r="J889" i="7" s="1"/>
  <c r="I888" i="7"/>
  <c r="H888" i="7"/>
  <c r="G888" i="7"/>
  <c r="J888" i="7" s="1"/>
  <c r="I887" i="7"/>
  <c r="H887" i="7"/>
  <c r="G887" i="7"/>
  <c r="J887" i="7" s="1"/>
  <c r="I886" i="7"/>
  <c r="H886" i="7"/>
  <c r="G886" i="7"/>
  <c r="J886" i="7" s="1"/>
  <c r="I885" i="7"/>
  <c r="H885" i="7"/>
  <c r="G885" i="7"/>
  <c r="J885" i="7" s="1"/>
  <c r="I884" i="7"/>
  <c r="H884" i="7"/>
  <c r="G884" i="7"/>
  <c r="J884" i="7" s="1"/>
  <c r="I883" i="7"/>
  <c r="H883" i="7"/>
  <c r="G883" i="7"/>
  <c r="J883" i="7" s="1"/>
  <c r="I882" i="7"/>
  <c r="H882" i="7"/>
  <c r="G882" i="7"/>
  <c r="J882" i="7" s="1"/>
  <c r="I881" i="7"/>
  <c r="H881" i="7"/>
  <c r="G881" i="7"/>
  <c r="J881" i="7" s="1"/>
  <c r="I880" i="7"/>
  <c r="H880" i="7"/>
  <c r="G880" i="7"/>
  <c r="J880" i="7" s="1"/>
  <c r="I879" i="7"/>
  <c r="H879" i="7"/>
  <c r="G879" i="7"/>
  <c r="J879" i="7" s="1"/>
  <c r="I878" i="7"/>
  <c r="H878" i="7"/>
  <c r="G878" i="7"/>
  <c r="J878" i="7" s="1"/>
  <c r="I877" i="7"/>
  <c r="H877" i="7"/>
  <c r="G877" i="7"/>
  <c r="J877" i="7" s="1"/>
  <c r="I876" i="7"/>
  <c r="H876" i="7"/>
  <c r="G876" i="7"/>
  <c r="J876" i="7" s="1"/>
  <c r="I875" i="7"/>
  <c r="H875" i="7"/>
  <c r="G875" i="7"/>
  <c r="J875" i="7" s="1"/>
  <c r="I874" i="7"/>
  <c r="H874" i="7"/>
  <c r="G874" i="7"/>
  <c r="J874" i="7" s="1"/>
  <c r="I873" i="7"/>
  <c r="H873" i="7"/>
  <c r="G873" i="7"/>
  <c r="J873" i="7" s="1"/>
  <c r="I872" i="7"/>
  <c r="H872" i="7"/>
  <c r="G872" i="7"/>
  <c r="J872" i="7" s="1"/>
  <c r="I871" i="7"/>
  <c r="H871" i="7"/>
  <c r="G871" i="7"/>
  <c r="J871" i="7" s="1"/>
  <c r="I870" i="7"/>
  <c r="H870" i="7"/>
  <c r="G870" i="7"/>
  <c r="J870" i="7" s="1"/>
  <c r="I869" i="7"/>
  <c r="H869" i="7"/>
  <c r="G869" i="7"/>
  <c r="J869" i="7" s="1"/>
  <c r="I868" i="7"/>
  <c r="H868" i="7"/>
  <c r="G868" i="7"/>
  <c r="J868" i="7" s="1"/>
  <c r="I867" i="7"/>
  <c r="H867" i="7"/>
  <c r="G867" i="7"/>
  <c r="J867" i="7" s="1"/>
  <c r="I866" i="7"/>
  <c r="H866" i="7"/>
  <c r="G866" i="7"/>
  <c r="J866" i="7" s="1"/>
  <c r="I865" i="7"/>
  <c r="H865" i="7"/>
  <c r="G865" i="7"/>
  <c r="J865" i="7" s="1"/>
  <c r="I864" i="7"/>
  <c r="H864" i="7"/>
  <c r="G864" i="7"/>
  <c r="J864" i="7" s="1"/>
  <c r="I863" i="7"/>
  <c r="H863" i="7"/>
  <c r="G863" i="7"/>
  <c r="J863" i="7" s="1"/>
  <c r="I862" i="7"/>
  <c r="H862" i="7"/>
  <c r="G862" i="7"/>
  <c r="J862" i="7" s="1"/>
  <c r="I861" i="7"/>
  <c r="H861" i="7"/>
  <c r="G861" i="7"/>
  <c r="J861" i="7" s="1"/>
  <c r="I860" i="7"/>
  <c r="H860" i="7"/>
  <c r="G860" i="7"/>
  <c r="J860" i="7" s="1"/>
  <c r="I859" i="7"/>
  <c r="H859" i="7"/>
  <c r="G859" i="7"/>
  <c r="J859" i="7" s="1"/>
  <c r="I858" i="7"/>
  <c r="H858" i="7"/>
  <c r="G858" i="7"/>
  <c r="J858" i="7" s="1"/>
  <c r="I857" i="7"/>
  <c r="H857" i="7"/>
  <c r="G857" i="7"/>
  <c r="J857" i="7" s="1"/>
  <c r="I856" i="7"/>
  <c r="H856" i="7"/>
  <c r="G856" i="7"/>
  <c r="J856" i="7" s="1"/>
  <c r="I855" i="7"/>
  <c r="H855" i="7"/>
  <c r="G855" i="7"/>
  <c r="J855" i="7" s="1"/>
  <c r="I854" i="7"/>
  <c r="H854" i="7"/>
  <c r="G854" i="7"/>
  <c r="J854" i="7" s="1"/>
  <c r="I853" i="7"/>
  <c r="H853" i="7"/>
  <c r="G853" i="7"/>
  <c r="J853" i="7" s="1"/>
  <c r="I852" i="7"/>
  <c r="H852" i="7"/>
  <c r="G852" i="7"/>
  <c r="J852" i="7" s="1"/>
  <c r="I851" i="7"/>
  <c r="H851" i="7"/>
  <c r="G851" i="7"/>
  <c r="J851" i="7" s="1"/>
  <c r="I850" i="7"/>
  <c r="H850" i="7"/>
  <c r="G850" i="7"/>
  <c r="J850" i="7" s="1"/>
  <c r="I849" i="7"/>
  <c r="H849" i="7"/>
  <c r="G849" i="7"/>
  <c r="J849" i="7" s="1"/>
  <c r="I848" i="7"/>
  <c r="H848" i="7"/>
  <c r="G848" i="7"/>
  <c r="J848" i="7" s="1"/>
  <c r="I847" i="7"/>
  <c r="H847" i="7"/>
  <c r="G847" i="7"/>
  <c r="J847" i="7" s="1"/>
  <c r="I846" i="7"/>
  <c r="H846" i="7"/>
  <c r="G846" i="7"/>
  <c r="J846" i="7" s="1"/>
  <c r="I845" i="7"/>
  <c r="H845" i="7"/>
  <c r="G845" i="7"/>
  <c r="J845" i="7" s="1"/>
  <c r="I844" i="7"/>
  <c r="H844" i="7"/>
  <c r="G844" i="7"/>
  <c r="J844" i="7" s="1"/>
  <c r="I843" i="7"/>
  <c r="H843" i="7"/>
  <c r="G843" i="7"/>
  <c r="J843" i="7" s="1"/>
  <c r="I842" i="7"/>
  <c r="H842" i="7"/>
  <c r="G842" i="7"/>
  <c r="J842" i="7" s="1"/>
  <c r="I841" i="7"/>
  <c r="H841" i="7"/>
  <c r="G841" i="7"/>
  <c r="J841" i="7" s="1"/>
  <c r="I840" i="7"/>
  <c r="H840" i="7"/>
  <c r="G840" i="7"/>
  <c r="J840" i="7" s="1"/>
  <c r="I839" i="7"/>
  <c r="H839" i="7"/>
  <c r="G839" i="7"/>
  <c r="J839" i="7" s="1"/>
  <c r="I838" i="7"/>
  <c r="H838" i="7"/>
  <c r="G838" i="7"/>
  <c r="J838" i="7" s="1"/>
  <c r="I837" i="7"/>
  <c r="H837" i="7"/>
  <c r="G837" i="7"/>
  <c r="J837" i="7" s="1"/>
  <c r="I836" i="7"/>
  <c r="H836" i="7"/>
  <c r="G836" i="7"/>
  <c r="J836" i="7" s="1"/>
  <c r="I835" i="7"/>
  <c r="H835" i="7"/>
  <c r="G835" i="7"/>
  <c r="J835" i="7" s="1"/>
  <c r="I834" i="7"/>
  <c r="H834" i="7"/>
  <c r="G834" i="7"/>
  <c r="J834" i="7" s="1"/>
  <c r="I833" i="7"/>
  <c r="H833" i="7"/>
  <c r="G833" i="7"/>
  <c r="J833" i="7" s="1"/>
  <c r="I832" i="7"/>
  <c r="H832" i="7"/>
  <c r="G832" i="7"/>
  <c r="J832" i="7" s="1"/>
  <c r="I831" i="7"/>
  <c r="H831" i="7"/>
  <c r="G831" i="7"/>
  <c r="J831" i="7" s="1"/>
  <c r="I830" i="7"/>
  <c r="H830" i="7"/>
  <c r="G830" i="7"/>
  <c r="J830" i="7" s="1"/>
  <c r="I829" i="7"/>
  <c r="H829" i="7"/>
  <c r="G829" i="7"/>
  <c r="J829" i="7" s="1"/>
  <c r="I828" i="7"/>
  <c r="H828" i="7"/>
  <c r="G828" i="7"/>
  <c r="J828" i="7" s="1"/>
  <c r="I827" i="7"/>
  <c r="H827" i="7"/>
  <c r="G827" i="7"/>
  <c r="J827" i="7" s="1"/>
  <c r="I826" i="7"/>
  <c r="H826" i="7"/>
  <c r="G826" i="7"/>
  <c r="J826" i="7" s="1"/>
  <c r="I825" i="7"/>
  <c r="H825" i="7"/>
  <c r="G825" i="7"/>
  <c r="J825" i="7" s="1"/>
  <c r="I824" i="7"/>
  <c r="H824" i="7"/>
  <c r="G824" i="7"/>
  <c r="J824" i="7" s="1"/>
  <c r="I823" i="7"/>
  <c r="H823" i="7"/>
  <c r="G823" i="7"/>
  <c r="J823" i="7" s="1"/>
  <c r="I822" i="7"/>
  <c r="H822" i="7"/>
  <c r="G822" i="7"/>
  <c r="J822" i="7" s="1"/>
  <c r="I821" i="7"/>
  <c r="H821" i="7"/>
  <c r="G821" i="7"/>
  <c r="J821" i="7" s="1"/>
  <c r="I820" i="7"/>
  <c r="H820" i="7"/>
  <c r="G820" i="7"/>
  <c r="J820" i="7" s="1"/>
  <c r="I819" i="7"/>
  <c r="H819" i="7"/>
  <c r="G819" i="7"/>
  <c r="J819" i="7" s="1"/>
  <c r="I818" i="7"/>
  <c r="H818" i="7"/>
  <c r="G818" i="7"/>
  <c r="J818" i="7" s="1"/>
  <c r="I817" i="7"/>
  <c r="H817" i="7"/>
  <c r="G817" i="7"/>
  <c r="J817" i="7" s="1"/>
  <c r="I816" i="7"/>
  <c r="H816" i="7"/>
  <c r="G816" i="7"/>
  <c r="J816" i="7" s="1"/>
  <c r="I815" i="7"/>
  <c r="H815" i="7"/>
  <c r="G815" i="7"/>
  <c r="J815" i="7" s="1"/>
  <c r="I814" i="7"/>
  <c r="H814" i="7"/>
  <c r="G814" i="7"/>
  <c r="J814" i="7" s="1"/>
  <c r="I813" i="7"/>
  <c r="H813" i="7"/>
  <c r="G813" i="7"/>
  <c r="J813" i="7" s="1"/>
  <c r="I812" i="7"/>
  <c r="H812" i="7"/>
  <c r="G812" i="7"/>
  <c r="J812" i="7" s="1"/>
  <c r="I811" i="7"/>
  <c r="H811" i="7"/>
  <c r="G811" i="7"/>
  <c r="J811" i="7" s="1"/>
  <c r="I810" i="7"/>
  <c r="H810" i="7"/>
  <c r="G810" i="7"/>
  <c r="J810" i="7" s="1"/>
  <c r="I809" i="7"/>
  <c r="H809" i="7"/>
  <c r="G809" i="7"/>
  <c r="J809" i="7" s="1"/>
  <c r="I808" i="7"/>
  <c r="H808" i="7"/>
  <c r="G808" i="7"/>
  <c r="J808" i="7" s="1"/>
  <c r="I807" i="7"/>
  <c r="H807" i="7"/>
  <c r="G807" i="7"/>
  <c r="J807" i="7" s="1"/>
  <c r="I806" i="7"/>
  <c r="H806" i="7"/>
  <c r="G806" i="7"/>
  <c r="J806" i="7" s="1"/>
  <c r="I805" i="7"/>
  <c r="H805" i="7"/>
  <c r="G805" i="7"/>
  <c r="J805" i="7" s="1"/>
  <c r="I804" i="7"/>
  <c r="H804" i="7"/>
  <c r="G804" i="7"/>
  <c r="J804" i="7" s="1"/>
  <c r="I803" i="7"/>
  <c r="H803" i="7"/>
  <c r="G803" i="7"/>
  <c r="J803" i="7" s="1"/>
  <c r="I802" i="7"/>
  <c r="H802" i="7"/>
  <c r="G802" i="7"/>
  <c r="J802" i="7" s="1"/>
  <c r="I801" i="7"/>
  <c r="H801" i="7"/>
  <c r="G801" i="7"/>
  <c r="J801" i="7" s="1"/>
  <c r="I800" i="7"/>
  <c r="H800" i="7"/>
  <c r="G800" i="7"/>
  <c r="J800" i="7" s="1"/>
  <c r="I799" i="7"/>
  <c r="H799" i="7"/>
  <c r="G799" i="7"/>
  <c r="J799" i="7" s="1"/>
  <c r="I798" i="7"/>
  <c r="H798" i="7"/>
  <c r="G798" i="7"/>
  <c r="J798" i="7" s="1"/>
  <c r="I797" i="7"/>
  <c r="H797" i="7"/>
  <c r="G797" i="7"/>
  <c r="J797" i="7" s="1"/>
  <c r="I796" i="7"/>
  <c r="H796" i="7"/>
  <c r="G796" i="7"/>
  <c r="J796" i="7" s="1"/>
  <c r="I795" i="7"/>
  <c r="H795" i="7"/>
  <c r="G795" i="7"/>
  <c r="J795" i="7" s="1"/>
  <c r="I794" i="7"/>
  <c r="H794" i="7"/>
  <c r="G794" i="7"/>
  <c r="J794" i="7" s="1"/>
  <c r="I793" i="7"/>
  <c r="H793" i="7"/>
  <c r="G793" i="7"/>
  <c r="J793" i="7" s="1"/>
  <c r="I792" i="7"/>
  <c r="H792" i="7"/>
  <c r="G792" i="7"/>
  <c r="J792" i="7" s="1"/>
  <c r="I791" i="7"/>
  <c r="H791" i="7"/>
  <c r="G791" i="7"/>
  <c r="J791" i="7" s="1"/>
  <c r="I790" i="7"/>
  <c r="H790" i="7"/>
  <c r="G790" i="7"/>
  <c r="J790" i="7" s="1"/>
  <c r="I789" i="7"/>
  <c r="H789" i="7"/>
  <c r="G789" i="7"/>
  <c r="J789" i="7" s="1"/>
  <c r="I788" i="7"/>
  <c r="H788" i="7"/>
  <c r="G788" i="7"/>
  <c r="J788" i="7" s="1"/>
  <c r="I787" i="7"/>
  <c r="H787" i="7"/>
  <c r="G787" i="7"/>
  <c r="J787" i="7" s="1"/>
  <c r="I786" i="7"/>
  <c r="H786" i="7"/>
  <c r="G786" i="7"/>
  <c r="J786" i="7" s="1"/>
  <c r="I785" i="7"/>
  <c r="H785" i="7"/>
  <c r="G785" i="7"/>
  <c r="J785" i="7" s="1"/>
  <c r="I784" i="7"/>
  <c r="H784" i="7"/>
  <c r="G784" i="7"/>
  <c r="J784" i="7" s="1"/>
  <c r="I783" i="7"/>
  <c r="H783" i="7"/>
  <c r="G783" i="7"/>
  <c r="J783" i="7" s="1"/>
  <c r="I782" i="7"/>
  <c r="H782" i="7"/>
  <c r="G782" i="7"/>
  <c r="J782" i="7" s="1"/>
  <c r="I781" i="7"/>
  <c r="H781" i="7"/>
  <c r="G781" i="7"/>
  <c r="J781" i="7" s="1"/>
  <c r="I780" i="7"/>
  <c r="H780" i="7"/>
  <c r="G780" i="7"/>
  <c r="J780" i="7" s="1"/>
  <c r="I779" i="7"/>
  <c r="H779" i="7"/>
  <c r="G779" i="7"/>
  <c r="J779" i="7" s="1"/>
  <c r="I778" i="7"/>
  <c r="H778" i="7"/>
  <c r="G778" i="7"/>
  <c r="J778" i="7" s="1"/>
  <c r="I777" i="7"/>
  <c r="H777" i="7"/>
  <c r="G777" i="7"/>
  <c r="J777" i="7" s="1"/>
  <c r="I776" i="7"/>
  <c r="H776" i="7"/>
  <c r="G776" i="7"/>
  <c r="J776" i="7" s="1"/>
  <c r="I775" i="7"/>
  <c r="H775" i="7"/>
  <c r="G775" i="7"/>
  <c r="J775" i="7" s="1"/>
  <c r="I774" i="7"/>
  <c r="H774" i="7"/>
  <c r="G774" i="7"/>
  <c r="J774" i="7" s="1"/>
  <c r="I773" i="7"/>
  <c r="H773" i="7"/>
  <c r="G773" i="7"/>
  <c r="J773" i="7" s="1"/>
  <c r="I772" i="7"/>
  <c r="H772" i="7"/>
  <c r="G772" i="7"/>
  <c r="J772" i="7" s="1"/>
  <c r="I771" i="7"/>
  <c r="H771" i="7"/>
  <c r="G771" i="7"/>
  <c r="J771" i="7" s="1"/>
  <c r="I770" i="7"/>
  <c r="H770" i="7"/>
  <c r="G770" i="7"/>
  <c r="J770" i="7" s="1"/>
  <c r="I769" i="7"/>
  <c r="H769" i="7"/>
  <c r="G769" i="7"/>
  <c r="J769" i="7" s="1"/>
  <c r="I768" i="7"/>
  <c r="H768" i="7"/>
  <c r="G768" i="7"/>
  <c r="J768" i="7" s="1"/>
  <c r="I767" i="7"/>
  <c r="H767" i="7"/>
  <c r="G767" i="7"/>
  <c r="J767" i="7" s="1"/>
  <c r="I766" i="7"/>
  <c r="H766" i="7"/>
  <c r="G766" i="7"/>
  <c r="J766" i="7" s="1"/>
  <c r="I765" i="7"/>
  <c r="H765" i="7"/>
  <c r="G765" i="7"/>
  <c r="J765" i="7" s="1"/>
  <c r="I764" i="7"/>
  <c r="H764" i="7"/>
  <c r="G764" i="7"/>
  <c r="J764" i="7" s="1"/>
  <c r="I763" i="7"/>
  <c r="H763" i="7"/>
  <c r="G763" i="7"/>
  <c r="J763" i="7" s="1"/>
  <c r="I762" i="7"/>
  <c r="H762" i="7"/>
  <c r="G762" i="7"/>
  <c r="J762" i="7" s="1"/>
  <c r="I761" i="7"/>
  <c r="H761" i="7"/>
  <c r="G761" i="7"/>
  <c r="J761" i="7" s="1"/>
  <c r="I760" i="7"/>
  <c r="H760" i="7"/>
  <c r="G760" i="7"/>
  <c r="J760" i="7" s="1"/>
  <c r="I759" i="7"/>
  <c r="H759" i="7"/>
  <c r="G759" i="7"/>
  <c r="J759" i="7" s="1"/>
  <c r="I758" i="7"/>
  <c r="H758" i="7"/>
  <c r="G758" i="7"/>
  <c r="J758" i="7" s="1"/>
  <c r="I757" i="7"/>
  <c r="H757" i="7"/>
  <c r="G757" i="7"/>
  <c r="J757" i="7" s="1"/>
  <c r="I756" i="7"/>
  <c r="H756" i="7"/>
  <c r="G756" i="7"/>
  <c r="J756" i="7" s="1"/>
  <c r="I755" i="7"/>
  <c r="H755" i="7"/>
  <c r="G755" i="7"/>
  <c r="J755" i="7" s="1"/>
  <c r="I754" i="7"/>
  <c r="H754" i="7"/>
  <c r="G754" i="7"/>
  <c r="J754" i="7" s="1"/>
  <c r="I753" i="7"/>
  <c r="H753" i="7"/>
  <c r="G753" i="7"/>
  <c r="J753" i="7" s="1"/>
  <c r="I752" i="7"/>
  <c r="H752" i="7"/>
  <c r="G752" i="7"/>
  <c r="J752" i="7" s="1"/>
  <c r="I751" i="7"/>
  <c r="H751" i="7"/>
  <c r="G751" i="7"/>
  <c r="J751" i="7" s="1"/>
  <c r="I750" i="7"/>
  <c r="H750" i="7"/>
  <c r="G750" i="7"/>
  <c r="J750" i="7" s="1"/>
  <c r="I749" i="7"/>
  <c r="H749" i="7"/>
  <c r="G749" i="7"/>
  <c r="J749" i="7" s="1"/>
  <c r="I748" i="7"/>
  <c r="H748" i="7"/>
  <c r="G748" i="7"/>
  <c r="J748" i="7" s="1"/>
  <c r="I747" i="7"/>
  <c r="H747" i="7"/>
  <c r="G747" i="7"/>
  <c r="J747" i="7" s="1"/>
  <c r="I746" i="7"/>
  <c r="H746" i="7"/>
  <c r="G746" i="7"/>
  <c r="J746" i="7" s="1"/>
  <c r="I745" i="7"/>
  <c r="H745" i="7"/>
  <c r="G745" i="7"/>
  <c r="J745" i="7" s="1"/>
  <c r="I744" i="7"/>
  <c r="H744" i="7"/>
  <c r="G744" i="7"/>
  <c r="J744" i="7" s="1"/>
  <c r="I743" i="7"/>
  <c r="H743" i="7"/>
  <c r="G743" i="7"/>
  <c r="J743" i="7" s="1"/>
  <c r="I742" i="7"/>
  <c r="H742" i="7"/>
  <c r="G742" i="7"/>
  <c r="J742" i="7" s="1"/>
  <c r="I741" i="7"/>
  <c r="H741" i="7"/>
  <c r="G741" i="7"/>
  <c r="J741" i="7" s="1"/>
  <c r="I740" i="7"/>
  <c r="H740" i="7"/>
  <c r="G740" i="7"/>
  <c r="J740" i="7" s="1"/>
  <c r="I739" i="7"/>
  <c r="H739" i="7"/>
  <c r="G739" i="7"/>
  <c r="J739" i="7" s="1"/>
  <c r="I738" i="7"/>
  <c r="H738" i="7"/>
  <c r="G738" i="7"/>
  <c r="J738" i="7" s="1"/>
  <c r="I737" i="7"/>
  <c r="H737" i="7"/>
  <c r="G737" i="7"/>
  <c r="J737" i="7" s="1"/>
  <c r="I736" i="7"/>
  <c r="H736" i="7"/>
  <c r="G736" i="7"/>
  <c r="J736" i="7" s="1"/>
  <c r="I735" i="7"/>
  <c r="H735" i="7"/>
  <c r="G735" i="7"/>
  <c r="J735" i="7" s="1"/>
  <c r="I734" i="7"/>
  <c r="H734" i="7"/>
  <c r="G734" i="7"/>
  <c r="J734" i="7" s="1"/>
  <c r="I733" i="7"/>
  <c r="H733" i="7"/>
  <c r="G733" i="7"/>
  <c r="J733" i="7" s="1"/>
  <c r="I732" i="7"/>
  <c r="H732" i="7"/>
  <c r="G732" i="7"/>
  <c r="J732" i="7" s="1"/>
  <c r="I731" i="7"/>
  <c r="H731" i="7"/>
  <c r="G731" i="7"/>
  <c r="J731" i="7" s="1"/>
  <c r="I730" i="7"/>
  <c r="H730" i="7"/>
  <c r="G730" i="7"/>
  <c r="J730" i="7" s="1"/>
  <c r="I729" i="7"/>
  <c r="H729" i="7"/>
  <c r="G729" i="7"/>
  <c r="J729" i="7" s="1"/>
  <c r="I728" i="7"/>
  <c r="H728" i="7"/>
  <c r="G728" i="7"/>
  <c r="J728" i="7" s="1"/>
  <c r="I727" i="7"/>
  <c r="H727" i="7"/>
  <c r="G727" i="7"/>
  <c r="J727" i="7" s="1"/>
  <c r="I726" i="7"/>
  <c r="H726" i="7"/>
  <c r="G726" i="7"/>
  <c r="J726" i="7" s="1"/>
  <c r="I725" i="7"/>
  <c r="H725" i="7"/>
  <c r="G725" i="7"/>
  <c r="J725" i="7" s="1"/>
  <c r="I724" i="7"/>
  <c r="H724" i="7"/>
  <c r="G724" i="7"/>
  <c r="J724" i="7" s="1"/>
  <c r="I723" i="7"/>
  <c r="H723" i="7"/>
  <c r="G723" i="7"/>
  <c r="J723" i="7" s="1"/>
  <c r="I722" i="7"/>
  <c r="H722" i="7"/>
  <c r="G722" i="7"/>
  <c r="J722" i="7" s="1"/>
  <c r="I721" i="7"/>
  <c r="H721" i="7"/>
  <c r="G721" i="7"/>
  <c r="J721" i="7" s="1"/>
  <c r="I720" i="7"/>
  <c r="H720" i="7"/>
  <c r="G720" i="7"/>
  <c r="J720" i="7" s="1"/>
  <c r="I719" i="7"/>
  <c r="H719" i="7"/>
  <c r="G719" i="7"/>
  <c r="J719" i="7" s="1"/>
  <c r="I718" i="7"/>
  <c r="H718" i="7"/>
  <c r="G718" i="7"/>
  <c r="J718" i="7" s="1"/>
  <c r="I717" i="7"/>
  <c r="H717" i="7"/>
  <c r="G717" i="7"/>
  <c r="J717" i="7" s="1"/>
  <c r="I716" i="7"/>
  <c r="H716" i="7"/>
  <c r="G716" i="7"/>
  <c r="J716" i="7" s="1"/>
  <c r="I715" i="7"/>
  <c r="H715" i="7"/>
  <c r="G715" i="7"/>
  <c r="J715" i="7" s="1"/>
  <c r="I714" i="7"/>
  <c r="H714" i="7"/>
  <c r="G714" i="7"/>
  <c r="J714" i="7" s="1"/>
  <c r="I713" i="7"/>
  <c r="H713" i="7"/>
  <c r="G713" i="7"/>
  <c r="J713" i="7" s="1"/>
  <c r="I712" i="7"/>
  <c r="H712" i="7"/>
  <c r="G712" i="7"/>
  <c r="J712" i="7" s="1"/>
  <c r="I711" i="7"/>
  <c r="H711" i="7"/>
  <c r="G711" i="7"/>
  <c r="J711" i="7" s="1"/>
  <c r="I710" i="7"/>
  <c r="H710" i="7"/>
  <c r="G710" i="7"/>
  <c r="J710" i="7" s="1"/>
  <c r="I709" i="7"/>
  <c r="H709" i="7"/>
  <c r="G709" i="7"/>
  <c r="J709" i="7" s="1"/>
  <c r="I708" i="7"/>
  <c r="H708" i="7"/>
  <c r="G708" i="7"/>
  <c r="J708" i="7" s="1"/>
  <c r="I707" i="7"/>
  <c r="H707" i="7"/>
  <c r="G707" i="7"/>
  <c r="J707" i="7" s="1"/>
  <c r="I706" i="7"/>
  <c r="H706" i="7"/>
  <c r="G706" i="7"/>
  <c r="J706" i="7" s="1"/>
  <c r="I705" i="7"/>
  <c r="H705" i="7"/>
  <c r="G705" i="7"/>
  <c r="J705" i="7" s="1"/>
  <c r="I704" i="7"/>
  <c r="H704" i="7"/>
  <c r="G704" i="7"/>
  <c r="J704" i="7" s="1"/>
  <c r="I703" i="7"/>
  <c r="H703" i="7"/>
  <c r="G703" i="7"/>
  <c r="J703" i="7" s="1"/>
  <c r="I702" i="7"/>
  <c r="H702" i="7"/>
  <c r="G702" i="7"/>
  <c r="J702" i="7" s="1"/>
  <c r="I701" i="7"/>
  <c r="H701" i="7"/>
  <c r="G701" i="7"/>
  <c r="J701" i="7" s="1"/>
  <c r="I700" i="7"/>
  <c r="H700" i="7"/>
  <c r="G700" i="7"/>
  <c r="J700" i="7" s="1"/>
  <c r="I699" i="7"/>
  <c r="H699" i="7"/>
  <c r="G699" i="7"/>
  <c r="J699" i="7" s="1"/>
  <c r="I698" i="7"/>
  <c r="H698" i="7"/>
  <c r="G698" i="7"/>
  <c r="J698" i="7" s="1"/>
  <c r="I697" i="7"/>
  <c r="H697" i="7"/>
  <c r="G697" i="7"/>
  <c r="J697" i="7" s="1"/>
  <c r="I696" i="7"/>
  <c r="H696" i="7"/>
  <c r="G696" i="7"/>
  <c r="J696" i="7" s="1"/>
  <c r="I695" i="7"/>
  <c r="H695" i="7"/>
  <c r="G695" i="7"/>
  <c r="J695" i="7" s="1"/>
  <c r="I694" i="7"/>
  <c r="H694" i="7"/>
  <c r="G694" i="7"/>
  <c r="J694" i="7" s="1"/>
  <c r="I693" i="7"/>
  <c r="H693" i="7"/>
  <c r="G693" i="7"/>
  <c r="J693" i="7" s="1"/>
  <c r="I692" i="7"/>
  <c r="H692" i="7"/>
  <c r="G692" i="7"/>
  <c r="J692" i="7" s="1"/>
  <c r="I691" i="7"/>
  <c r="H691" i="7"/>
  <c r="G691" i="7"/>
  <c r="J691" i="7" s="1"/>
  <c r="I690" i="7"/>
  <c r="H690" i="7"/>
  <c r="G690" i="7"/>
  <c r="J690" i="7" s="1"/>
  <c r="I689" i="7"/>
  <c r="H689" i="7"/>
  <c r="G689" i="7"/>
  <c r="J689" i="7" s="1"/>
  <c r="I688" i="7"/>
  <c r="H688" i="7"/>
  <c r="G688" i="7"/>
  <c r="J688" i="7" s="1"/>
  <c r="I687" i="7"/>
  <c r="H687" i="7"/>
  <c r="G687" i="7"/>
  <c r="J687" i="7" s="1"/>
  <c r="I686" i="7"/>
  <c r="H686" i="7"/>
  <c r="G686" i="7"/>
  <c r="J686" i="7" s="1"/>
  <c r="I685" i="7"/>
  <c r="H685" i="7"/>
  <c r="G685" i="7"/>
  <c r="J685" i="7" s="1"/>
  <c r="I684" i="7"/>
  <c r="H684" i="7"/>
  <c r="G684" i="7"/>
  <c r="J684" i="7" s="1"/>
  <c r="I683" i="7"/>
  <c r="H683" i="7"/>
  <c r="G683" i="7"/>
  <c r="J683" i="7" s="1"/>
  <c r="I682" i="7"/>
  <c r="H682" i="7"/>
  <c r="G682" i="7"/>
  <c r="J682" i="7" s="1"/>
  <c r="I681" i="7"/>
  <c r="H681" i="7"/>
  <c r="G681" i="7"/>
  <c r="J681" i="7" s="1"/>
  <c r="I680" i="7"/>
  <c r="H680" i="7"/>
  <c r="G680" i="7"/>
  <c r="J680" i="7" s="1"/>
  <c r="I679" i="7"/>
  <c r="H679" i="7"/>
  <c r="G679" i="7"/>
  <c r="J679" i="7" s="1"/>
  <c r="I678" i="7"/>
  <c r="H678" i="7"/>
  <c r="G678" i="7"/>
  <c r="J678" i="7" s="1"/>
  <c r="I677" i="7"/>
  <c r="H677" i="7"/>
  <c r="G677" i="7"/>
  <c r="J677" i="7" s="1"/>
  <c r="I676" i="7"/>
  <c r="H676" i="7"/>
  <c r="G676" i="7"/>
  <c r="J676" i="7" s="1"/>
  <c r="I675" i="7"/>
  <c r="H675" i="7"/>
  <c r="G675" i="7"/>
  <c r="J675" i="7" s="1"/>
  <c r="I674" i="7"/>
  <c r="H674" i="7"/>
  <c r="G674" i="7"/>
  <c r="J674" i="7" s="1"/>
  <c r="I673" i="7"/>
  <c r="H673" i="7"/>
  <c r="G673" i="7"/>
  <c r="J673" i="7" s="1"/>
  <c r="I672" i="7"/>
  <c r="H672" i="7"/>
  <c r="G672" i="7"/>
  <c r="J672" i="7" s="1"/>
  <c r="I671" i="7"/>
  <c r="H671" i="7"/>
  <c r="G671" i="7"/>
  <c r="J671" i="7" s="1"/>
  <c r="I670" i="7"/>
  <c r="H670" i="7"/>
  <c r="G670" i="7"/>
  <c r="J670" i="7" s="1"/>
  <c r="I669" i="7"/>
  <c r="H669" i="7"/>
  <c r="G669" i="7"/>
  <c r="J669" i="7" s="1"/>
  <c r="I668" i="7"/>
  <c r="H668" i="7"/>
  <c r="G668" i="7"/>
  <c r="J668" i="7" s="1"/>
  <c r="I667" i="7"/>
  <c r="H667" i="7"/>
  <c r="G667" i="7"/>
  <c r="J667" i="7" s="1"/>
  <c r="I666" i="7"/>
  <c r="H666" i="7"/>
  <c r="G666" i="7"/>
  <c r="J666" i="7" s="1"/>
  <c r="I665" i="7"/>
  <c r="H665" i="7"/>
  <c r="G665" i="7"/>
  <c r="J665" i="7" s="1"/>
  <c r="I664" i="7"/>
  <c r="H664" i="7"/>
  <c r="G664" i="7"/>
  <c r="J664" i="7" s="1"/>
  <c r="I663" i="7"/>
  <c r="H663" i="7"/>
  <c r="G663" i="7"/>
  <c r="J663" i="7" s="1"/>
  <c r="I662" i="7"/>
  <c r="H662" i="7"/>
  <c r="G662" i="7"/>
  <c r="J662" i="7" s="1"/>
  <c r="I661" i="7"/>
  <c r="H661" i="7"/>
  <c r="G661" i="7"/>
  <c r="J661" i="7" s="1"/>
  <c r="I660" i="7"/>
  <c r="H660" i="7"/>
  <c r="G660" i="7"/>
  <c r="J660" i="7" s="1"/>
  <c r="I659" i="7"/>
  <c r="H659" i="7"/>
  <c r="G659" i="7"/>
  <c r="J659" i="7" s="1"/>
  <c r="I658" i="7"/>
  <c r="H658" i="7"/>
  <c r="G658" i="7"/>
  <c r="J658" i="7" s="1"/>
  <c r="I657" i="7"/>
  <c r="H657" i="7"/>
  <c r="G657" i="7"/>
  <c r="J657" i="7" s="1"/>
  <c r="I656" i="7"/>
  <c r="H656" i="7"/>
  <c r="G656" i="7"/>
  <c r="J656" i="7" s="1"/>
  <c r="I655" i="7"/>
  <c r="H655" i="7"/>
  <c r="G655" i="7"/>
  <c r="J655" i="7" s="1"/>
  <c r="I654" i="7"/>
  <c r="H654" i="7"/>
  <c r="G654" i="7"/>
  <c r="J654" i="7" s="1"/>
  <c r="I653" i="7"/>
  <c r="H653" i="7"/>
  <c r="G653" i="7"/>
  <c r="J653" i="7" s="1"/>
  <c r="I652" i="7"/>
  <c r="H652" i="7"/>
  <c r="G652" i="7"/>
  <c r="J652" i="7" s="1"/>
  <c r="I651" i="7"/>
  <c r="H651" i="7"/>
  <c r="G651" i="7"/>
  <c r="J651" i="7" s="1"/>
  <c r="I650" i="7"/>
  <c r="H650" i="7"/>
  <c r="G650" i="7"/>
  <c r="J650" i="7" s="1"/>
  <c r="I649" i="7"/>
  <c r="H649" i="7"/>
  <c r="G649" i="7"/>
  <c r="J649" i="7" s="1"/>
  <c r="I648" i="7"/>
  <c r="H648" i="7"/>
  <c r="G648" i="7"/>
  <c r="J648" i="7" s="1"/>
  <c r="I647" i="7"/>
  <c r="H647" i="7"/>
  <c r="G647" i="7"/>
  <c r="J647" i="7" s="1"/>
  <c r="I646" i="7"/>
  <c r="H646" i="7"/>
  <c r="G646" i="7"/>
  <c r="J646" i="7" s="1"/>
  <c r="I645" i="7"/>
  <c r="H645" i="7"/>
  <c r="G645" i="7"/>
  <c r="J645" i="7" s="1"/>
  <c r="I644" i="7"/>
  <c r="H644" i="7"/>
  <c r="G644" i="7"/>
  <c r="J644" i="7" s="1"/>
  <c r="I643" i="7"/>
  <c r="H643" i="7"/>
  <c r="G643" i="7"/>
  <c r="J643" i="7" s="1"/>
  <c r="I642" i="7"/>
  <c r="H642" i="7"/>
  <c r="G642" i="7"/>
  <c r="J642" i="7" s="1"/>
  <c r="I641" i="7"/>
  <c r="H641" i="7"/>
  <c r="G641" i="7"/>
  <c r="J641" i="7" s="1"/>
  <c r="I640" i="7"/>
  <c r="H640" i="7"/>
  <c r="G640" i="7"/>
  <c r="J640" i="7" s="1"/>
  <c r="I639" i="7"/>
  <c r="H639" i="7"/>
  <c r="G639" i="7"/>
  <c r="J639" i="7" s="1"/>
  <c r="I638" i="7"/>
  <c r="H638" i="7"/>
  <c r="G638" i="7"/>
  <c r="J638" i="7" s="1"/>
  <c r="I637" i="7"/>
  <c r="H637" i="7"/>
  <c r="G637" i="7"/>
  <c r="J637" i="7" s="1"/>
  <c r="I636" i="7"/>
  <c r="H636" i="7"/>
  <c r="G636" i="7"/>
  <c r="J636" i="7" s="1"/>
  <c r="I635" i="7"/>
  <c r="H635" i="7"/>
  <c r="G635" i="7"/>
  <c r="J635" i="7" s="1"/>
  <c r="I634" i="7"/>
  <c r="H634" i="7"/>
  <c r="G634" i="7"/>
  <c r="J634" i="7" s="1"/>
  <c r="I633" i="7"/>
  <c r="H633" i="7"/>
  <c r="G633" i="7"/>
  <c r="J633" i="7" s="1"/>
  <c r="I632" i="7"/>
  <c r="H632" i="7"/>
  <c r="G632" i="7"/>
  <c r="J632" i="7" s="1"/>
  <c r="I631" i="7"/>
  <c r="H631" i="7"/>
  <c r="G631" i="7"/>
  <c r="J631" i="7" s="1"/>
  <c r="I630" i="7"/>
  <c r="H630" i="7"/>
  <c r="G630" i="7"/>
  <c r="J630" i="7" s="1"/>
  <c r="I629" i="7"/>
  <c r="H629" i="7"/>
  <c r="G629" i="7"/>
  <c r="J629" i="7" s="1"/>
  <c r="I628" i="7"/>
  <c r="H628" i="7"/>
  <c r="G628" i="7"/>
  <c r="J628" i="7" s="1"/>
  <c r="I627" i="7"/>
  <c r="H627" i="7"/>
  <c r="G627" i="7"/>
  <c r="J627" i="7" s="1"/>
  <c r="I626" i="7"/>
  <c r="H626" i="7"/>
  <c r="G626" i="7"/>
  <c r="J626" i="7" s="1"/>
  <c r="I625" i="7"/>
  <c r="H625" i="7"/>
  <c r="G625" i="7"/>
  <c r="J625" i="7" s="1"/>
  <c r="I624" i="7"/>
  <c r="H624" i="7"/>
  <c r="G624" i="7"/>
  <c r="J624" i="7" s="1"/>
  <c r="I623" i="7"/>
  <c r="H623" i="7"/>
  <c r="G623" i="7"/>
  <c r="J623" i="7" s="1"/>
  <c r="I622" i="7"/>
  <c r="H622" i="7"/>
  <c r="G622" i="7"/>
  <c r="J622" i="7" s="1"/>
  <c r="I621" i="7"/>
  <c r="H621" i="7"/>
  <c r="G621" i="7"/>
  <c r="J621" i="7" s="1"/>
  <c r="I620" i="7"/>
  <c r="H620" i="7"/>
  <c r="G620" i="7"/>
  <c r="J620" i="7" s="1"/>
  <c r="I619" i="7"/>
  <c r="H619" i="7"/>
  <c r="G619" i="7"/>
  <c r="J619" i="7" s="1"/>
  <c r="I618" i="7"/>
  <c r="H618" i="7"/>
  <c r="G618" i="7"/>
  <c r="J618" i="7" s="1"/>
  <c r="I617" i="7"/>
  <c r="H617" i="7"/>
  <c r="G617" i="7"/>
  <c r="J617" i="7" s="1"/>
  <c r="I616" i="7"/>
  <c r="H616" i="7"/>
  <c r="G616" i="7"/>
  <c r="J616" i="7" s="1"/>
  <c r="I615" i="7"/>
  <c r="H615" i="7"/>
  <c r="G615" i="7"/>
  <c r="J615" i="7" s="1"/>
  <c r="I614" i="7"/>
  <c r="H614" i="7"/>
  <c r="G614" i="7"/>
  <c r="J614" i="7" s="1"/>
  <c r="I613" i="7"/>
  <c r="H613" i="7"/>
  <c r="G613" i="7"/>
  <c r="J613" i="7" s="1"/>
  <c r="I612" i="7"/>
  <c r="H612" i="7"/>
  <c r="G612" i="7"/>
  <c r="J612" i="7" s="1"/>
  <c r="I611" i="7"/>
  <c r="H611" i="7"/>
  <c r="G611" i="7"/>
  <c r="J611" i="7" s="1"/>
  <c r="I610" i="7"/>
  <c r="H610" i="7"/>
  <c r="G610" i="7"/>
  <c r="J610" i="7" s="1"/>
  <c r="I609" i="7"/>
  <c r="H609" i="7"/>
  <c r="G609" i="7"/>
  <c r="J609" i="7" s="1"/>
  <c r="I608" i="7"/>
  <c r="H608" i="7"/>
  <c r="G608" i="7"/>
  <c r="J608" i="7" s="1"/>
  <c r="I607" i="7"/>
  <c r="H607" i="7"/>
  <c r="G607" i="7"/>
  <c r="J607" i="7" s="1"/>
  <c r="I606" i="7"/>
  <c r="H606" i="7"/>
  <c r="G606" i="7"/>
  <c r="J606" i="7" s="1"/>
  <c r="I605" i="7"/>
  <c r="H605" i="7"/>
  <c r="G605" i="7"/>
  <c r="J605" i="7" s="1"/>
  <c r="I604" i="7"/>
  <c r="H604" i="7"/>
  <c r="G604" i="7"/>
  <c r="J604" i="7" s="1"/>
  <c r="I603" i="7"/>
  <c r="H603" i="7"/>
  <c r="G603" i="7"/>
  <c r="J603" i="7" s="1"/>
  <c r="I602" i="7"/>
  <c r="H602" i="7"/>
  <c r="G602" i="7"/>
  <c r="J602" i="7" s="1"/>
  <c r="I601" i="7"/>
  <c r="H601" i="7"/>
  <c r="G601" i="7"/>
  <c r="J601" i="7" s="1"/>
  <c r="I600" i="7"/>
  <c r="H600" i="7"/>
  <c r="G600" i="7"/>
  <c r="J600" i="7" s="1"/>
  <c r="I599" i="7"/>
  <c r="H599" i="7"/>
  <c r="G599" i="7"/>
  <c r="J599" i="7" s="1"/>
  <c r="I598" i="7"/>
  <c r="H598" i="7"/>
  <c r="G598" i="7"/>
  <c r="J598" i="7" s="1"/>
  <c r="I597" i="7"/>
  <c r="H597" i="7"/>
  <c r="G597" i="7"/>
  <c r="J597" i="7" s="1"/>
  <c r="I596" i="7"/>
  <c r="H596" i="7"/>
  <c r="G596" i="7"/>
  <c r="J596" i="7" s="1"/>
  <c r="I595" i="7"/>
  <c r="H595" i="7"/>
  <c r="G595" i="7"/>
  <c r="J595" i="7" s="1"/>
  <c r="I594" i="7"/>
  <c r="H594" i="7"/>
  <c r="G594" i="7"/>
  <c r="J594" i="7" s="1"/>
  <c r="I593" i="7"/>
  <c r="H593" i="7"/>
  <c r="G593" i="7"/>
  <c r="J593" i="7" s="1"/>
  <c r="I592" i="7"/>
  <c r="H592" i="7"/>
  <c r="G592" i="7"/>
  <c r="J592" i="7" s="1"/>
  <c r="I591" i="7"/>
  <c r="H591" i="7"/>
  <c r="G591" i="7"/>
  <c r="J591" i="7" s="1"/>
  <c r="I590" i="7"/>
  <c r="H590" i="7"/>
  <c r="G590" i="7"/>
  <c r="J590" i="7" s="1"/>
  <c r="I589" i="7"/>
  <c r="H589" i="7"/>
  <c r="G589" i="7"/>
  <c r="J589" i="7" s="1"/>
  <c r="I588" i="7"/>
  <c r="H588" i="7"/>
  <c r="G588" i="7"/>
  <c r="J588" i="7" s="1"/>
  <c r="I587" i="7"/>
  <c r="H587" i="7"/>
  <c r="G587" i="7"/>
  <c r="J587" i="7" s="1"/>
  <c r="I586" i="7"/>
  <c r="H586" i="7"/>
  <c r="G586" i="7"/>
  <c r="J586" i="7" s="1"/>
  <c r="I585" i="7"/>
  <c r="H585" i="7"/>
  <c r="G585" i="7"/>
  <c r="J585" i="7" s="1"/>
  <c r="I584" i="7"/>
  <c r="H584" i="7"/>
  <c r="G584" i="7"/>
  <c r="J584" i="7" s="1"/>
  <c r="I583" i="7"/>
  <c r="H583" i="7"/>
  <c r="G583" i="7"/>
  <c r="J583" i="7" s="1"/>
  <c r="I582" i="7"/>
  <c r="H582" i="7"/>
  <c r="G582" i="7"/>
  <c r="J582" i="7" s="1"/>
  <c r="I581" i="7"/>
  <c r="H581" i="7"/>
  <c r="G581" i="7"/>
  <c r="J581" i="7" s="1"/>
  <c r="I580" i="7"/>
  <c r="H580" i="7"/>
  <c r="G580" i="7"/>
  <c r="J580" i="7" s="1"/>
  <c r="I579" i="7"/>
  <c r="H579" i="7"/>
  <c r="G579" i="7"/>
  <c r="J579" i="7" s="1"/>
  <c r="I578" i="7"/>
  <c r="H578" i="7"/>
  <c r="G578" i="7"/>
  <c r="J578" i="7" s="1"/>
  <c r="I577" i="7"/>
  <c r="H577" i="7"/>
  <c r="G577" i="7"/>
  <c r="J577" i="7" s="1"/>
  <c r="I576" i="7"/>
  <c r="H576" i="7"/>
  <c r="G576" i="7"/>
  <c r="J576" i="7" s="1"/>
  <c r="I575" i="7"/>
  <c r="H575" i="7"/>
  <c r="G575" i="7"/>
  <c r="J575" i="7" s="1"/>
  <c r="I574" i="7"/>
  <c r="H574" i="7"/>
  <c r="G574" i="7"/>
  <c r="J574" i="7" s="1"/>
  <c r="I573" i="7"/>
  <c r="H573" i="7"/>
  <c r="G573" i="7"/>
  <c r="J573" i="7" s="1"/>
  <c r="I572" i="7"/>
  <c r="H572" i="7"/>
  <c r="G572" i="7"/>
  <c r="J572" i="7" s="1"/>
  <c r="I571" i="7"/>
  <c r="H571" i="7"/>
  <c r="G571" i="7"/>
  <c r="J571" i="7" s="1"/>
  <c r="I570" i="7"/>
  <c r="H570" i="7"/>
  <c r="G570" i="7"/>
  <c r="J570" i="7" s="1"/>
  <c r="I569" i="7"/>
  <c r="H569" i="7"/>
  <c r="G569" i="7"/>
  <c r="J569" i="7" s="1"/>
  <c r="I568" i="7"/>
  <c r="H568" i="7"/>
  <c r="G568" i="7"/>
  <c r="J568" i="7" s="1"/>
  <c r="I567" i="7"/>
  <c r="H567" i="7"/>
  <c r="G567" i="7"/>
  <c r="J567" i="7" s="1"/>
  <c r="I566" i="7"/>
  <c r="H566" i="7"/>
  <c r="G566" i="7"/>
  <c r="J566" i="7" s="1"/>
  <c r="I565" i="7"/>
  <c r="H565" i="7"/>
  <c r="G565" i="7"/>
  <c r="J565" i="7" s="1"/>
  <c r="I564" i="7"/>
  <c r="H564" i="7"/>
  <c r="G564" i="7"/>
  <c r="J564" i="7" s="1"/>
  <c r="I563" i="7"/>
  <c r="H563" i="7"/>
  <c r="G563" i="7"/>
  <c r="J563" i="7" s="1"/>
  <c r="I562" i="7"/>
  <c r="H562" i="7"/>
  <c r="G562" i="7"/>
  <c r="J562" i="7" s="1"/>
  <c r="I561" i="7"/>
  <c r="H561" i="7"/>
  <c r="G561" i="7"/>
  <c r="J561" i="7" s="1"/>
  <c r="I560" i="7"/>
  <c r="H560" i="7"/>
  <c r="G560" i="7"/>
  <c r="J560" i="7" s="1"/>
  <c r="I559" i="7"/>
  <c r="H559" i="7"/>
  <c r="G559" i="7"/>
  <c r="J559" i="7" s="1"/>
  <c r="I558" i="7"/>
  <c r="H558" i="7"/>
  <c r="G558" i="7"/>
  <c r="J558" i="7" s="1"/>
  <c r="I557" i="7"/>
  <c r="H557" i="7"/>
  <c r="G557" i="7"/>
  <c r="J557" i="7" s="1"/>
  <c r="I556" i="7"/>
  <c r="H556" i="7"/>
  <c r="G556" i="7"/>
  <c r="J556" i="7" s="1"/>
  <c r="I555" i="7"/>
  <c r="H555" i="7"/>
  <c r="G555" i="7"/>
  <c r="J555" i="7" s="1"/>
  <c r="I554" i="7"/>
  <c r="H554" i="7"/>
  <c r="G554" i="7"/>
  <c r="J554" i="7" s="1"/>
  <c r="I553" i="7"/>
  <c r="H553" i="7"/>
  <c r="G553" i="7"/>
  <c r="J553" i="7" s="1"/>
  <c r="I552" i="7"/>
  <c r="H552" i="7"/>
  <c r="G552" i="7"/>
  <c r="J552" i="7" s="1"/>
  <c r="I551" i="7"/>
  <c r="H551" i="7"/>
  <c r="G551" i="7"/>
  <c r="J551" i="7" s="1"/>
  <c r="I550" i="7"/>
  <c r="H550" i="7"/>
  <c r="G550" i="7"/>
  <c r="J550" i="7" s="1"/>
  <c r="I549" i="7"/>
  <c r="H549" i="7"/>
  <c r="G549" i="7"/>
  <c r="J549" i="7" s="1"/>
  <c r="I548" i="7"/>
  <c r="H548" i="7"/>
  <c r="G548" i="7"/>
  <c r="J548" i="7" s="1"/>
  <c r="I547" i="7"/>
  <c r="H547" i="7"/>
  <c r="G547" i="7"/>
  <c r="J547" i="7" s="1"/>
  <c r="I546" i="7"/>
  <c r="H546" i="7"/>
  <c r="G546" i="7"/>
  <c r="J546" i="7" s="1"/>
  <c r="I545" i="7"/>
  <c r="H545" i="7"/>
  <c r="G545" i="7"/>
  <c r="J545" i="7" s="1"/>
  <c r="I544" i="7"/>
  <c r="H544" i="7"/>
  <c r="G544" i="7"/>
  <c r="J544" i="7" s="1"/>
  <c r="I543" i="7"/>
  <c r="H543" i="7"/>
  <c r="G543" i="7"/>
  <c r="J543" i="7" s="1"/>
  <c r="I542" i="7"/>
  <c r="H542" i="7"/>
  <c r="G542" i="7"/>
  <c r="J542" i="7" s="1"/>
  <c r="I541" i="7"/>
  <c r="H541" i="7"/>
  <c r="G541" i="7"/>
  <c r="J541" i="7" s="1"/>
  <c r="I540" i="7"/>
  <c r="H540" i="7"/>
  <c r="G540" i="7"/>
  <c r="J540" i="7" s="1"/>
  <c r="I539" i="7"/>
  <c r="H539" i="7"/>
  <c r="G539" i="7"/>
  <c r="J539" i="7" s="1"/>
  <c r="I538" i="7"/>
  <c r="H538" i="7"/>
  <c r="G538" i="7"/>
  <c r="J538" i="7" s="1"/>
  <c r="I537" i="7"/>
  <c r="H537" i="7"/>
  <c r="G537" i="7"/>
  <c r="J537" i="7" s="1"/>
  <c r="I536" i="7"/>
  <c r="H536" i="7"/>
  <c r="G536" i="7"/>
  <c r="J536" i="7" s="1"/>
  <c r="I535" i="7"/>
  <c r="H535" i="7"/>
  <c r="G535" i="7"/>
  <c r="J535" i="7" s="1"/>
  <c r="I534" i="7"/>
  <c r="H534" i="7"/>
  <c r="G534" i="7"/>
  <c r="J534" i="7" s="1"/>
  <c r="I533" i="7"/>
  <c r="H533" i="7"/>
  <c r="G533" i="7"/>
  <c r="J533" i="7" s="1"/>
  <c r="I532" i="7"/>
  <c r="H532" i="7"/>
  <c r="G532" i="7"/>
  <c r="J532" i="7" s="1"/>
  <c r="I531" i="7"/>
  <c r="H531" i="7"/>
  <c r="G531" i="7"/>
  <c r="J531" i="7" s="1"/>
  <c r="I530" i="7"/>
  <c r="H530" i="7"/>
  <c r="G530" i="7"/>
  <c r="J530" i="7" s="1"/>
  <c r="I529" i="7"/>
  <c r="H529" i="7"/>
  <c r="G529" i="7"/>
  <c r="J529" i="7" s="1"/>
  <c r="I528" i="7"/>
  <c r="H528" i="7"/>
  <c r="G528" i="7"/>
  <c r="J528" i="7" s="1"/>
  <c r="I527" i="7"/>
  <c r="H527" i="7"/>
  <c r="G527" i="7"/>
  <c r="J527" i="7" s="1"/>
  <c r="I526" i="7"/>
  <c r="H526" i="7"/>
  <c r="G526" i="7"/>
  <c r="J526" i="7" s="1"/>
  <c r="I525" i="7"/>
  <c r="H525" i="7"/>
  <c r="G525" i="7"/>
  <c r="J525" i="7" s="1"/>
  <c r="I524" i="7"/>
  <c r="H524" i="7"/>
  <c r="G524" i="7"/>
  <c r="J524" i="7" s="1"/>
  <c r="I523" i="7"/>
  <c r="H523" i="7"/>
  <c r="G523" i="7"/>
  <c r="J523" i="7" s="1"/>
  <c r="I522" i="7"/>
  <c r="H522" i="7"/>
  <c r="G522" i="7"/>
  <c r="J522" i="7" s="1"/>
  <c r="I521" i="7"/>
  <c r="H521" i="7"/>
  <c r="G521" i="7"/>
  <c r="J521" i="7" s="1"/>
  <c r="I520" i="7"/>
  <c r="H520" i="7"/>
  <c r="G520" i="7"/>
  <c r="J520" i="7" s="1"/>
  <c r="I519" i="7"/>
  <c r="H519" i="7"/>
  <c r="G519" i="7"/>
  <c r="J519" i="7" s="1"/>
  <c r="I518" i="7"/>
  <c r="H518" i="7"/>
  <c r="G518" i="7"/>
  <c r="J518" i="7" s="1"/>
  <c r="I517" i="7"/>
  <c r="H517" i="7"/>
  <c r="G517" i="7"/>
  <c r="J517" i="7" s="1"/>
  <c r="I516" i="7"/>
  <c r="H516" i="7"/>
  <c r="G516" i="7"/>
  <c r="J516" i="7" s="1"/>
  <c r="I515" i="7"/>
  <c r="H515" i="7"/>
  <c r="G515" i="7"/>
  <c r="J515" i="7" s="1"/>
  <c r="I514" i="7"/>
  <c r="H514" i="7"/>
  <c r="G514" i="7"/>
  <c r="J514" i="7" s="1"/>
  <c r="I513" i="7"/>
  <c r="H513" i="7"/>
  <c r="G513" i="7"/>
  <c r="J513" i="7" s="1"/>
  <c r="I512" i="7"/>
  <c r="H512" i="7"/>
  <c r="G512" i="7"/>
  <c r="J512" i="7" s="1"/>
  <c r="I511" i="7"/>
  <c r="H511" i="7"/>
  <c r="G511" i="7"/>
  <c r="J511" i="7" s="1"/>
  <c r="I510" i="7"/>
  <c r="H510" i="7"/>
  <c r="G510" i="7"/>
  <c r="J510" i="7" s="1"/>
  <c r="I509" i="7"/>
  <c r="H509" i="7"/>
  <c r="G509" i="7"/>
  <c r="J509" i="7" s="1"/>
  <c r="I508" i="7"/>
  <c r="H508" i="7"/>
  <c r="G508" i="7"/>
  <c r="J508" i="7" s="1"/>
  <c r="I507" i="7"/>
  <c r="H507" i="7"/>
  <c r="G507" i="7"/>
  <c r="J507" i="7" s="1"/>
  <c r="I506" i="7"/>
  <c r="H506" i="7"/>
  <c r="G506" i="7"/>
  <c r="J506" i="7" s="1"/>
  <c r="I505" i="7"/>
  <c r="H505" i="7"/>
  <c r="G505" i="7"/>
  <c r="J505" i="7" s="1"/>
  <c r="I504" i="7"/>
  <c r="H504" i="7"/>
  <c r="G504" i="7"/>
  <c r="J504" i="7" s="1"/>
  <c r="I503" i="7"/>
  <c r="H503" i="7"/>
  <c r="G503" i="7"/>
  <c r="J503" i="7" s="1"/>
  <c r="I502" i="7"/>
  <c r="H502" i="7"/>
  <c r="G502" i="7"/>
  <c r="J502" i="7" s="1"/>
  <c r="I501" i="7"/>
  <c r="H501" i="7"/>
  <c r="G501" i="7"/>
  <c r="J501" i="7" s="1"/>
  <c r="I500" i="7"/>
  <c r="H500" i="7"/>
  <c r="G500" i="7"/>
  <c r="J500" i="7" s="1"/>
  <c r="I499" i="7"/>
  <c r="H499" i="7"/>
  <c r="G499" i="7"/>
  <c r="J499" i="7" s="1"/>
  <c r="I498" i="7"/>
  <c r="H498" i="7"/>
  <c r="G498" i="7"/>
  <c r="J498" i="7" s="1"/>
  <c r="I497" i="7"/>
  <c r="H497" i="7"/>
  <c r="G497" i="7"/>
  <c r="J497" i="7" s="1"/>
  <c r="I496" i="7"/>
  <c r="H496" i="7"/>
  <c r="G496" i="7"/>
  <c r="J496" i="7" s="1"/>
  <c r="I495" i="7"/>
  <c r="H495" i="7"/>
  <c r="G495" i="7"/>
  <c r="J495" i="7" s="1"/>
  <c r="I494" i="7"/>
  <c r="H494" i="7"/>
  <c r="G494" i="7"/>
  <c r="J494" i="7" s="1"/>
  <c r="I493" i="7"/>
  <c r="H493" i="7"/>
  <c r="G493" i="7"/>
  <c r="J493" i="7" s="1"/>
  <c r="I492" i="7"/>
  <c r="H492" i="7"/>
  <c r="G492" i="7"/>
  <c r="J492" i="7" s="1"/>
  <c r="I491" i="7"/>
  <c r="H491" i="7"/>
  <c r="G491" i="7"/>
  <c r="J491" i="7" s="1"/>
  <c r="I490" i="7"/>
  <c r="H490" i="7"/>
  <c r="G490" i="7"/>
  <c r="J490" i="7" s="1"/>
  <c r="I489" i="7"/>
  <c r="H489" i="7"/>
  <c r="G489" i="7"/>
  <c r="J489" i="7" s="1"/>
  <c r="I488" i="7"/>
  <c r="H488" i="7"/>
  <c r="G488" i="7"/>
  <c r="J488" i="7" s="1"/>
  <c r="I487" i="7"/>
  <c r="H487" i="7"/>
  <c r="G487" i="7"/>
  <c r="J487" i="7" s="1"/>
  <c r="I486" i="7"/>
  <c r="H486" i="7"/>
  <c r="G486" i="7"/>
  <c r="J486" i="7" s="1"/>
  <c r="I485" i="7"/>
  <c r="H485" i="7"/>
  <c r="G485" i="7"/>
  <c r="J485" i="7" s="1"/>
  <c r="I484" i="7"/>
  <c r="H484" i="7"/>
  <c r="G484" i="7"/>
  <c r="J484" i="7" s="1"/>
  <c r="I483" i="7"/>
  <c r="H483" i="7"/>
  <c r="G483" i="7"/>
  <c r="J483" i="7" s="1"/>
  <c r="I482" i="7"/>
  <c r="H482" i="7"/>
  <c r="G482" i="7"/>
  <c r="J482" i="7" s="1"/>
  <c r="I481" i="7"/>
  <c r="H481" i="7"/>
  <c r="G481" i="7"/>
  <c r="J481" i="7" s="1"/>
  <c r="I480" i="7"/>
  <c r="H480" i="7"/>
  <c r="G480" i="7"/>
  <c r="J480" i="7" s="1"/>
  <c r="I479" i="7"/>
  <c r="H479" i="7"/>
  <c r="G479" i="7"/>
  <c r="J479" i="7" s="1"/>
  <c r="I478" i="7"/>
  <c r="H478" i="7"/>
  <c r="G478" i="7"/>
  <c r="J478" i="7" s="1"/>
  <c r="I477" i="7"/>
  <c r="H477" i="7"/>
  <c r="G477" i="7"/>
  <c r="J477" i="7" s="1"/>
  <c r="I476" i="7"/>
  <c r="H476" i="7"/>
  <c r="G476" i="7"/>
  <c r="J476" i="7" s="1"/>
  <c r="I475" i="7"/>
  <c r="H475" i="7"/>
  <c r="G475" i="7"/>
  <c r="J475" i="7" s="1"/>
  <c r="I474" i="7"/>
  <c r="H474" i="7"/>
  <c r="G474" i="7"/>
  <c r="J474" i="7" s="1"/>
  <c r="I473" i="7"/>
  <c r="H473" i="7"/>
  <c r="G473" i="7"/>
  <c r="J473" i="7" s="1"/>
  <c r="I472" i="7"/>
  <c r="H472" i="7"/>
  <c r="G472" i="7"/>
  <c r="J472" i="7" s="1"/>
  <c r="I471" i="7"/>
  <c r="H471" i="7"/>
  <c r="G471" i="7"/>
  <c r="J471" i="7" s="1"/>
  <c r="I470" i="7"/>
  <c r="H470" i="7"/>
  <c r="G470" i="7"/>
  <c r="J470" i="7" s="1"/>
  <c r="I469" i="7"/>
  <c r="H469" i="7"/>
  <c r="G469" i="7"/>
  <c r="J469" i="7" s="1"/>
  <c r="I468" i="7"/>
  <c r="H468" i="7"/>
  <c r="G468" i="7"/>
  <c r="J468" i="7" s="1"/>
  <c r="I467" i="7"/>
  <c r="H467" i="7"/>
  <c r="G467" i="7"/>
  <c r="J467" i="7" s="1"/>
  <c r="I466" i="7"/>
  <c r="H466" i="7"/>
  <c r="G466" i="7"/>
  <c r="J466" i="7" s="1"/>
  <c r="I465" i="7"/>
  <c r="H465" i="7"/>
  <c r="G465" i="7"/>
  <c r="J465" i="7" s="1"/>
  <c r="I464" i="7"/>
  <c r="H464" i="7"/>
  <c r="G464" i="7"/>
  <c r="J464" i="7" s="1"/>
  <c r="I463" i="7"/>
  <c r="H463" i="7"/>
  <c r="G463" i="7"/>
  <c r="J463" i="7" s="1"/>
  <c r="I462" i="7"/>
  <c r="H462" i="7"/>
  <c r="G462" i="7"/>
  <c r="J462" i="7" s="1"/>
  <c r="I461" i="7"/>
  <c r="H461" i="7"/>
  <c r="G461" i="7"/>
  <c r="J461" i="7" s="1"/>
  <c r="I460" i="7"/>
  <c r="H460" i="7"/>
  <c r="G460" i="7"/>
  <c r="J460" i="7" s="1"/>
  <c r="I459" i="7"/>
  <c r="H459" i="7"/>
  <c r="G459" i="7"/>
  <c r="J459" i="7" s="1"/>
  <c r="I458" i="7"/>
  <c r="H458" i="7"/>
  <c r="G458" i="7"/>
  <c r="J458" i="7" s="1"/>
  <c r="I457" i="7"/>
  <c r="H457" i="7"/>
  <c r="G457" i="7"/>
  <c r="J457" i="7" s="1"/>
  <c r="I456" i="7"/>
  <c r="H456" i="7"/>
  <c r="G456" i="7"/>
  <c r="J456" i="7" s="1"/>
  <c r="I455" i="7"/>
  <c r="H455" i="7"/>
  <c r="G455" i="7"/>
  <c r="J455" i="7" s="1"/>
  <c r="I454" i="7"/>
  <c r="H454" i="7"/>
  <c r="G454" i="7"/>
  <c r="J454" i="7" s="1"/>
  <c r="I453" i="7"/>
  <c r="H453" i="7"/>
  <c r="G453" i="7"/>
  <c r="J453" i="7" s="1"/>
  <c r="I452" i="7"/>
  <c r="H452" i="7"/>
  <c r="G452" i="7"/>
  <c r="J452" i="7" s="1"/>
  <c r="I451" i="7"/>
  <c r="H451" i="7"/>
  <c r="G451" i="7"/>
  <c r="J451" i="7" s="1"/>
  <c r="I450" i="7"/>
  <c r="H450" i="7"/>
  <c r="G450" i="7"/>
  <c r="J450" i="7" s="1"/>
  <c r="I449" i="7"/>
  <c r="H449" i="7"/>
  <c r="G449" i="7"/>
  <c r="J449" i="7" s="1"/>
  <c r="I448" i="7"/>
  <c r="H448" i="7"/>
  <c r="G448" i="7"/>
  <c r="J448" i="7" s="1"/>
  <c r="I447" i="7"/>
  <c r="H447" i="7"/>
  <c r="G447" i="7"/>
  <c r="J447" i="7" s="1"/>
  <c r="I446" i="7"/>
  <c r="H446" i="7"/>
  <c r="G446" i="7"/>
  <c r="J446" i="7" s="1"/>
  <c r="I445" i="7"/>
  <c r="H445" i="7"/>
  <c r="G445" i="7"/>
  <c r="J445" i="7" s="1"/>
  <c r="I444" i="7"/>
  <c r="H444" i="7"/>
  <c r="G444" i="7"/>
  <c r="J444" i="7" s="1"/>
  <c r="I443" i="7"/>
  <c r="H443" i="7"/>
  <c r="G443" i="7"/>
  <c r="J443" i="7" s="1"/>
  <c r="I442" i="7"/>
  <c r="H442" i="7"/>
  <c r="G442" i="7"/>
  <c r="J442" i="7" s="1"/>
  <c r="I441" i="7"/>
  <c r="H441" i="7"/>
  <c r="G441" i="7"/>
  <c r="J441" i="7" s="1"/>
  <c r="I440" i="7"/>
  <c r="H440" i="7"/>
  <c r="G440" i="7"/>
  <c r="J440" i="7" s="1"/>
  <c r="I439" i="7"/>
  <c r="H439" i="7"/>
  <c r="G439" i="7"/>
  <c r="J439" i="7" s="1"/>
  <c r="I438" i="7"/>
  <c r="H438" i="7"/>
  <c r="G438" i="7"/>
  <c r="J438" i="7" s="1"/>
  <c r="I437" i="7"/>
  <c r="H437" i="7"/>
  <c r="G437" i="7"/>
  <c r="J437" i="7" s="1"/>
  <c r="I436" i="7"/>
  <c r="H436" i="7"/>
  <c r="G436" i="7"/>
  <c r="J436" i="7" s="1"/>
  <c r="I435" i="7"/>
  <c r="H435" i="7"/>
  <c r="G435" i="7"/>
  <c r="J435" i="7" s="1"/>
  <c r="I434" i="7"/>
  <c r="H434" i="7"/>
  <c r="G434" i="7"/>
  <c r="J434" i="7" s="1"/>
  <c r="I433" i="7"/>
  <c r="H433" i="7"/>
  <c r="G433" i="7"/>
  <c r="J433" i="7" s="1"/>
  <c r="I432" i="7"/>
  <c r="H432" i="7"/>
  <c r="G432" i="7"/>
  <c r="J432" i="7" s="1"/>
  <c r="I431" i="7"/>
  <c r="H431" i="7"/>
  <c r="G431" i="7"/>
  <c r="J431" i="7" s="1"/>
  <c r="I430" i="7"/>
  <c r="H430" i="7"/>
  <c r="G430" i="7"/>
  <c r="J430" i="7" s="1"/>
  <c r="I429" i="7"/>
  <c r="H429" i="7"/>
  <c r="G429" i="7"/>
  <c r="J429" i="7" s="1"/>
  <c r="I428" i="7"/>
  <c r="H428" i="7"/>
  <c r="G428" i="7"/>
  <c r="J428" i="7" s="1"/>
  <c r="I427" i="7"/>
  <c r="H427" i="7"/>
  <c r="G427" i="7"/>
  <c r="J427" i="7" s="1"/>
  <c r="I426" i="7"/>
  <c r="H426" i="7"/>
  <c r="G426" i="7"/>
  <c r="J426" i="7" s="1"/>
  <c r="I425" i="7"/>
  <c r="H425" i="7"/>
  <c r="G425" i="7"/>
  <c r="J425" i="7" s="1"/>
  <c r="I424" i="7"/>
  <c r="H424" i="7"/>
  <c r="G424" i="7"/>
  <c r="J424" i="7" s="1"/>
  <c r="I423" i="7"/>
  <c r="H423" i="7"/>
  <c r="G423" i="7"/>
  <c r="J423" i="7" s="1"/>
  <c r="I422" i="7"/>
  <c r="H422" i="7"/>
  <c r="G422" i="7"/>
  <c r="J422" i="7" s="1"/>
  <c r="I421" i="7"/>
  <c r="H421" i="7"/>
  <c r="G421" i="7"/>
  <c r="J421" i="7" s="1"/>
  <c r="I420" i="7"/>
  <c r="H420" i="7"/>
  <c r="G420" i="7"/>
  <c r="J420" i="7" s="1"/>
  <c r="I419" i="7"/>
  <c r="H419" i="7"/>
  <c r="G419" i="7"/>
  <c r="J419" i="7" s="1"/>
  <c r="I418" i="7"/>
  <c r="H418" i="7"/>
  <c r="G418" i="7"/>
  <c r="J418" i="7" s="1"/>
  <c r="I417" i="7"/>
  <c r="H417" i="7"/>
  <c r="G417" i="7"/>
  <c r="J417" i="7" s="1"/>
  <c r="I416" i="7"/>
  <c r="H416" i="7"/>
  <c r="G416" i="7"/>
  <c r="J416" i="7" s="1"/>
  <c r="I415" i="7"/>
  <c r="H415" i="7"/>
  <c r="G415" i="7"/>
  <c r="J415" i="7" s="1"/>
  <c r="I414" i="7"/>
  <c r="H414" i="7"/>
  <c r="G414" i="7"/>
  <c r="J414" i="7" s="1"/>
  <c r="I413" i="7"/>
  <c r="H413" i="7"/>
  <c r="G413" i="7"/>
  <c r="J413" i="7" s="1"/>
  <c r="I412" i="7"/>
  <c r="H412" i="7"/>
  <c r="G412" i="7"/>
  <c r="J412" i="7" s="1"/>
  <c r="I411" i="7"/>
  <c r="H411" i="7"/>
  <c r="G411" i="7"/>
  <c r="J411" i="7" s="1"/>
  <c r="I410" i="7"/>
  <c r="H410" i="7"/>
  <c r="G410" i="7"/>
  <c r="J410" i="7" s="1"/>
  <c r="I409" i="7"/>
  <c r="H409" i="7"/>
  <c r="G409" i="7"/>
  <c r="J409" i="7" s="1"/>
  <c r="I408" i="7"/>
  <c r="H408" i="7"/>
  <c r="G408" i="7"/>
  <c r="J408" i="7" s="1"/>
  <c r="I407" i="7"/>
  <c r="H407" i="7"/>
  <c r="G407" i="7"/>
  <c r="J407" i="7" s="1"/>
  <c r="I406" i="7"/>
  <c r="H406" i="7"/>
  <c r="G406" i="7"/>
  <c r="J406" i="7" s="1"/>
  <c r="I405" i="7"/>
  <c r="H405" i="7"/>
  <c r="G405" i="7"/>
  <c r="J405" i="7" s="1"/>
  <c r="I404" i="7"/>
  <c r="H404" i="7"/>
  <c r="G404" i="7"/>
  <c r="J404" i="7" s="1"/>
  <c r="I403" i="7"/>
  <c r="H403" i="7"/>
  <c r="G403" i="7"/>
  <c r="J403" i="7" s="1"/>
  <c r="I402" i="7"/>
  <c r="H402" i="7"/>
  <c r="G402" i="7"/>
  <c r="J402" i="7" s="1"/>
  <c r="I401" i="7"/>
  <c r="H401" i="7"/>
  <c r="G401" i="7"/>
  <c r="J401" i="7" s="1"/>
  <c r="I400" i="7"/>
  <c r="H400" i="7"/>
  <c r="G400" i="7"/>
  <c r="J400" i="7" s="1"/>
  <c r="I399" i="7"/>
  <c r="H399" i="7"/>
  <c r="G399" i="7"/>
  <c r="J399" i="7" s="1"/>
  <c r="I398" i="7"/>
  <c r="H398" i="7"/>
  <c r="G398" i="7"/>
  <c r="J398" i="7" s="1"/>
  <c r="I397" i="7"/>
  <c r="H397" i="7"/>
  <c r="G397" i="7"/>
  <c r="J397" i="7" s="1"/>
  <c r="I396" i="7"/>
  <c r="H396" i="7"/>
  <c r="G396" i="7"/>
  <c r="J396" i="7" s="1"/>
  <c r="I395" i="7"/>
  <c r="H395" i="7"/>
  <c r="G395" i="7"/>
  <c r="J395" i="7" s="1"/>
  <c r="I394" i="7"/>
  <c r="H394" i="7"/>
  <c r="G394" i="7"/>
  <c r="J394" i="7" s="1"/>
  <c r="I393" i="7"/>
  <c r="H393" i="7"/>
  <c r="G393" i="7"/>
  <c r="J393" i="7" s="1"/>
  <c r="I392" i="7"/>
  <c r="H392" i="7"/>
  <c r="G392" i="7"/>
  <c r="J392" i="7" s="1"/>
  <c r="I391" i="7"/>
  <c r="H391" i="7"/>
  <c r="G391" i="7"/>
  <c r="J391" i="7" s="1"/>
  <c r="I390" i="7"/>
  <c r="H390" i="7"/>
  <c r="G390" i="7"/>
  <c r="J390" i="7" s="1"/>
  <c r="I389" i="7"/>
  <c r="H389" i="7"/>
  <c r="G389" i="7"/>
  <c r="J389" i="7" s="1"/>
  <c r="I388" i="7"/>
  <c r="H388" i="7"/>
  <c r="G388" i="7"/>
  <c r="J388" i="7" s="1"/>
  <c r="I387" i="7"/>
  <c r="H387" i="7"/>
  <c r="G387" i="7"/>
  <c r="J387" i="7" s="1"/>
  <c r="I386" i="7"/>
  <c r="H386" i="7"/>
  <c r="G386" i="7"/>
  <c r="J386" i="7" s="1"/>
  <c r="I385" i="7"/>
  <c r="H385" i="7"/>
  <c r="G385" i="7"/>
  <c r="J385" i="7" s="1"/>
  <c r="I384" i="7"/>
  <c r="H384" i="7"/>
  <c r="G384" i="7"/>
  <c r="J384" i="7" s="1"/>
  <c r="I383" i="7"/>
  <c r="H383" i="7"/>
  <c r="G383" i="7"/>
  <c r="J383" i="7" s="1"/>
  <c r="I382" i="7"/>
  <c r="H382" i="7"/>
  <c r="G382" i="7"/>
  <c r="J382" i="7" s="1"/>
  <c r="I381" i="7"/>
  <c r="H381" i="7"/>
  <c r="G381" i="7"/>
  <c r="J381" i="7" s="1"/>
  <c r="I380" i="7"/>
  <c r="H380" i="7"/>
  <c r="G380" i="7"/>
  <c r="J380" i="7" s="1"/>
  <c r="I379" i="7"/>
  <c r="H379" i="7"/>
  <c r="G379" i="7"/>
  <c r="J379" i="7" s="1"/>
  <c r="I378" i="7"/>
  <c r="H378" i="7"/>
  <c r="G378" i="7"/>
  <c r="J378" i="7" s="1"/>
  <c r="I377" i="7"/>
  <c r="H377" i="7"/>
  <c r="G377" i="7"/>
  <c r="J377" i="7" s="1"/>
  <c r="I376" i="7"/>
  <c r="H376" i="7"/>
  <c r="G376" i="7"/>
  <c r="J376" i="7" s="1"/>
  <c r="I375" i="7"/>
  <c r="H375" i="7"/>
  <c r="G375" i="7"/>
  <c r="J375" i="7" s="1"/>
  <c r="I374" i="7"/>
  <c r="H374" i="7"/>
  <c r="G374" i="7"/>
  <c r="J374" i="7" s="1"/>
  <c r="I373" i="7"/>
  <c r="H373" i="7"/>
  <c r="G373" i="7"/>
  <c r="J373" i="7" s="1"/>
  <c r="I372" i="7"/>
  <c r="H372" i="7"/>
  <c r="G372" i="7"/>
  <c r="J372" i="7" s="1"/>
  <c r="I371" i="7"/>
  <c r="H371" i="7"/>
  <c r="G371" i="7"/>
  <c r="J371" i="7" s="1"/>
  <c r="I370" i="7"/>
  <c r="H370" i="7"/>
  <c r="G370" i="7"/>
  <c r="J370" i="7" s="1"/>
  <c r="I369" i="7"/>
  <c r="H369" i="7"/>
  <c r="G369" i="7"/>
  <c r="J369" i="7" s="1"/>
  <c r="I368" i="7"/>
  <c r="H368" i="7"/>
  <c r="G368" i="7"/>
  <c r="J368" i="7" s="1"/>
  <c r="I367" i="7"/>
  <c r="H367" i="7"/>
  <c r="G367" i="7"/>
  <c r="J367" i="7" s="1"/>
  <c r="I366" i="7"/>
  <c r="H366" i="7"/>
  <c r="G366" i="7"/>
  <c r="J366" i="7" s="1"/>
  <c r="I365" i="7"/>
  <c r="H365" i="7"/>
  <c r="G365" i="7"/>
  <c r="J365" i="7" s="1"/>
  <c r="I364" i="7"/>
  <c r="H364" i="7"/>
  <c r="G364" i="7"/>
  <c r="J364" i="7" s="1"/>
  <c r="I363" i="7"/>
  <c r="H363" i="7"/>
  <c r="G363" i="7"/>
  <c r="J363" i="7" s="1"/>
  <c r="I362" i="7"/>
  <c r="H362" i="7"/>
  <c r="G362" i="7"/>
  <c r="J362" i="7" s="1"/>
  <c r="I361" i="7"/>
  <c r="H361" i="7"/>
  <c r="G361" i="7"/>
  <c r="J361" i="7" s="1"/>
  <c r="I360" i="7"/>
  <c r="H360" i="7"/>
  <c r="G360" i="7"/>
  <c r="J360" i="7" s="1"/>
  <c r="I359" i="7"/>
  <c r="H359" i="7"/>
  <c r="G359" i="7"/>
  <c r="J359" i="7" s="1"/>
  <c r="I358" i="7"/>
  <c r="H358" i="7"/>
  <c r="G358" i="7"/>
  <c r="J358" i="7" s="1"/>
  <c r="I357" i="7"/>
  <c r="H357" i="7"/>
  <c r="G357" i="7"/>
  <c r="J357" i="7" s="1"/>
  <c r="I356" i="7"/>
  <c r="H356" i="7"/>
  <c r="G356" i="7"/>
  <c r="J356" i="7" s="1"/>
  <c r="I355" i="7"/>
  <c r="H355" i="7"/>
  <c r="G355" i="7"/>
  <c r="J355" i="7" s="1"/>
  <c r="I354" i="7"/>
  <c r="H354" i="7"/>
  <c r="G354" i="7"/>
  <c r="J354" i="7" s="1"/>
  <c r="I353" i="7"/>
  <c r="H353" i="7"/>
  <c r="G353" i="7"/>
  <c r="J353" i="7" s="1"/>
  <c r="I352" i="7"/>
  <c r="H352" i="7"/>
  <c r="G352" i="7"/>
  <c r="J352" i="7" s="1"/>
  <c r="I351" i="7"/>
  <c r="H351" i="7"/>
  <c r="G351" i="7"/>
  <c r="J351" i="7" s="1"/>
  <c r="I350" i="7"/>
  <c r="H350" i="7"/>
  <c r="G350" i="7"/>
  <c r="J350" i="7" s="1"/>
  <c r="I349" i="7"/>
  <c r="H349" i="7"/>
  <c r="G349" i="7"/>
  <c r="J349" i="7" s="1"/>
  <c r="I348" i="7"/>
  <c r="H348" i="7"/>
  <c r="G348" i="7"/>
  <c r="J348" i="7" s="1"/>
  <c r="I347" i="7"/>
  <c r="H347" i="7"/>
  <c r="G347" i="7"/>
  <c r="J347" i="7" s="1"/>
  <c r="I346" i="7"/>
  <c r="H346" i="7"/>
  <c r="G346" i="7"/>
  <c r="J346" i="7" s="1"/>
  <c r="I345" i="7"/>
  <c r="H345" i="7"/>
  <c r="G345" i="7"/>
  <c r="J345" i="7" s="1"/>
  <c r="I344" i="7"/>
  <c r="H344" i="7"/>
  <c r="G344" i="7"/>
  <c r="J344" i="7" s="1"/>
  <c r="I343" i="7"/>
  <c r="H343" i="7"/>
  <c r="G343" i="7"/>
  <c r="J343" i="7" s="1"/>
  <c r="I342" i="7"/>
  <c r="H342" i="7"/>
  <c r="G342" i="7"/>
  <c r="J342" i="7" s="1"/>
  <c r="I341" i="7"/>
  <c r="H341" i="7"/>
  <c r="G341" i="7"/>
  <c r="J341" i="7" s="1"/>
  <c r="I340" i="7"/>
  <c r="H340" i="7"/>
  <c r="G340" i="7"/>
  <c r="J340" i="7" s="1"/>
  <c r="I339" i="7"/>
  <c r="H339" i="7"/>
  <c r="G339" i="7"/>
  <c r="J339" i="7" s="1"/>
  <c r="I338" i="7"/>
  <c r="H338" i="7"/>
  <c r="G338" i="7"/>
  <c r="J338" i="7" s="1"/>
  <c r="I337" i="7"/>
  <c r="H337" i="7"/>
  <c r="G337" i="7"/>
  <c r="J337" i="7" s="1"/>
  <c r="I336" i="7"/>
  <c r="H336" i="7"/>
  <c r="G336" i="7"/>
  <c r="J336" i="7" s="1"/>
  <c r="I335" i="7"/>
  <c r="H335" i="7"/>
  <c r="G335" i="7"/>
  <c r="J335" i="7" s="1"/>
  <c r="I334" i="7"/>
  <c r="H334" i="7"/>
  <c r="G334" i="7"/>
  <c r="J334" i="7" s="1"/>
  <c r="I333" i="7"/>
  <c r="H333" i="7"/>
  <c r="G333" i="7"/>
  <c r="J333" i="7" s="1"/>
  <c r="I332" i="7"/>
  <c r="H332" i="7"/>
  <c r="G332" i="7"/>
  <c r="J332" i="7" s="1"/>
  <c r="I331" i="7"/>
  <c r="H331" i="7"/>
  <c r="G331" i="7"/>
  <c r="J331" i="7" s="1"/>
  <c r="I330" i="7"/>
  <c r="H330" i="7"/>
  <c r="G330" i="7"/>
  <c r="J330" i="7" s="1"/>
  <c r="I329" i="7"/>
  <c r="H329" i="7"/>
  <c r="G329" i="7"/>
  <c r="J329" i="7" s="1"/>
  <c r="I328" i="7"/>
  <c r="H328" i="7"/>
  <c r="G328" i="7"/>
  <c r="J328" i="7" s="1"/>
  <c r="I327" i="7"/>
  <c r="H327" i="7"/>
  <c r="G327" i="7"/>
  <c r="J327" i="7" s="1"/>
  <c r="I326" i="7"/>
  <c r="H326" i="7"/>
  <c r="G326" i="7"/>
  <c r="J326" i="7" s="1"/>
  <c r="I325" i="7"/>
  <c r="H325" i="7"/>
  <c r="G325" i="7"/>
  <c r="J325" i="7" s="1"/>
  <c r="I324" i="7"/>
  <c r="H324" i="7"/>
  <c r="G324" i="7"/>
  <c r="J324" i="7" s="1"/>
  <c r="I323" i="7"/>
  <c r="H323" i="7"/>
  <c r="G323" i="7"/>
  <c r="J323" i="7" s="1"/>
  <c r="I322" i="7"/>
  <c r="H322" i="7"/>
  <c r="G322" i="7"/>
  <c r="J322" i="7" s="1"/>
  <c r="I321" i="7"/>
  <c r="H321" i="7"/>
  <c r="G321" i="7"/>
  <c r="J321" i="7" s="1"/>
  <c r="I320" i="7"/>
  <c r="H320" i="7"/>
  <c r="G320" i="7"/>
  <c r="J320" i="7" s="1"/>
  <c r="I319" i="7"/>
  <c r="H319" i="7"/>
  <c r="G319" i="7"/>
  <c r="J319" i="7" s="1"/>
  <c r="I318" i="7"/>
  <c r="H318" i="7"/>
  <c r="G318" i="7"/>
  <c r="J318" i="7" s="1"/>
  <c r="I317" i="7"/>
  <c r="H317" i="7"/>
  <c r="G317" i="7"/>
  <c r="J317" i="7" s="1"/>
  <c r="I316" i="7"/>
  <c r="H316" i="7"/>
  <c r="G316" i="7"/>
  <c r="J316" i="7" s="1"/>
  <c r="I315" i="7"/>
  <c r="H315" i="7"/>
  <c r="G315" i="7"/>
  <c r="J315" i="7" s="1"/>
  <c r="I314" i="7"/>
  <c r="H314" i="7"/>
  <c r="G314" i="7"/>
  <c r="J314" i="7" s="1"/>
  <c r="I313" i="7"/>
  <c r="H313" i="7"/>
  <c r="G313" i="7"/>
  <c r="J313" i="7" s="1"/>
  <c r="I312" i="7"/>
  <c r="H312" i="7"/>
  <c r="G312" i="7"/>
  <c r="J312" i="7" s="1"/>
  <c r="I311" i="7"/>
  <c r="H311" i="7"/>
  <c r="G311" i="7"/>
  <c r="J311" i="7" s="1"/>
  <c r="I310" i="7"/>
  <c r="H310" i="7"/>
  <c r="G310" i="7"/>
  <c r="J310" i="7" s="1"/>
  <c r="I309" i="7"/>
  <c r="H309" i="7"/>
  <c r="G309" i="7"/>
  <c r="J309" i="7" s="1"/>
  <c r="I308" i="7"/>
  <c r="H308" i="7"/>
  <c r="G308" i="7"/>
  <c r="J308" i="7" s="1"/>
  <c r="I307" i="7"/>
  <c r="H307" i="7"/>
  <c r="G307" i="7"/>
  <c r="J307" i="7" s="1"/>
  <c r="I306" i="7"/>
  <c r="H306" i="7"/>
  <c r="G306" i="7"/>
  <c r="J306" i="7" s="1"/>
  <c r="I305" i="7"/>
  <c r="H305" i="7"/>
  <c r="G305" i="7"/>
  <c r="J305" i="7" s="1"/>
  <c r="I304" i="7"/>
  <c r="H304" i="7"/>
  <c r="G304" i="7"/>
  <c r="J304" i="7" s="1"/>
  <c r="I303" i="7"/>
  <c r="H303" i="7"/>
  <c r="G303" i="7"/>
  <c r="J303" i="7" s="1"/>
  <c r="I302" i="7"/>
  <c r="H302" i="7"/>
  <c r="G302" i="7"/>
  <c r="J302" i="7" s="1"/>
  <c r="I301" i="7"/>
  <c r="H301" i="7"/>
  <c r="G301" i="7"/>
  <c r="J301" i="7" s="1"/>
  <c r="I300" i="7"/>
  <c r="H300" i="7"/>
  <c r="G300" i="7"/>
  <c r="J300" i="7" s="1"/>
  <c r="I299" i="7"/>
  <c r="H299" i="7"/>
  <c r="G299" i="7"/>
  <c r="J299" i="7" s="1"/>
  <c r="I298" i="7"/>
  <c r="H298" i="7"/>
  <c r="G298" i="7"/>
  <c r="J298" i="7" s="1"/>
  <c r="I297" i="7"/>
  <c r="H297" i="7"/>
  <c r="G297" i="7"/>
  <c r="J297" i="7" s="1"/>
  <c r="I296" i="7"/>
  <c r="H296" i="7"/>
  <c r="G296" i="7"/>
  <c r="J296" i="7" s="1"/>
  <c r="I295" i="7"/>
  <c r="H295" i="7"/>
  <c r="G295" i="7"/>
  <c r="J295" i="7" s="1"/>
  <c r="I294" i="7"/>
  <c r="H294" i="7"/>
  <c r="G294" i="7"/>
  <c r="J294" i="7" s="1"/>
  <c r="I293" i="7"/>
  <c r="H293" i="7"/>
  <c r="G293" i="7"/>
  <c r="J293" i="7" s="1"/>
  <c r="I292" i="7"/>
  <c r="H292" i="7"/>
  <c r="G292" i="7"/>
  <c r="J292" i="7" s="1"/>
  <c r="I291" i="7"/>
  <c r="H291" i="7"/>
  <c r="G291" i="7"/>
  <c r="J291" i="7" s="1"/>
  <c r="I290" i="7"/>
  <c r="H290" i="7"/>
  <c r="G290" i="7"/>
  <c r="J290" i="7" s="1"/>
  <c r="I289" i="7"/>
  <c r="H289" i="7"/>
  <c r="G289" i="7"/>
  <c r="J289" i="7" s="1"/>
  <c r="I288" i="7"/>
  <c r="H288" i="7"/>
  <c r="G288" i="7"/>
  <c r="J288" i="7" s="1"/>
  <c r="I287" i="7"/>
  <c r="H287" i="7"/>
  <c r="G287" i="7"/>
  <c r="J287" i="7" s="1"/>
  <c r="I286" i="7"/>
  <c r="H286" i="7"/>
  <c r="G286" i="7"/>
  <c r="J286" i="7" s="1"/>
  <c r="I285" i="7"/>
  <c r="H285" i="7"/>
  <c r="G285" i="7"/>
  <c r="J285" i="7" s="1"/>
  <c r="I284" i="7"/>
  <c r="H284" i="7"/>
  <c r="G284" i="7"/>
  <c r="J284" i="7" s="1"/>
  <c r="I283" i="7"/>
  <c r="H283" i="7"/>
  <c r="G283" i="7"/>
  <c r="J283" i="7" s="1"/>
  <c r="I282" i="7"/>
  <c r="H282" i="7"/>
  <c r="G282" i="7"/>
  <c r="J282" i="7" s="1"/>
  <c r="I281" i="7"/>
  <c r="H281" i="7"/>
  <c r="G281" i="7"/>
  <c r="J281" i="7" s="1"/>
  <c r="I280" i="7"/>
  <c r="H280" i="7"/>
  <c r="G280" i="7"/>
  <c r="J280" i="7" s="1"/>
  <c r="I279" i="7"/>
  <c r="H279" i="7"/>
  <c r="G279" i="7"/>
  <c r="J279" i="7" s="1"/>
  <c r="I278" i="7"/>
  <c r="H278" i="7"/>
  <c r="G278" i="7"/>
  <c r="J278" i="7" s="1"/>
  <c r="I277" i="7"/>
  <c r="H277" i="7"/>
  <c r="G277" i="7"/>
  <c r="J277" i="7" s="1"/>
  <c r="I276" i="7"/>
  <c r="H276" i="7"/>
  <c r="G276" i="7"/>
  <c r="J276" i="7" s="1"/>
  <c r="I275" i="7"/>
  <c r="H275" i="7"/>
  <c r="G275" i="7"/>
  <c r="J275" i="7" s="1"/>
  <c r="I274" i="7"/>
  <c r="H274" i="7"/>
  <c r="G274" i="7"/>
  <c r="J274" i="7" s="1"/>
  <c r="I273" i="7"/>
  <c r="H273" i="7"/>
  <c r="G273" i="7"/>
  <c r="J273" i="7" s="1"/>
  <c r="I272" i="7"/>
  <c r="H272" i="7"/>
  <c r="G272" i="7"/>
  <c r="J272" i="7" s="1"/>
  <c r="I271" i="7"/>
  <c r="H271" i="7"/>
  <c r="G271" i="7"/>
  <c r="J271" i="7" s="1"/>
  <c r="I270" i="7"/>
  <c r="H270" i="7"/>
  <c r="G270" i="7"/>
  <c r="J270" i="7" s="1"/>
  <c r="I269" i="7"/>
  <c r="H269" i="7"/>
  <c r="G269" i="7"/>
  <c r="J269" i="7" s="1"/>
  <c r="I268" i="7"/>
  <c r="H268" i="7"/>
  <c r="G268" i="7"/>
  <c r="J268" i="7" s="1"/>
  <c r="I267" i="7"/>
  <c r="H267" i="7"/>
  <c r="G267" i="7"/>
  <c r="J267" i="7" s="1"/>
  <c r="I266" i="7"/>
  <c r="H266" i="7"/>
  <c r="G266" i="7"/>
  <c r="J266" i="7" s="1"/>
  <c r="I265" i="7"/>
  <c r="H265" i="7"/>
  <c r="G265" i="7"/>
  <c r="J265" i="7" s="1"/>
  <c r="I264" i="7"/>
  <c r="H264" i="7"/>
  <c r="G264" i="7"/>
  <c r="J264" i="7" s="1"/>
  <c r="I263" i="7"/>
  <c r="H263" i="7"/>
  <c r="G263" i="7"/>
  <c r="J263" i="7" s="1"/>
  <c r="I262" i="7"/>
  <c r="H262" i="7"/>
  <c r="G262" i="7"/>
  <c r="J262" i="7" s="1"/>
  <c r="I261" i="7"/>
  <c r="H261" i="7"/>
  <c r="G261" i="7"/>
  <c r="J261" i="7" s="1"/>
  <c r="I260" i="7"/>
  <c r="H260" i="7"/>
  <c r="G260" i="7"/>
  <c r="J260" i="7" s="1"/>
  <c r="I259" i="7"/>
  <c r="H259" i="7"/>
  <c r="G259" i="7"/>
  <c r="J259" i="7" s="1"/>
  <c r="I258" i="7"/>
  <c r="H258" i="7"/>
  <c r="G258" i="7"/>
  <c r="J258" i="7" s="1"/>
  <c r="I257" i="7"/>
  <c r="H257" i="7"/>
  <c r="G257" i="7"/>
  <c r="J257" i="7" s="1"/>
  <c r="I256" i="7"/>
  <c r="H256" i="7"/>
  <c r="G256" i="7"/>
  <c r="J256" i="7" s="1"/>
  <c r="I255" i="7"/>
  <c r="H255" i="7"/>
  <c r="G255" i="7"/>
  <c r="J255" i="7" s="1"/>
  <c r="I254" i="7"/>
  <c r="H254" i="7"/>
  <c r="G254" i="7"/>
  <c r="J254" i="7" s="1"/>
  <c r="I253" i="7"/>
  <c r="H253" i="7"/>
  <c r="G253" i="7"/>
  <c r="J253" i="7" s="1"/>
  <c r="I252" i="7"/>
  <c r="H252" i="7"/>
  <c r="G252" i="7"/>
  <c r="J252" i="7" s="1"/>
  <c r="I251" i="7"/>
  <c r="H251" i="7"/>
  <c r="G251" i="7"/>
  <c r="J251" i="7" s="1"/>
  <c r="I250" i="7"/>
  <c r="H250" i="7"/>
  <c r="G250" i="7"/>
  <c r="J250" i="7" s="1"/>
  <c r="I249" i="7"/>
  <c r="H249" i="7"/>
  <c r="G249" i="7"/>
  <c r="J249" i="7" s="1"/>
  <c r="I248" i="7"/>
  <c r="H248" i="7"/>
  <c r="G248" i="7"/>
  <c r="J248" i="7" s="1"/>
  <c r="I247" i="7"/>
  <c r="H247" i="7"/>
  <c r="G247" i="7"/>
  <c r="J247" i="7" s="1"/>
  <c r="I246" i="7"/>
  <c r="H246" i="7"/>
  <c r="G246" i="7"/>
  <c r="J246" i="7" s="1"/>
  <c r="I245" i="7"/>
  <c r="H245" i="7"/>
  <c r="G245" i="7"/>
  <c r="J245" i="7" s="1"/>
  <c r="I244" i="7"/>
  <c r="H244" i="7"/>
  <c r="G244" i="7"/>
  <c r="J244" i="7" s="1"/>
  <c r="I243" i="7"/>
  <c r="H243" i="7"/>
  <c r="G243" i="7"/>
  <c r="J243" i="7" s="1"/>
  <c r="I242" i="7"/>
  <c r="H242" i="7"/>
  <c r="G242" i="7"/>
  <c r="J242" i="7" s="1"/>
  <c r="I241" i="7"/>
  <c r="H241" i="7"/>
  <c r="G241" i="7"/>
  <c r="J241" i="7" s="1"/>
  <c r="I240" i="7"/>
  <c r="H240" i="7"/>
  <c r="G240" i="7"/>
  <c r="J240" i="7" s="1"/>
  <c r="I239" i="7"/>
  <c r="H239" i="7"/>
  <c r="G239" i="7"/>
  <c r="J239" i="7" s="1"/>
  <c r="I238" i="7"/>
  <c r="H238" i="7"/>
  <c r="G238" i="7"/>
  <c r="J238" i="7" s="1"/>
  <c r="I237" i="7"/>
  <c r="H237" i="7"/>
  <c r="G237" i="7"/>
  <c r="J237" i="7" s="1"/>
  <c r="I236" i="7"/>
  <c r="H236" i="7"/>
  <c r="G236" i="7"/>
  <c r="J236" i="7" s="1"/>
  <c r="I235" i="7"/>
  <c r="H235" i="7"/>
  <c r="G235" i="7"/>
  <c r="J235" i="7" s="1"/>
  <c r="I234" i="7"/>
  <c r="H234" i="7"/>
  <c r="G234" i="7"/>
  <c r="J234" i="7" s="1"/>
  <c r="I233" i="7"/>
  <c r="H233" i="7"/>
  <c r="G233" i="7"/>
  <c r="J233" i="7" s="1"/>
  <c r="I232" i="7"/>
  <c r="H232" i="7"/>
  <c r="G232" i="7"/>
  <c r="J232" i="7" s="1"/>
  <c r="I231" i="7"/>
  <c r="H231" i="7"/>
  <c r="G231" i="7"/>
  <c r="J231" i="7" s="1"/>
  <c r="I230" i="7"/>
  <c r="H230" i="7"/>
  <c r="G230" i="7"/>
  <c r="J230" i="7" s="1"/>
  <c r="I229" i="7"/>
  <c r="H229" i="7"/>
  <c r="G229" i="7"/>
  <c r="J229" i="7" s="1"/>
  <c r="I228" i="7"/>
  <c r="H228" i="7"/>
  <c r="G228" i="7"/>
  <c r="J228" i="7" s="1"/>
  <c r="I227" i="7"/>
  <c r="H227" i="7"/>
  <c r="G227" i="7"/>
  <c r="J227" i="7" s="1"/>
  <c r="I226" i="7"/>
  <c r="H226" i="7"/>
  <c r="G226" i="7"/>
  <c r="J226" i="7" s="1"/>
  <c r="I225" i="7"/>
  <c r="H225" i="7"/>
  <c r="G225" i="7"/>
  <c r="J225" i="7" s="1"/>
  <c r="I224" i="7"/>
  <c r="H224" i="7"/>
  <c r="G224" i="7"/>
  <c r="J224" i="7" s="1"/>
  <c r="I223" i="7"/>
  <c r="H223" i="7"/>
  <c r="G223" i="7"/>
  <c r="J223" i="7" s="1"/>
  <c r="I222" i="7"/>
  <c r="H222" i="7"/>
  <c r="G222" i="7"/>
  <c r="J222" i="7" s="1"/>
  <c r="I221" i="7"/>
  <c r="H221" i="7"/>
  <c r="G221" i="7"/>
  <c r="J221" i="7" s="1"/>
  <c r="I220" i="7"/>
  <c r="H220" i="7"/>
  <c r="G220" i="7"/>
  <c r="J220" i="7" s="1"/>
  <c r="I219" i="7"/>
  <c r="H219" i="7"/>
  <c r="G219" i="7"/>
  <c r="J219" i="7" s="1"/>
  <c r="I218" i="7"/>
  <c r="H218" i="7"/>
  <c r="G218" i="7"/>
  <c r="J218" i="7" s="1"/>
  <c r="I217" i="7"/>
  <c r="H217" i="7"/>
  <c r="G217" i="7"/>
  <c r="J217" i="7" s="1"/>
  <c r="I216" i="7"/>
  <c r="H216" i="7"/>
  <c r="G216" i="7"/>
  <c r="J216" i="7" s="1"/>
  <c r="I215" i="7"/>
  <c r="H215" i="7"/>
  <c r="G215" i="7"/>
  <c r="J215" i="7" s="1"/>
  <c r="I214" i="7"/>
  <c r="H214" i="7"/>
  <c r="G214" i="7"/>
  <c r="J214" i="7" s="1"/>
  <c r="I213" i="7"/>
  <c r="H213" i="7"/>
  <c r="G213" i="7"/>
  <c r="J213" i="7" s="1"/>
  <c r="I212" i="7"/>
  <c r="H212" i="7"/>
  <c r="G212" i="7"/>
  <c r="J212" i="7" s="1"/>
  <c r="I211" i="7"/>
  <c r="H211" i="7"/>
  <c r="G211" i="7"/>
  <c r="J211" i="7" s="1"/>
  <c r="I210" i="7"/>
  <c r="H210" i="7"/>
  <c r="G210" i="7"/>
  <c r="J210" i="7" s="1"/>
  <c r="I209" i="7"/>
  <c r="H209" i="7"/>
  <c r="G209" i="7"/>
  <c r="J209" i="7" s="1"/>
  <c r="I208" i="7"/>
  <c r="H208" i="7"/>
  <c r="G208" i="7"/>
  <c r="J208" i="7" s="1"/>
  <c r="I207" i="7"/>
  <c r="H207" i="7"/>
  <c r="G207" i="7"/>
  <c r="J207" i="7" s="1"/>
  <c r="I206" i="7"/>
  <c r="H206" i="7"/>
  <c r="G206" i="7"/>
  <c r="J206" i="7" s="1"/>
  <c r="I205" i="7"/>
  <c r="H205" i="7"/>
  <c r="G205" i="7"/>
  <c r="J205" i="7" s="1"/>
  <c r="I204" i="7"/>
  <c r="H204" i="7"/>
  <c r="G204" i="7"/>
  <c r="J204" i="7" s="1"/>
  <c r="I203" i="7"/>
  <c r="H203" i="7"/>
  <c r="G203" i="7"/>
  <c r="J203" i="7" s="1"/>
  <c r="I202" i="7"/>
  <c r="H202" i="7"/>
  <c r="G202" i="7"/>
  <c r="J202" i="7" s="1"/>
  <c r="I201" i="7"/>
  <c r="H201" i="7"/>
  <c r="G201" i="7"/>
  <c r="J201" i="7" s="1"/>
  <c r="I200" i="7"/>
  <c r="H200" i="7"/>
  <c r="G200" i="7"/>
  <c r="J200" i="7" s="1"/>
  <c r="I199" i="7"/>
  <c r="H199" i="7"/>
  <c r="G199" i="7"/>
  <c r="J199" i="7" s="1"/>
  <c r="I198" i="7"/>
  <c r="H198" i="7"/>
  <c r="G198" i="7"/>
  <c r="J198" i="7" s="1"/>
  <c r="I197" i="7"/>
  <c r="H197" i="7"/>
  <c r="G197" i="7"/>
  <c r="J197" i="7" s="1"/>
  <c r="I196" i="7"/>
  <c r="H196" i="7"/>
  <c r="G196" i="7"/>
  <c r="J196" i="7" s="1"/>
  <c r="I195" i="7"/>
  <c r="H195" i="7"/>
  <c r="G195" i="7"/>
  <c r="J195" i="7" s="1"/>
  <c r="I194" i="7"/>
  <c r="H194" i="7"/>
  <c r="G194" i="7"/>
  <c r="J194" i="7" s="1"/>
  <c r="I193" i="7"/>
  <c r="H193" i="7"/>
  <c r="G193" i="7"/>
  <c r="J193" i="7" s="1"/>
  <c r="I192" i="7"/>
  <c r="H192" i="7"/>
  <c r="G192" i="7"/>
  <c r="J192" i="7" s="1"/>
  <c r="I191" i="7"/>
  <c r="H191" i="7"/>
  <c r="G191" i="7"/>
  <c r="J191" i="7" s="1"/>
  <c r="I190" i="7"/>
  <c r="H190" i="7"/>
  <c r="G190" i="7"/>
  <c r="J190" i="7" s="1"/>
  <c r="I189" i="7"/>
  <c r="H189" i="7"/>
  <c r="G189" i="7"/>
  <c r="J189" i="7" s="1"/>
  <c r="I188" i="7"/>
  <c r="H188" i="7"/>
  <c r="G188" i="7"/>
  <c r="J188" i="7" s="1"/>
  <c r="I187" i="7"/>
  <c r="H187" i="7"/>
  <c r="G187" i="7"/>
  <c r="J187" i="7" s="1"/>
  <c r="I186" i="7"/>
  <c r="H186" i="7"/>
  <c r="G186" i="7"/>
  <c r="J186" i="7" s="1"/>
  <c r="I185" i="7"/>
  <c r="H185" i="7"/>
  <c r="G185" i="7"/>
  <c r="J185" i="7" s="1"/>
  <c r="I184" i="7"/>
  <c r="H184" i="7"/>
  <c r="G184" i="7"/>
  <c r="J184" i="7" s="1"/>
  <c r="I183" i="7"/>
  <c r="H183" i="7"/>
  <c r="G183" i="7"/>
  <c r="J183" i="7" s="1"/>
  <c r="I182" i="7"/>
  <c r="H182" i="7"/>
  <c r="G182" i="7"/>
  <c r="J182" i="7" s="1"/>
  <c r="I181" i="7"/>
  <c r="H181" i="7"/>
  <c r="G181" i="7"/>
  <c r="J181" i="7" s="1"/>
  <c r="I180" i="7"/>
  <c r="H180" i="7"/>
  <c r="G180" i="7"/>
  <c r="J180" i="7" s="1"/>
  <c r="I179" i="7"/>
  <c r="H179" i="7"/>
  <c r="G179" i="7"/>
  <c r="J179" i="7" s="1"/>
  <c r="I178" i="7"/>
  <c r="H178" i="7"/>
  <c r="G178" i="7"/>
  <c r="J178" i="7" s="1"/>
  <c r="I177" i="7"/>
  <c r="H177" i="7"/>
  <c r="G177" i="7"/>
  <c r="J177" i="7" s="1"/>
  <c r="I176" i="7"/>
  <c r="H176" i="7"/>
  <c r="G176" i="7"/>
  <c r="J176" i="7" s="1"/>
  <c r="I175" i="7"/>
  <c r="H175" i="7"/>
  <c r="G175" i="7"/>
  <c r="J175" i="7" s="1"/>
  <c r="I174" i="7"/>
  <c r="H174" i="7"/>
  <c r="G174" i="7"/>
  <c r="J174" i="7" s="1"/>
  <c r="I173" i="7"/>
  <c r="H173" i="7"/>
  <c r="G173" i="7"/>
  <c r="J173" i="7" s="1"/>
  <c r="I172" i="7"/>
  <c r="H172" i="7"/>
  <c r="G172" i="7"/>
  <c r="J172" i="7" s="1"/>
  <c r="I171" i="7"/>
  <c r="H171" i="7"/>
  <c r="G171" i="7"/>
  <c r="J171" i="7" s="1"/>
  <c r="I170" i="7"/>
  <c r="H170" i="7"/>
  <c r="G170" i="7"/>
  <c r="J170" i="7" s="1"/>
  <c r="I169" i="7"/>
  <c r="H169" i="7"/>
  <c r="G169" i="7"/>
  <c r="J169" i="7" s="1"/>
  <c r="I168" i="7"/>
  <c r="H168" i="7"/>
  <c r="G168" i="7"/>
  <c r="J168" i="7" s="1"/>
  <c r="I167" i="7"/>
  <c r="H167" i="7"/>
  <c r="G167" i="7"/>
  <c r="J167" i="7" s="1"/>
  <c r="I166" i="7"/>
  <c r="H166" i="7"/>
  <c r="G166" i="7"/>
  <c r="J166" i="7" s="1"/>
  <c r="I165" i="7"/>
  <c r="H165" i="7"/>
  <c r="G165" i="7"/>
  <c r="J165" i="7" s="1"/>
  <c r="I164" i="7"/>
  <c r="H164" i="7"/>
  <c r="G164" i="7"/>
  <c r="J164" i="7" s="1"/>
  <c r="I163" i="7"/>
  <c r="H163" i="7"/>
  <c r="G163" i="7"/>
  <c r="J163" i="7" s="1"/>
  <c r="I162" i="7"/>
  <c r="H162" i="7"/>
  <c r="G162" i="7"/>
  <c r="J162" i="7" s="1"/>
  <c r="I161" i="7"/>
  <c r="H161" i="7"/>
  <c r="G161" i="7"/>
  <c r="J161" i="7" s="1"/>
  <c r="I160" i="7"/>
  <c r="H160" i="7"/>
  <c r="G160" i="7"/>
  <c r="J160" i="7" s="1"/>
  <c r="I159" i="7"/>
  <c r="H159" i="7"/>
  <c r="G159" i="7"/>
  <c r="J159" i="7" s="1"/>
  <c r="I158" i="7"/>
  <c r="H158" i="7"/>
  <c r="G158" i="7"/>
  <c r="J158" i="7" s="1"/>
  <c r="I157" i="7"/>
  <c r="H157" i="7"/>
  <c r="G157" i="7"/>
  <c r="J157" i="7" s="1"/>
  <c r="I156" i="7"/>
  <c r="H156" i="7"/>
  <c r="G156" i="7"/>
  <c r="J156" i="7" s="1"/>
  <c r="I155" i="7"/>
  <c r="H155" i="7"/>
  <c r="G155" i="7"/>
  <c r="J155" i="7" s="1"/>
  <c r="I154" i="7"/>
  <c r="H154" i="7"/>
  <c r="G154" i="7"/>
  <c r="J154" i="7" s="1"/>
  <c r="I153" i="7"/>
  <c r="H153" i="7"/>
  <c r="G153" i="7"/>
  <c r="J153" i="7" s="1"/>
  <c r="I152" i="7"/>
  <c r="H152" i="7"/>
  <c r="G152" i="7"/>
  <c r="J152" i="7" s="1"/>
  <c r="I151" i="7"/>
  <c r="H151" i="7"/>
  <c r="G151" i="7"/>
  <c r="J151" i="7" s="1"/>
  <c r="I150" i="7"/>
  <c r="H150" i="7"/>
  <c r="G150" i="7"/>
  <c r="J150" i="7" s="1"/>
  <c r="I149" i="7"/>
  <c r="H149" i="7"/>
  <c r="G149" i="7"/>
  <c r="J149" i="7" s="1"/>
  <c r="I148" i="7"/>
  <c r="H148" i="7"/>
  <c r="G148" i="7"/>
  <c r="J148" i="7" s="1"/>
  <c r="I147" i="7"/>
  <c r="H147" i="7"/>
  <c r="G147" i="7"/>
  <c r="J147" i="7" s="1"/>
  <c r="I146" i="7"/>
  <c r="H146" i="7"/>
  <c r="G146" i="7"/>
  <c r="J146" i="7" s="1"/>
  <c r="I145" i="7"/>
  <c r="H145" i="7"/>
  <c r="G145" i="7"/>
  <c r="J145" i="7" s="1"/>
  <c r="I144" i="7"/>
  <c r="H144" i="7"/>
  <c r="G144" i="7"/>
  <c r="J144" i="7" s="1"/>
  <c r="I143" i="7"/>
  <c r="H143" i="7"/>
  <c r="G143" i="7"/>
  <c r="J143" i="7" s="1"/>
  <c r="I142" i="7"/>
  <c r="H142" i="7"/>
  <c r="G142" i="7"/>
  <c r="J142" i="7" s="1"/>
  <c r="I141" i="7"/>
  <c r="H141" i="7"/>
  <c r="G141" i="7"/>
  <c r="J141" i="7" s="1"/>
  <c r="I140" i="7"/>
  <c r="H140" i="7"/>
  <c r="G140" i="7"/>
  <c r="J140" i="7" s="1"/>
  <c r="I139" i="7"/>
  <c r="H139" i="7"/>
  <c r="G139" i="7"/>
  <c r="J139" i="7" s="1"/>
  <c r="I138" i="7"/>
  <c r="H138" i="7"/>
  <c r="G138" i="7"/>
  <c r="J138" i="7" s="1"/>
  <c r="I137" i="7"/>
  <c r="H137" i="7"/>
  <c r="G137" i="7"/>
  <c r="J137" i="7" s="1"/>
  <c r="I136" i="7"/>
  <c r="H136" i="7"/>
  <c r="G136" i="7"/>
  <c r="J136" i="7" s="1"/>
  <c r="I135" i="7"/>
  <c r="H135" i="7"/>
  <c r="G135" i="7"/>
  <c r="J135" i="7" s="1"/>
  <c r="I134" i="7"/>
  <c r="H134" i="7"/>
  <c r="G134" i="7"/>
  <c r="J134" i="7" s="1"/>
  <c r="I133" i="7"/>
  <c r="H133" i="7"/>
  <c r="G133" i="7"/>
  <c r="J133" i="7" s="1"/>
  <c r="I132" i="7"/>
  <c r="H132" i="7"/>
  <c r="G132" i="7"/>
  <c r="J132" i="7" s="1"/>
  <c r="I131" i="7"/>
  <c r="H131" i="7"/>
  <c r="G131" i="7"/>
  <c r="J131" i="7" s="1"/>
  <c r="I130" i="7"/>
  <c r="H130" i="7"/>
  <c r="G130" i="7"/>
  <c r="J130" i="7" s="1"/>
  <c r="I129" i="7"/>
  <c r="H129" i="7"/>
  <c r="G129" i="7"/>
  <c r="J129" i="7" s="1"/>
  <c r="I128" i="7"/>
  <c r="H128" i="7"/>
  <c r="G128" i="7"/>
  <c r="J128" i="7" s="1"/>
  <c r="I127" i="7"/>
  <c r="H127" i="7"/>
  <c r="G127" i="7"/>
  <c r="J127" i="7" s="1"/>
  <c r="I126" i="7"/>
  <c r="H126" i="7"/>
  <c r="G126" i="7"/>
  <c r="J126" i="7" s="1"/>
  <c r="I125" i="7"/>
  <c r="H125" i="7"/>
  <c r="G125" i="7"/>
  <c r="J125" i="7" s="1"/>
  <c r="I124" i="7"/>
  <c r="H124" i="7"/>
  <c r="G124" i="7"/>
  <c r="J124" i="7" s="1"/>
  <c r="I123" i="7"/>
  <c r="H123" i="7"/>
  <c r="G123" i="7"/>
  <c r="J123" i="7" s="1"/>
  <c r="I122" i="7"/>
  <c r="H122" i="7"/>
  <c r="G122" i="7"/>
  <c r="J122" i="7" s="1"/>
  <c r="I121" i="7"/>
  <c r="H121" i="7"/>
  <c r="G121" i="7"/>
  <c r="J121" i="7" s="1"/>
  <c r="I120" i="7"/>
  <c r="H120" i="7"/>
  <c r="G120" i="7"/>
  <c r="J120" i="7" s="1"/>
  <c r="I119" i="7"/>
  <c r="H119" i="7"/>
  <c r="G119" i="7"/>
  <c r="J119" i="7" s="1"/>
  <c r="I118" i="7"/>
  <c r="H118" i="7"/>
  <c r="G118" i="7"/>
  <c r="J118" i="7" s="1"/>
  <c r="I117" i="7"/>
  <c r="H117" i="7"/>
  <c r="G117" i="7"/>
  <c r="J117" i="7" s="1"/>
  <c r="I116" i="7"/>
  <c r="H116" i="7"/>
  <c r="G116" i="7"/>
  <c r="J116" i="7" s="1"/>
  <c r="I115" i="7"/>
  <c r="H115" i="7"/>
  <c r="G115" i="7"/>
  <c r="J115" i="7" s="1"/>
  <c r="I114" i="7"/>
  <c r="H114" i="7"/>
  <c r="G114" i="7"/>
  <c r="J114" i="7" s="1"/>
  <c r="I113" i="7"/>
  <c r="H113" i="7"/>
  <c r="G113" i="7"/>
  <c r="J113" i="7" s="1"/>
  <c r="I112" i="7"/>
  <c r="H112" i="7"/>
  <c r="G112" i="7"/>
  <c r="J112" i="7" s="1"/>
  <c r="I111" i="7"/>
  <c r="H111" i="7"/>
  <c r="G111" i="7"/>
  <c r="J111" i="7" s="1"/>
  <c r="I110" i="7"/>
  <c r="H110" i="7"/>
  <c r="G110" i="7"/>
  <c r="J110" i="7" s="1"/>
  <c r="I109" i="7"/>
  <c r="H109" i="7"/>
  <c r="G109" i="7"/>
  <c r="J109" i="7" s="1"/>
  <c r="I108" i="7"/>
  <c r="H108" i="7"/>
  <c r="G108" i="7"/>
  <c r="J108" i="7" s="1"/>
  <c r="I107" i="7"/>
  <c r="H107" i="7"/>
  <c r="G107" i="7"/>
  <c r="J107" i="7" s="1"/>
  <c r="I106" i="7"/>
  <c r="H106" i="7"/>
  <c r="G106" i="7"/>
  <c r="J106" i="7" s="1"/>
  <c r="I105" i="7"/>
  <c r="H105" i="7"/>
  <c r="G105" i="7"/>
  <c r="J105" i="7" s="1"/>
  <c r="I104" i="7"/>
  <c r="H104" i="7"/>
  <c r="G104" i="7"/>
  <c r="J104" i="7" s="1"/>
  <c r="I103" i="7"/>
  <c r="H103" i="7"/>
  <c r="G103" i="7"/>
  <c r="J103" i="7" s="1"/>
  <c r="I102" i="7"/>
  <c r="H102" i="7"/>
  <c r="G102" i="7"/>
  <c r="J102" i="7" s="1"/>
  <c r="I101" i="7"/>
  <c r="H101" i="7"/>
  <c r="G101" i="7"/>
  <c r="J101" i="7" s="1"/>
  <c r="I100" i="7"/>
  <c r="H100" i="7"/>
  <c r="G100" i="7"/>
  <c r="J100" i="7" s="1"/>
  <c r="I99" i="7"/>
  <c r="H99" i="7"/>
  <c r="G99" i="7"/>
  <c r="J99" i="7" s="1"/>
  <c r="I98" i="7"/>
  <c r="H98" i="7"/>
  <c r="G98" i="7"/>
  <c r="J98" i="7" s="1"/>
  <c r="I97" i="7"/>
  <c r="H97" i="7"/>
  <c r="G97" i="7"/>
  <c r="J97" i="7" s="1"/>
  <c r="I96" i="7"/>
  <c r="H96" i="7"/>
  <c r="G96" i="7"/>
  <c r="J96" i="7" s="1"/>
  <c r="I95" i="7"/>
  <c r="H95" i="7"/>
  <c r="G95" i="7"/>
  <c r="J95" i="7" s="1"/>
  <c r="I94" i="7"/>
  <c r="H94" i="7"/>
  <c r="G94" i="7"/>
  <c r="J94" i="7" s="1"/>
  <c r="I93" i="7"/>
  <c r="H93" i="7"/>
  <c r="G93" i="7"/>
  <c r="J93" i="7" s="1"/>
  <c r="I92" i="7"/>
  <c r="H92" i="7"/>
  <c r="G92" i="7"/>
  <c r="J92" i="7" s="1"/>
  <c r="I91" i="7"/>
  <c r="H91" i="7"/>
  <c r="G91" i="7"/>
  <c r="J91" i="7" s="1"/>
  <c r="I90" i="7"/>
  <c r="H90" i="7"/>
  <c r="G90" i="7"/>
  <c r="J90" i="7" s="1"/>
  <c r="I89" i="7"/>
  <c r="H89" i="7"/>
  <c r="G89" i="7"/>
  <c r="J89" i="7" s="1"/>
  <c r="I88" i="7"/>
  <c r="H88" i="7"/>
  <c r="G88" i="7"/>
  <c r="J88" i="7" s="1"/>
  <c r="I87" i="7"/>
  <c r="H87" i="7"/>
  <c r="G87" i="7"/>
  <c r="J87" i="7" s="1"/>
  <c r="I86" i="7"/>
  <c r="H86" i="7"/>
  <c r="G86" i="7"/>
  <c r="J86" i="7" s="1"/>
  <c r="I85" i="7"/>
  <c r="H85" i="7"/>
  <c r="G85" i="7"/>
  <c r="J85" i="7" s="1"/>
  <c r="I84" i="7"/>
  <c r="H84" i="7"/>
  <c r="G84" i="7"/>
  <c r="J84" i="7" s="1"/>
  <c r="I83" i="7"/>
  <c r="H83" i="7"/>
  <c r="G83" i="7"/>
  <c r="J83" i="7" s="1"/>
  <c r="I82" i="7"/>
  <c r="H82" i="7"/>
  <c r="G82" i="7"/>
  <c r="J82" i="7" s="1"/>
  <c r="I81" i="7"/>
  <c r="H81" i="7"/>
  <c r="G81" i="7"/>
  <c r="J81" i="7" s="1"/>
  <c r="I80" i="7"/>
  <c r="H80" i="7"/>
  <c r="G80" i="7"/>
  <c r="J80" i="7" s="1"/>
  <c r="I79" i="7"/>
  <c r="H79" i="7"/>
  <c r="G79" i="7"/>
  <c r="J79" i="7" s="1"/>
  <c r="I78" i="7"/>
  <c r="H78" i="7"/>
  <c r="G78" i="7"/>
  <c r="J78" i="7" s="1"/>
  <c r="I77" i="7"/>
  <c r="H77" i="7"/>
  <c r="G77" i="7"/>
  <c r="J77" i="7" s="1"/>
  <c r="I76" i="7"/>
  <c r="H76" i="7"/>
  <c r="G76" i="7"/>
  <c r="J76" i="7" s="1"/>
  <c r="I75" i="7"/>
  <c r="H75" i="7"/>
  <c r="G75" i="7"/>
  <c r="J75" i="7" s="1"/>
  <c r="I74" i="7"/>
  <c r="H74" i="7"/>
  <c r="G74" i="7"/>
  <c r="J74" i="7" s="1"/>
  <c r="I73" i="7"/>
  <c r="H73" i="7"/>
  <c r="G73" i="7"/>
  <c r="J73" i="7" s="1"/>
  <c r="I72" i="7"/>
  <c r="H72" i="7"/>
  <c r="G72" i="7"/>
  <c r="J72" i="7" s="1"/>
  <c r="I71" i="7"/>
  <c r="H71" i="7"/>
  <c r="G71" i="7"/>
  <c r="J71" i="7" s="1"/>
  <c r="I70" i="7"/>
  <c r="H70" i="7"/>
  <c r="G70" i="7"/>
  <c r="J70" i="7" s="1"/>
  <c r="I69" i="7"/>
  <c r="H69" i="7"/>
  <c r="G69" i="7"/>
  <c r="J69" i="7" s="1"/>
  <c r="I68" i="7"/>
  <c r="H68" i="7"/>
  <c r="G68" i="7"/>
  <c r="J68" i="7" s="1"/>
  <c r="I67" i="7"/>
  <c r="H67" i="7"/>
  <c r="G67" i="7"/>
  <c r="J67" i="7" s="1"/>
  <c r="I66" i="7"/>
  <c r="H66" i="7"/>
  <c r="G66" i="7"/>
  <c r="J66" i="7" s="1"/>
  <c r="I65" i="7"/>
  <c r="H65" i="7"/>
  <c r="G65" i="7"/>
  <c r="J65" i="7" s="1"/>
  <c r="I64" i="7"/>
  <c r="H64" i="7"/>
  <c r="G64" i="7"/>
  <c r="J64" i="7" s="1"/>
  <c r="I63" i="7"/>
  <c r="H63" i="7"/>
  <c r="G63" i="7"/>
  <c r="J63" i="7" s="1"/>
  <c r="I62" i="7"/>
  <c r="H62" i="7"/>
  <c r="G62" i="7"/>
  <c r="J62" i="7" s="1"/>
  <c r="I61" i="7"/>
  <c r="H61" i="7"/>
  <c r="G61" i="7"/>
  <c r="J61" i="7" s="1"/>
  <c r="I60" i="7"/>
  <c r="H60" i="7"/>
  <c r="G60" i="7"/>
  <c r="J60" i="7" s="1"/>
  <c r="I59" i="7"/>
  <c r="H59" i="7"/>
  <c r="G59" i="7"/>
  <c r="J59" i="7" s="1"/>
  <c r="I58" i="7"/>
  <c r="H58" i="7"/>
  <c r="G58" i="7"/>
  <c r="J58" i="7" s="1"/>
  <c r="I57" i="7"/>
  <c r="H57" i="7"/>
  <c r="G57" i="7"/>
  <c r="J57" i="7" s="1"/>
  <c r="I56" i="7"/>
  <c r="H56" i="7"/>
  <c r="G56" i="7"/>
  <c r="J56" i="7" s="1"/>
  <c r="I55" i="7"/>
  <c r="H55" i="7"/>
  <c r="G55" i="7"/>
  <c r="J55" i="7" s="1"/>
  <c r="I54" i="7"/>
  <c r="H54" i="7"/>
  <c r="G54" i="7"/>
  <c r="J54" i="7" s="1"/>
  <c r="I53" i="7"/>
  <c r="H53" i="7"/>
  <c r="G53" i="7"/>
  <c r="J53" i="7" s="1"/>
  <c r="I52" i="7"/>
  <c r="H52" i="7"/>
  <c r="G52" i="7"/>
  <c r="J52" i="7" s="1"/>
  <c r="I51" i="7"/>
  <c r="H51" i="7"/>
  <c r="G51" i="7"/>
  <c r="J51" i="7" s="1"/>
  <c r="I50" i="7"/>
  <c r="H50" i="7"/>
  <c r="G50" i="7"/>
  <c r="J50" i="7" s="1"/>
  <c r="I49" i="7"/>
  <c r="H49" i="7"/>
  <c r="G49" i="7"/>
  <c r="J49" i="7" s="1"/>
  <c r="I48" i="7"/>
  <c r="H48" i="7"/>
  <c r="G48" i="7"/>
  <c r="J48" i="7" s="1"/>
  <c r="I47" i="7"/>
  <c r="H47" i="7"/>
  <c r="G47" i="7"/>
  <c r="J47" i="7" s="1"/>
  <c r="I46" i="7"/>
  <c r="H46" i="7"/>
  <c r="G46" i="7"/>
  <c r="J46" i="7" s="1"/>
  <c r="I45" i="7"/>
  <c r="H45" i="7"/>
  <c r="G45" i="7"/>
  <c r="J45" i="7" s="1"/>
  <c r="I44" i="7"/>
  <c r="H44" i="7"/>
  <c r="G44" i="7"/>
  <c r="J44" i="7" s="1"/>
  <c r="I43" i="7"/>
  <c r="H43" i="7"/>
  <c r="G43" i="7"/>
  <c r="J43" i="7" s="1"/>
  <c r="I42" i="7"/>
  <c r="H42" i="7"/>
  <c r="G42" i="7"/>
  <c r="J42" i="7" s="1"/>
  <c r="I41" i="7"/>
  <c r="H41" i="7"/>
  <c r="G41" i="7"/>
  <c r="J41" i="7" s="1"/>
  <c r="I40" i="7"/>
  <c r="H40" i="7"/>
  <c r="G40" i="7"/>
  <c r="J40" i="7" s="1"/>
  <c r="I39" i="7"/>
  <c r="H39" i="7"/>
  <c r="G39" i="7"/>
  <c r="J39" i="7" s="1"/>
  <c r="I38" i="7"/>
  <c r="H38" i="7"/>
  <c r="G38" i="7"/>
  <c r="J38" i="7" s="1"/>
  <c r="I37" i="7"/>
  <c r="H37" i="7"/>
  <c r="G37" i="7"/>
  <c r="J37" i="7" s="1"/>
  <c r="I36" i="7"/>
  <c r="H36" i="7"/>
  <c r="G36" i="7"/>
  <c r="J36" i="7" s="1"/>
  <c r="I35" i="7"/>
  <c r="H35" i="7"/>
  <c r="G35" i="7"/>
  <c r="J35" i="7" s="1"/>
  <c r="I34" i="7"/>
  <c r="H34" i="7"/>
  <c r="G34" i="7"/>
  <c r="J34" i="7" s="1"/>
  <c r="I33" i="7"/>
  <c r="H33" i="7"/>
  <c r="G33" i="7"/>
  <c r="J33" i="7" s="1"/>
  <c r="I32" i="7"/>
  <c r="H32" i="7"/>
  <c r="G32" i="7"/>
  <c r="J32" i="7" s="1"/>
  <c r="I31" i="7"/>
  <c r="H31" i="7"/>
  <c r="G31" i="7"/>
  <c r="J31" i="7" s="1"/>
  <c r="I30" i="7"/>
  <c r="H30" i="7"/>
  <c r="G30" i="7"/>
  <c r="J30" i="7" s="1"/>
  <c r="I29" i="7"/>
  <c r="H29" i="7"/>
  <c r="G29" i="7"/>
  <c r="J29" i="7" s="1"/>
  <c r="I28" i="7"/>
  <c r="H28" i="7"/>
  <c r="G28" i="7"/>
  <c r="J28" i="7" s="1"/>
  <c r="I27" i="7"/>
  <c r="H27" i="7"/>
  <c r="G27" i="7"/>
  <c r="J27" i="7" s="1"/>
  <c r="I26" i="7"/>
  <c r="H26" i="7"/>
  <c r="G26" i="7"/>
  <c r="J26" i="7" s="1"/>
  <c r="I25" i="7"/>
  <c r="H25" i="7"/>
  <c r="G25" i="7"/>
  <c r="J25" i="7" s="1"/>
  <c r="I24" i="7"/>
  <c r="H24" i="7"/>
  <c r="G24" i="7"/>
  <c r="J24" i="7" s="1"/>
  <c r="I23" i="7"/>
  <c r="H23" i="7"/>
  <c r="G23" i="7"/>
  <c r="J23" i="7" s="1"/>
  <c r="I22" i="7"/>
  <c r="H22" i="7"/>
  <c r="G22" i="7"/>
  <c r="J22" i="7" s="1"/>
  <c r="I21" i="7"/>
  <c r="H21" i="7"/>
  <c r="G21" i="7"/>
  <c r="J21" i="7" s="1"/>
  <c r="I20" i="7"/>
  <c r="H20" i="7"/>
  <c r="G20" i="7"/>
  <c r="J20" i="7" s="1"/>
  <c r="I19" i="7"/>
  <c r="H19" i="7"/>
  <c r="G19" i="7"/>
  <c r="J19" i="7" s="1"/>
  <c r="I18" i="7"/>
  <c r="H18" i="7"/>
  <c r="G18" i="7"/>
  <c r="J18" i="7" s="1"/>
  <c r="I17" i="7"/>
  <c r="H17" i="7"/>
  <c r="G17" i="7"/>
  <c r="J17" i="7" s="1"/>
  <c r="I16" i="7"/>
  <c r="H16" i="7"/>
  <c r="G16" i="7"/>
  <c r="J16" i="7" s="1"/>
  <c r="I15" i="7"/>
  <c r="H15" i="7"/>
  <c r="G15" i="7"/>
  <c r="J15" i="7" s="1"/>
  <c r="I14" i="7"/>
  <c r="H14" i="7"/>
  <c r="G14" i="7"/>
  <c r="J14" i="7" s="1"/>
  <c r="I13" i="7"/>
  <c r="H13" i="7"/>
  <c r="G13" i="7"/>
  <c r="J13" i="7" s="1"/>
  <c r="I12" i="7"/>
  <c r="H12" i="7"/>
  <c r="G12" i="7"/>
  <c r="J12" i="7" s="1"/>
  <c r="I11" i="7"/>
  <c r="H11" i="7"/>
  <c r="G11" i="7"/>
  <c r="J11" i="7" s="1"/>
  <c r="I10" i="7"/>
  <c r="H10" i="7"/>
  <c r="G10" i="7"/>
  <c r="J10" i="7" s="1"/>
  <c r="I9" i="7"/>
  <c r="H9" i="7"/>
  <c r="G9" i="7"/>
  <c r="J9" i="7" s="1"/>
  <c r="I8" i="7"/>
  <c r="H8" i="7"/>
  <c r="G8" i="7"/>
  <c r="J8" i="7" s="1"/>
  <c r="I7" i="7"/>
  <c r="H7" i="7"/>
  <c r="G7" i="7"/>
  <c r="J7" i="7" s="1"/>
  <c r="I6" i="7"/>
  <c r="H6" i="7"/>
  <c r="G6" i="7"/>
  <c r="J6" i="7" s="1"/>
  <c r="I5" i="7"/>
  <c r="H5" i="7"/>
  <c r="G5" i="7"/>
  <c r="J5" i="7" s="1"/>
  <c r="I4" i="7"/>
  <c r="H4" i="7"/>
  <c r="G4" i="7"/>
  <c r="J4" i="7" s="1"/>
  <c r="I3" i="7"/>
  <c r="H3" i="7"/>
  <c r="G3" i="7"/>
  <c r="J3" i="7" s="1"/>
  <c r="I2" i="7"/>
  <c r="H2" i="7"/>
  <c r="G2" i="7"/>
  <c r="J2" i="7" s="1"/>
  <c r="M4" i="7" l="1"/>
</calcChain>
</file>

<file path=xl/sharedStrings.xml><?xml version="1.0" encoding="utf-8"?>
<sst xmlns="http://schemas.openxmlformats.org/spreadsheetml/2006/main" count="20773" uniqueCount="459">
  <si>
    <t>Facility ID</t>
  </si>
  <si>
    <t>Facility Name</t>
  </si>
  <si>
    <t>Reporting Period</t>
  </si>
  <si>
    <t>Scope</t>
  </si>
  <si>
    <t>GHG Type</t>
  </si>
  <si>
    <t>Emissions (tons)</t>
  </si>
  <si>
    <t>F088</t>
  </si>
  <si>
    <t>JSW Energy</t>
  </si>
  <si>
    <t>2022 Q1</t>
  </si>
  <si>
    <t>Scope 3</t>
  </si>
  <si>
    <t>CH₄</t>
  </si>
  <si>
    <t>F021</t>
  </si>
  <si>
    <t>L&amp;T</t>
  </si>
  <si>
    <t>2022 Q2</t>
  </si>
  <si>
    <t>Scope 1</t>
  </si>
  <si>
    <t>CO₂</t>
  </si>
  <si>
    <t>F107</t>
  </si>
  <si>
    <t>Reliance Industries</t>
  </si>
  <si>
    <t>F106</t>
  </si>
  <si>
    <t>Tata Steel</t>
  </si>
  <si>
    <t>F090</t>
  </si>
  <si>
    <t>F158</t>
  </si>
  <si>
    <t>F023</t>
  </si>
  <si>
    <t>2023 Q2</t>
  </si>
  <si>
    <t>N₂O</t>
  </si>
  <si>
    <t>F153</t>
  </si>
  <si>
    <t>F079</t>
  </si>
  <si>
    <t>F065</t>
  </si>
  <si>
    <t>Scope 2</t>
  </si>
  <si>
    <t>F025</t>
  </si>
  <si>
    <t>Adani Green</t>
  </si>
  <si>
    <t>F104</t>
  </si>
  <si>
    <t>F137</t>
  </si>
  <si>
    <t>F101</t>
  </si>
  <si>
    <t>2023 Q1</t>
  </si>
  <si>
    <t>F194</t>
  </si>
  <si>
    <t>F057</t>
  </si>
  <si>
    <t>F017</t>
  </si>
  <si>
    <t>F120</t>
  </si>
  <si>
    <t>F139</t>
  </si>
  <si>
    <t>F166</t>
  </si>
  <si>
    <t>F005</t>
  </si>
  <si>
    <t>F060</t>
  </si>
  <si>
    <t>F133</t>
  </si>
  <si>
    <t>F134</t>
  </si>
  <si>
    <t>F030</t>
  </si>
  <si>
    <t>F091</t>
  </si>
  <si>
    <t>F002</t>
  </si>
  <si>
    <t>F121</t>
  </si>
  <si>
    <t>F008</t>
  </si>
  <si>
    <t>F198</t>
  </si>
  <si>
    <t>F087</t>
  </si>
  <si>
    <t>F175</t>
  </si>
  <si>
    <t>F100</t>
  </si>
  <si>
    <t>F042</t>
  </si>
  <si>
    <t>F173</t>
  </si>
  <si>
    <t>F012</t>
  </si>
  <si>
    <t>F182</t>
  </si>
  <si>
    <t>F026</t>
  </si>
  <si>
    <t>F093</t>
  </si>
  <si>
    <t>F074</t>
  </si>
  <si>
    <t>F024</t>
  </si>
  <si>
    <t>F103</t>
  </si>
  <si>
    <t>F032</t>
  </si>
  <si>
    <t>F077</t>
  </si>
  <si>
    <t>F056</t>
  </si>
  <si>
    <t>F172</t>
  </si>
  <si>
    <t>F190</t>
  </si>
  <si>
    <t>F097</t>
  </si>
  <si>
    <t>F045</t>
  </si>
  <si>
    <t>F181</t>
  </si>
  <si>
    <t>F019</t>
  </si>
  <si>
    <t>F115</t>
  </si>
  <si>
    <t>F086</t>
  </si>
  <si>
    <t>F162</t>
  </si>
  <si>
    <t>F084</t>
  </si>
  <si>
    <t>F197</t>
  </si>
  <si>
    <t>F186</t>
  </si>
  <si>
    <t>F191</t>
  </si>
  <si>
    <t>F039</t>
  </si>
  <si>
    <t>F126</t>
  </si>
  <si>
    <t>F044</t>
  </si>
  <si>
    <t>F016</t>
  </si>
  <si>
    <t>F059</t>
  </si>
  <si>
    <t>F196</t>
  </si>
  <si>
    <t>F063</t>
  </si>
  <si>
    <t>F135</t>
  </si>
  <si>
    <t>F193</t>
  </si>
  <si>
    <t>F068</t>
  </si>
  <si>
    <t>F161</t>
  </si>
  <si>
    <t>F037</t>
  </si>
  <si>
    <t>F022</t>
  </si>
  <si>
    <t>F176</t>
  </si>
  <si>
    <t>F071</t>
  </si>
  <si>
    <t>F048</t>
  </si>
  <si>
    <t>F027</t>
  </si>
  <si>
    <t>F036</t>
  </si>
  <si>
    <t>F078</t>
  </si>
  <si>
    <t>F073</t>
  </si>
  <si>
    <t>F127</t>
  </si>
  <si>
    <t>F082</t>
  </si>
  <si>
    <t>F108</t>
  </si>
  <si>
    <t>F031</t>
  </si>
  <si>
    <t>F054</t>
  </si>
  <si>
    <t>F144</t>
  </si>
  <si>
    <t>F046</t>
  </si>
  <si>
    <t>F061</t>
  </si>
  <si>
    <t>F018</t>
  </si>
  <si>
    <t>F184</t>
  </si>
  <si>
    <t>F041</t>
  </si>
  <si>
    <t>F064</t>
  </si>
  <si>
    <t>F124</t>
  </si>
  <si>
    <t>F131</t>
  </si>
  <si>
    <t>F152</t>
  </si>
  <si>
    <t>F085</t>
  </si>
  <si>
    <t>F099</t>
  </si>
  <si>
    <t>F128</t>
  </si>
  <si>
    <t>F199</t>
  </si>
  <si>
    <t>F145</t>
  </si>
  <si>
    <t>F015</t>
  </si>
  <si>
    <t>F092</t>
  </si>
  <si>
    <t>F089</t>
  </si>
  <si>
    <t>F174</t>
  </si>
  <si>
    <t>F028</t>
  </si>
  <si>
    <t>F148</t>
  </si>
  <si>
    <t>F053</t>
  </si>
  <si>
    <t>F007</t>
  </si>
  <si>
    <t>F014</t>
  </si>
  <si>
    <t>F143</t>
  </si>
  <si>
    <t>F072</t>
  </si>
  <si>
    <t>F125</t>
  </si>
  <si>
    <t>F167</t>
  </si>
  <si>
    <t>F183</t>
  </si>
  <si>
    <t>F116</t>
  </si>
  <si>
    <t>F047</t>
  </si>
  <si>
    <t>F081</t>
  </si>
  <si>
    <t>F070</t>
  </si>
  <si>
    <t>F062</t>
  </si>
  <si>
    <t>F114</t>
  </si>
  <si>
    <t>F050</t>
  </si>
  <si>
    <t>F156</t>
  </si>
  <si>
    <t>F009</t>
  </si>
  <si>
    <t>F155</t>
  </si>
  <si>
    <t>F083</t>
  </si>
  <si>
    <t>F006</t>
  </si>
  <si>
    <t>F164</t>
  </si>
  <si>
    <t>F118</t>
  </si>
  <si>
    <t>F168</t>
  </si>
  <si>
    <t>F169</t>
  </si>
  <si>
    <t>F095</t>
  </si>
  <si>
    <t>F171</t>
  </si>
  <si>
    <t>F149</t>
  </si>
  <si>
    <t>F192</t>
  </si>
  <si>
    <t>F096</t>
  </si>
  <si>
    <t>F195</t>
  </si>
  <si>
    <t>F159</t>
  </si>
  <si>
    <t>F151</t>
  </si>
  <si>
    <t>F132</t>
  </si>
  <si>
    <t>F069</t>
  </si>
  <si>
    <t>F033</t>
  </si>
  <si>
    <t>F038</t>
  </si>
  <si>
    <t>F157</t>
  </si>
  <si>
    <t>F140</t>
  </si>
  <si>
    <t>F177</t>
  </si>
  <si>
    <t>F113</t>
  </si>
  <si>
    <t>F010</t>
  </si>
  <si>
    <t>F109</t>
  </si>
  <si>
    <t>F034</t>
  </si>
  <si>
    <t>F055</t>
  </si>
  <si>
    <t>F102</t>
  </si>
  <si>
    <t>F001</t>
  </si>
  <si>
    <t>F170</t>
  </si>
  <si>
    <t>F185</t>
  </si>
  <si>
    <t>F122</t>
  </si>
  <si>
    <t>F052</t>
  </si>
  <si>
    <t>F004</t>
  </si>
  <si>
    <t>F111</t>
  </si>
  <si>
    <t>F154</t>
  </si>
  <si>
    <t>F112</t>
  </si>
  <si>
    <t>F138</t>
  </si>
  <si>
    <t>F011</t>
  </si>
  <si>
    <t>F098</t>
  </si>
  <si>
    <t>F200</t>
  </si>
  <si>
    <t>F043</t>
  </si>
  <si>
    <t>F066</t>
  </si>
  <si>
    <t>F035</t>
  </si>
  <si>
    <t>F110</t>
  </si>
  <si>
    <t>F178</t>
  </si>
  <si>
    <t>F075</t>
  </si>
  <si>
    <t>F003</t>
  </si>
  <si>
    <t>F076</t>
  </si>
  <si>
    <t>F136</t>
  </si>
  <si>
    <t>F130</t>
  </si>
  <si>
    <t>F147</t>
  </si>
  <si>
    <t>F020</t>
  </si>
  <si>
    <t>F142</t>
  </si>
  <si>
    <t>F029</t>
  </si>
  <si>
    <t>F051</t>
  </si>
  <si>
    <t>F123</t>
  </si>
  <si>
    <t>F187</t>
  </si>
  <si>
    <t>F150</t>
  </si>
  <si>
    <t>F129</t>
  </si>
  <si>
    <t>F067</t>
  </si>
  <si>
    <t>F058</t>
  </si>
  <si>
    <t>F160</t>
  </si>
  <si>
    <t>F117</t>
  </si>
  <si>
    <t>F080</t>
  </si>
  <si>
    <t>F146</t>
  </si>
  <si>
    <t>F094</t>
  </si>
  <si>
    <t>F040</t>
  </si>
  <si>
    <t>F049</t>
  </si>
  <si>
    <t>F105</t>
  </si>
  <si>
    <t>F189</t>
  </si>
  <si>
    <t>F141</t>
  </si>
  <si>
    <t>F165</t>
  </si>
  <si>
    <t>F013</t>
  </si>
  <si>
    <t>F180</t>
  </si>
  <si>
    <t>F188</t>
  </si>
  <si>
    <t>F119</t>
  </si>
  <si>
    <t>F179</t>
  </si>
  <si>
    <t>F163</t>
  </si>
  <si>
    <t>Production Volume (units)</t>
  </si>
  <si>
    <t>Energy Consumption (MWh)</t>
  </si>
  <si>
    <t>Waste (tons)</t>
  </si>
  <si>
    <t>Supplier ID</t>
  </si>
  <si>
    <t>Estimated Carbon Footprint (tons CO₂e)</t>
  </si>
  <si>
    <t>Income Distribution (%)</t>
  </si>
  <si>
    <t>S001</t>
  </si>
  <si>
    <t>{'F090': 38.84, 'F082': 36.92, 'F147': 24.24}</t>
  </si>
  <si>
    <t>S002</t>
  </si>
  <si>
    <t>{'F143': 13.88, 'F082': 10.02, 'F057': 15.92, 'F150': 35.92, 'F056': 24.26}</t>
  </si>
  <si>
    <t>S003</t>
  </si>
  <si>
    <t>{'F172': 36.89, 'F176': 32.29, 'F027': 10.84, 'F163': 19.98}</t>
  </si>
  <si>
    <t>S004</t>
  </si>
  <si>
    <t>{'F157': 8.17, 'F100': 20.93, 'F136': 32.18, 'F132': 30.1, 'F067': 8.62}</t>
  </si>
  <si>
    <t>S005</t>
  </si>
  <si>
    <t>{'F092': 9.83, 'F200': 44.17, 'F072': 36.04, 'F173': 9.96}</t>
  </si>
  <si>
    <t>S006</t>
  </si>
  <si>
    <t>{'F023': 12.77, 'F192': 15.07, 'F189': 15.94, 'F169': 27.44, 'F118': 28.78}</t>
  </si>
  <si>
    <t>S007</t>
  </si>
  <si>
    <t>{'F145': 7.14, 'F170': 26.48, 'F022': 28.45, 'F015': 9.9, 'F151': 28.03}</t>
  </si>
  <si>
    <t>S008</t>
  </si>
  <si>
    <t>{'F002': 29.15, 'F104': 26.58, 'F059': 14.23, 'F066': 30.04}</t>
  </si>
  <si>
    <t>S009</t>
  </si>
  <si>
    <t>{'F154': 18.01, 'F109': 27.42, 'F044': 23.14, 'F193': 31.43}</t>
  </si>
  <si>
    <t>S010</t>
  </si>
  <si>
    <t>{'F084': 16.93, 'F027': 30.55, 'F198': 10.19, 'F040': 13.43, 'F101': 28.9}</t>
  </si>
  <si>
    <t>S011</t>
  </si>
  <si>
    <t>{'F151': 22.49, 'F179': 18.73, 'F103': 26.99, 'F171': 22.41, 'F180': 9.39}</t>
  </si>
  <si>
    <t>S012</t>
  </si>
  <si>
    <t>{'F013': 42.1, 'F111': 17.04, 'F054': 40.86}</t>
  </si>
  <si>
    <t>S013</t>
  </si>
  <si>
    <t>{'F145': 46.85, 'F034': 53.15}</t>
  </si>
  <si>
    <t>S014</t>
  </si>
  <si>
    <t>{'F151': 67.87, 'F141': 32.13}</t>
  </si>
  <si>
    <t>S015</t>
  </si>
  <si>
    <t>{'F091': 11.71, 'F088': 28.19, 'F193': 29.84, 'F072': 30.26}</t>
  </si>
  <si>
    <t>S016</t>
  </si>
  <si>
    <t>{'F130': 14.96, 'F106': 27.81, 'F153': 21.2, 'F084': 23.39, 'F133': 12.64}</t>
  </si>
  <si>
    <t>S017</t>
  </si>
  <si>
    <t>{'F095': 19.31, 'F079': 80.69}</t>
  </si>
  <si>
    <t>S018</t>
  </si>
  <si>
    <t>{'F058': 22.42, 'F043': 24.91, 'F182': 34.14, 'F143': 9.5, 'F022': 9.02}</t>
  </si>
  <si>
    <t>S019</t>
  </si>
  <si>
    <t>{'F012': 23.81, 'F026': 28.62, 'F029': 29.71, 'F037': 10.31, 'F083': 7.54}</t>
  </si>
  <si>
    <t>S020</t>
  </si>
  <si>
    <t>{'F118': 44.31, 'F161': 55.69}</t>
  </si>
  <si>
    <t>S021</t>
  </si>
  <si>
    <t>{'F101': 11.07, 'F036': 29.01, 'F125': 13.24, 'F117': 23.44, 'F106': 23.25}</t>
  </si>
  <si>
    <t>S022</t>
  </si>
  <si>
    <t>{'F029': 33.61, 'F084': 38.23, 'F002': 28.16}</t>
  </si>
  <si>
    <t>S023</t>
  </si>
  <si>
    <t>{'F184': 21.4, 'F001': 23.33, 'F161': 14.33, 'F126': 13.32, 'F053': 27.62}</t>
  </si>
  <si>
    <t>S024</t>
  </si>
  <si>
    <t>{'F161': 24.01, 'F094': 19.42, 'F162': 19.04, 'F024': 9.95, 'F146': 27.59}</t>
  </si>
  <si>
    <t>S025</t>
  </si>
  <si>
    <t>{'F055': 19.26, 'F178': 11.3, 'F136': 32.17, 'F062': 37.27}</t>
  </si>
  <si>
    <t>S026</t>
  </si>
  <si>
    <t>{'F156': 62.75, 'F112': 37.25}</t>
  </si>
  <si>
    <t>S027</t>
  </si>
  <si>
    <t>{'F164': 58.54, 'F150': 41.46}</t>
  </si>
  <si>
    <t>S028</t>
  </si>
  <si>
    <t>{'F084': 60.19, 'F108': 39.81}</t>
  </si>
  <si>
    <t>S029</t>
  </si>
  <si>
    <t>{'F066': 19.84, 'F126': 33.2, 'F176': 46.96}</t>
  </si>
  <si>
    <t>S030</t>
  </si>
  <si>
    <t>{'F189': 35.35, 'F128': 46.68, 'F025': 17.97}</t>
  </si>
  <si>
    <t>S031</t>
  </si>
  <si>
    <t>{'F104': 11.07, 'F142': 30.4, 'F143': 20.63, 'F100': 37.91}</t>
  </si>
  <si>
    <t>S032</t>
  </si>
  <si>
    <t>{'F148': 36.23, 'F033': 43.18, 'F170': 20.59}</t>
  </si>
  <si>
    <t>S033</t>
  </si>
  <si>
    <t>{'F200': 33.06, 'F115': 6.78, 'F076': 14.81, 'F198': 27.48, 'F096': 17.87}</t>
  </si>
  <si>
    <t>S034</t>
  </si>
  <si>
    <t>{'F055': 15.41, 'F025': 32.74, 'F185': 18.88, 'F138': 32.97}</t>
  </si>
  <si>
    <t>S035</t>
  </si>
  <si>
    <t>{'F143': 28.17, 'F020': 13.64, 'F037': 17.22, 'F098': 19.7, 'F184': 21.26}</t>
  </si>
  <si>
    <t>S036</t>
  </si>
  <si>
    <t>{'F163': 32.96, 'F018': 67.04}</t>
  </si>
  <si>
    <t>S037</t>
  </si>
  <si>
    <t>{'F051': 9.87, 'F163': 27.0, 'F021': 26.24, 'F097': 23.67, 'F151': 13.22}</t>
  </si>
  <si>
    <t>S038</t>
  </si>
  <si>
    <t>{'F138': 39.52, 'F070': 60.48}</t>
  </si>
  <si>
    <t>S039</t>
  </si>
  <si>
    <t>{'F041': 33.59, 'F134': 66.41}</t>
  </si>
  <si>
    <t>S040</t>
  </si>
  <si>
    <t>{'F167': 31.74, 'F197': 25.24, 'F198': 27.82, 'F065': 15.2}</t>
  </si>
  <si>
    <t>S041</t>
  </si>
  <si>
    <t>{'F051': 24.97, 'F125': 25.14, 'F122': 19.55, 'F134': 6.31, 'F178': 24.04}</t>
  </si>
  <si>
    <t>S042</t>
  </si>
  <si>
    <t>{'F080': 32.97, 'F033': 20.68, 'F024': 23.15, 'F012': 23.2}</t>
  </si>
  <si>
    <t>S043</t>
  </si>
  <si>
    <t>{'F094': 25.79, 'F100': 11.14, 'F051': 31.48, 'F158': 31.59}</t>
  </si>
  <si>
    <t>S044</t>
  </si>
  <si>
    <t>{'F050': 19.65, 'F186': 8.84, 'F104': 17.42, 'F089': 22.92, 'F128': 31.16}</t>
  </si>
  <si>
    <t>S045</t>
  </si>
  <si>
    <t>{'F080': 57.09, 'F199': 15.41, 'F041': 12.64, 'F002': 14.86}</t>
  </si>
  <si>
    <t>S046</t>
  </si>
  <si>
    <t>{'F024': 19.9, 'F004': 34.93, 'F195': 28.6, 'F056': 16.57}</t>
  </si>
  <si>
    <t>S047</t>
  </si>
  <si>
    <t>{'F125': 21.87, 'F155': 25.39, 'F060': 13.07, 'F148': 39.67}</t>
  </si>
  <si>
    <t>S048</t>
  </si>
  <si>
    <t>{'F074': 30.01, 'F165': 13.62, 'F039': 39.55, 'F169': 16.82}</t>
  </si>
  <si>
    <t>S049</t>
  </si>
  <si>
    <t>{'F186': 33.66, 'F004': 66.34}</t>
  </si>
  <si>
    <t>S050</t>
  </si>
  <si>
    <t>{'F030': 13.54, 'F183': 17.78, 'F147': 44.31, 'F044': 24.38}</t>
  </si>
  <si>
    <t>S051</t>
  </si>
  <si>
    <t>{'F140': 44.97, 'F119': 55.03}</t>
  </si>
  <si>
    <t>S052</t>
  </si>
  <si>
    <t>{'F167': 31.32, 'F052': 29.26, 'F029': 39.42}</t>
  </si>
  <si>
    <t>S053</t>
  </si>
  <si>
    <t>{'F124': 47.12, 'F161': 19.58, 'F120': 33.3}</t>
  </si>
  <si>
    <t>S054</t>
  </si>
  <si>
    <t>{'F014': 18.03, 'F183': 9.16, 'F051': 18.07, 'F089': 33.34, 'F050': 21.4}</t>
  </si>
  <si>
    <t>S055</t>
  </si>
  <si>
    <t>{'F112': 73.95, 'F091': 26.05}</t>
  </si>
  <si>
    <t>S056</t>
  </si>
  <si>
    <t>{'F189': 22.01, 'F027': 7.66, 'F105': 24.87, 'F032': 30.98, 'F095': 14.47}</t>
  </si>
  <si>
    <t>S057</t>
  </si>
  <si>
    <t>{'F099': 35.29, 'F122': 32.43, 'F186': 32.28}</t>
  </si>
  <si>
    <t>S058</t>
  </si>
  <si>
    <t>{'F068': 19.36, 'F033': 26.07, 'F161': 8.35, 'F045': 31.8, 'F036': 14.41}</t>
  </si>
  <si>
    <t>S059</t>
  </si>
  <si>
    <t>{'F039': 25.32, 'F179': 9.99, 'F184': 26.86, 'F175': 20.62, 'F025': 17.22}</t>
  </si>
  <si>
    <t>S060</t>
  </si>
  <si>
    <t>{'F062': 29.66, 'F071': 26.09, 'F107': 28.72, 'F013': 15.53}</t>
  </si>
  <si>
    <t>S061</t>
  </si>
  <si>
    <t>{'F188': 21.98, 'F177': 24.69, 'F063': 35.04, 'F154': 18.28}</t>
  </si>
  <si>
    <t>S062</t>
  </si>
  <si>
    <t>{'F161': 15.67, 'F130': 34.01, 'F094': 18.19, 'F124': 32.13}</t>
  </si>
  <si>
    <t>S063</t>
  </si>
  <si>
    <t>{'F101': 29.18, 'F044': 32.23, 'F150': 11.71, 'F002': 17.03, 'F124': 9.85}</t>
  </si>
  <si>
    <t>S064</t>
  </si>
  <si>
    <t>{'F031': 20.66, 'F186': 32.19, 'F057': 10.36, 'F181': 36.79}</t>
  </si>
  <si>
    <t>S065</t>
  </si>
  <si>
    <t>{'F134': 21.43, 'F065': 39.29, 'F005': 39.28}</t>
  </si>
  <si>
    <t>S066</t>
  </si>
  <si>
    <t>{'F166': 24.84, 'F121': 29.53, 'F143': 45.63}</t>
  </si>
  <si>
    <t>S067</t>
  </si>
  <si>
    <t>{'F072': 16.1, 'F089': 19.68, 'F200': 20.28, 'F111': 22.97, 'F151': 20.97}</t>
  </si>
  <si>
    <t>S068</t>
  </si>
  <si>
    <t>{'F027': 47.73, 'F153': 17.92, 'F196': 34.35}</t>
  </si>
  <si>
    <t>S069</t>
  </si>
  <si>
    <t>{'F185': 31.87, 'F027': 68.13}</t>
  </si>
  <si>
    <t>S070</t>
  </si>
  <si>
    <t>{'F034': 61.93, 'F170': 19.52, 'F107': 18.55}</t>
  </si>
  <si>
    <t>S071</t>
  </si>
  <si>
    <t>{'F107': 28.46, 'F010': 9.08, 'F042': 13.78, 'F071': 34.7, 'F067': 13.98}</t>
  </si>
  <si>
    <t>S072</t>
  </si>
  <si>
    <t>{'F198': 53.73, 'F114': 46.27}</t>
  </si>
  <si>
    <t>S073</t>
  </si>
  <si>
    <t>{'F194': 70.54, 'F086': 29.46}</t>
  </si>
  <si>
    <t>S074</t>
  </si>
  <si>
    <t>{'F183': 77.36, 'F138': 22.64}</t>
  </si>
  <si>
    <t>S075</t>
  </si>
  <si>
    <t>{'F079': 45.19, 'F113': 54.81}</t>
  </si>
  <si>
    <t>S076</t>
  </si>
  <si>
    <t>{'F019': 15.85, 'F012': 11.34, 'F090': 20.86, 'F160': 23.26, 'F159': 28.69}</t>
  </si>
  <si>
    <t>S077</t>
  </si>
  <si>
    <t>{'F196': 30.85, 'F117': 23.15, 'F026': 17.99, 'F054': 28.0}</t>
  </si>
  <si>
    <t>S078</t>
  </si>
  <si>
    <t>{'F123': 48.25, 'F161': 51.75}</t>
  </si>
  <si>
    <t>S079</t>
  </si>
  <si>
    <t>{'F096': 25.58, 'F027': 9.34, 'F056': 31.8, 'F042': 7.05, 'F119': 26.23}</t>
  </si>
  <si>
    <t>S080</t>
  </si>
  <si>
    <t>{'F120': 33.7, 'F084': 20.44, 'F196': 20.3, 'F195': 25.56}</t>
  </si>
  <si>
    <t>S081</t>
  </si>
  <si>
    <t>{'F124': 54.56, 'F189': 45.44}</t>
  </si>
  <si>
    <t>S082</t>
  </si>
  <si>
    <t>{'F017': 39.29, 'F103': 60.71}</t>
  </si>
  <si>
    <t>S083</t>
  </si>
  <si>
    <t>{'F012': 20.92, 'F129': 52.46, 'F198': 26.62}</t>
  </si>
  <si>
    <t>S084</t>
  </si>
  <si>
    <t>{'F095': 20.84, 'F167': 23.43, 'F105': 10.45, 'F172': 24.36, 'F177': 20.91}</t>
  </si>
  <si>
    <t>S085</t>
  </si>
  <si>
    <t>{'F063': 28.89, 'F187': 31.34, 'F099': 29.13, 'F110': 10.65}</t>
  </si>
  <si>
    <t>S086</t>
  </si>
  <si>
    <t>{'F146': 13.38, 'F009': 33.94, 'F094': 52.68}</t>
  </si>
  <si>
    <t>S087</t>
  </si>
  <si>
    <t>{'F155': 19.93, 'F082': 22.18, 'F100': 21.75, 'F076': 19.28, 'F199': 16.86}</t>
  </si>
  <si>
    <t>S088</t>
  </si>
  <si>
    <t>{'F145': 32.64, 'F047': 67.36}</t>
  </si>
  <si>
    <t>S089</t>
  </si>
  <si>
    <t>{'F171': 23.38, 'F152': 15.81, 'F087': 16.02, 'F160': 21.25, 'F135': 23.54}</t>
  </si>
  <si>
    <t>S090</t>
  </si>
  <si>
    <t>{'F113': 43.98, 'F019': 56.02}</t>
  </si>
  <si>
    <t>S091</t>
  </si>
  <si>
    <t>{'F131': 28.42, 'F186': 35.64, 'F139': 35.95}</t>
  </si>
  <si>
    <t>S092</t>
  </si>
  <si>
    <t>{'F120': 37.46, 'F041': 19.39, 'F126': 23.21, 'F082': 19.95}</t>
  </si>
  <si>
    <t>S093</t>
  </si>
  <si>
    <t>{'F048': 35.39, 'F147': 25.3, 'F100': 21.04, 'F174': 18.28}</t>
  </si>
  <si>
    <t>S094</t>
  </si>
  <si>
    <t>{'F140': 47.31, 'F050': 13.98, 'F119': 16.52, 'F118': 22.19}</t>
  </si>
  <si>
    <t>S095</t>
  </si>
  <si>
    <t>{'F146': 25.22, 'F001': 26.48, 'F134': 33.71, 'F023': 14.58}</t>
  </si>
  <si>
    <t>S096</t>
  </si>
  <si>
    <t>{'F130': 43.29, 'F105': 56.71}</t>
  </si>
  <si>
    <t>S097</t>
  </si>
  <si>
    <t>{'F156': 20.53, 'F113': 21.38, 'F071': 21.21, 'F026': 24.05, 'F158': 12.82}</t>
  </si>
  <si>
    <t>S098</t>
  </si>
  <si>
    <t>{'F184': 20.76, 'F168': 13.98, 'F147': 9.57, 'F034': 23.8, 'F104': 31.9}</t>
  </si>
  <si>
    <t>S099</t>
  </si>
  <si>
    <t>{'F018': 49.4, 'F096': 50.6}</t>
  </si>
  <si>
    <t>S100</t>
  </si>
  <si>
    <t>{'F184': 52.13, 'F170': 47.87}</t>
  </si>
  <si>
    <t>Benchmark</t>
  </si>
  <si>
    <t>Value</t>
  </si>
  <si>
    <t>Description</t>
  </si>
  <si>
    <t>GHG Reduction Target</t>
  </si>
  <si>
    <t>25% reduction</t>
  </si>
  <si>
    <t>Company must reduce overall GHG emissions by 25% over the next 5 years.</t>
  </si>
  <si>
    <t>Net Zero Milestone</t>
  </si>
  <si>
    <t>Target year to achieve net zero emissions.</t>
  </si>
  <si>
    <t>Emission Reporting Standard</t>
  </si>
  <si>
    <t>GHG Protocol</t>
  </si>
  <si>
    <t>All emissions must be reported according to the GHG Protocol guidelines.</t>
  </si>
  <si>
    <t>Row Labels</t>
  </si>
  <si>
    <t>Grand Total</t>
  </si>
  <si>
    <t>Sum of Emissions (tons)</t>
  </si>
  <si>
    <t>Column Labels</t>
  </si>
  <si>
    <t>Sum of Production Volume (units)</t>
  </si>
  <si>
    <t>(All)</t>
  </si>
  <si>
    <t>Baseline Emission(2022 Q1) =</t>
  </si>
  <si>
    <t xml:space="preserve">Baseline Emission(2022 Q1) </t>
  </si>
  <si>
    <t>Current Emission(2023 Q2)</t>
  </si>
  <si>
    <t>Reduction (%) = ((Baseline - Current) / Baseline) * 100</t>
  </si>
  <si>
    <t xml:space="preserve">Current Emission(2023 Q2) = </t>
  </si>
  <si>
    <t>Emission Intensity</t>
  </si>
  <si>
    <t>Sum of Emission Intensity</t>
  </si>
  <si>
    <t>Sum of Energy Consumption (MWh)</t>
  </si>
  <si>
    <t xml:space="preserve">Total Emissions KPI = </t>
  </si>
  <si>
    <t>Sum of Production Efficiency</t>
  </si>
  <si>
    <t xml:space="preserve">Interpretation </t>
  </si>
  <si>
    <t>negative reduction means, emission increased by 0.069% in ~1.5 years which is not good at all.</t>
  </si>
  <si>
    <r>
      <rPr>
        <b/>
        <sz val="14"/>
        <color rgb="FFFF0000"/>
        <rFont val="Aptos Narrow"/>
        <family val="2"/>
        <scheme val="minor"/>
      </rPr>
      <t>1257073.956</t>
    </r>
    <r>
      <rPr>
        <b/>
        <sz val="12"/>
        <color theme="1"/>
        <rFont val="Aptos Narrow"/>
        <family val="2"/>
        <scheme val="minor"/>
      </rPr>
      <t xml:space="preserve">
</t>
    </r>
    <r>
      <rPr>
        <b/>
        <sz val="14"/>
        <color theme="1"/>
        <rFont val="Aptos Narrow"/>
        <family val="2"/>
        <scheme val="minor"/>
      </rPr>
      <t>Total Emissions (tons)</t>
    </r>
  </si>
  <si>
    <r>
      <rPr>
        <b/>
        <sz val="14"/>
        <color rgb="FFFF0000"/>
        <rFont val="Aptos Narrow"/>
        <family val="2"/>
        <scheme val="minor"/>
      </rPr>
      <t>20.8736</t>
    </r>
    <r>
      <rPr>
        <b/>
        <sz val="12"/>
        <color theme="1"/>
        <rFont val="Aptos Narrow"/>
        <family val="2"/>
        <scheme val="minor"/>
      </rPr>
      <t xml:space="preserve">
</t>
    </r>
    <r>
      <rPr>
        <b/>
        <sz val="14"/>
        <color theme="1"/>
        <rFont val="Aptos Narrow"/>
        <family val="2"/>
        <scheme val="minor"/>
      </rPr>
      <t>Production Efficiency (units/ton)</t>
    </r>
  </si>
  <si>
    <r>
      <rPr>
        <b/>
        <sz val="14"/>
        <color rgb="FFFF0000"/>
        <rFont val="Aptos Narrow"/>
        <family val="2"/>
        <scheme val="minor"/>
      </rPr>
      <t>2647831.74</t>
    </r>
    <r>
      <rPr>
        <b/>
        <sz val="12"/>
        <color theme="1"/>
        <rFont val="Aptos Narrow"/>
        <family val="2"/>
        <scheme val="minor"/>
      </rPr>
      <t xml:space="preserve">
</t>
    </r>
    <r>
      <rPr>
        <b/>
        <sz val="14"/>
        <color theme="1"/>
        <rFont val="Aptos Narrow"/>
        <family val="2"/>
        <scheme val="minor"/>
      </rPr>
      <t>Total Energy Consumption (MWh)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</si>
</sst>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Calibri"/>
      <family val="2"/>
    </font>
    <font>
      <sz val="11"/>
      <color theme="1"/>
      <name val="Calibri"/>
      <family val="2"/>
    </font>
    <font>
      <b/>
      <sz val="11"/>
      <color theme="1"/>
      <name val="Aptos Narrow"/>
      <family val="2"/>
      <scheme val="minor"/>
    </font>
    <font>
      <sz val="11"/>
      <color theme="1"/>
      <name val="Aptos Narrow"/>
      <family val="2"/>
      <scheme val="minor"/>
    </font>
    <font>
      <sz val="12"/>
      <color theme="1"/>
      <name val="Aptos Narrow"/>
      <family val="2"/>
      <scheme val="minor"/>
    </font>
    <font>
      <b/>
      <sz val="12"/>
      <color theme="1"/>
      <name val="Aptos Narrow"/>
      <family val="2"/>
      <scheme val="minor"/>
    </font>
    <font>
      <b/>
      <sz val="11"/>
      <color rgb="FF4D4D4C"/>
      <name val="Courier New"/>
      <family val="3"/>
    </font>
    <font>
      <sz val="14"/>
      <color theme="1"/>
      <name val="Aptos Narrow"/>
      <family val="2"/>
      <scheme val="minor"/>
    </font>
    <font>
      <b/>
      <sz val="14"/>
      <color theme="1"/>
      <name val="Aptos Narrow"/>
      <family val="2"/>
      <scheme val="minor"/>
    </font>
    <font>
      <b/>
      <sz val="12"/>
      <color theme="1"/>
      <name val="Segoe UI"/>
      <family val="2"/>
    </font>
    <font>
      <sz val="14"/>
      <color theme="1"/>
      <name val="Segoe UI"/>
      <family val="2"/>
    </font>
    <font>
      <b/>
      <sz val="14"/>
      <color rgb="FFFF0000"/>
      <name val="Aptos Narrow"/>
      <family val="2"/>
      <scheme val="minor"/>
    </font>
  </fonts>
  <fills count="8">
    <fill>
      <patternFill patternType="none"/>
    </fill>
    <fill>
      <patternFill patternType="gray125"/>
    </fill>
    <fill>
      <patternFill patternType="solid">
        <fgColor rgb="FFEFEFEF"/>
        <bgColor indexed="6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s>
  <borders count="21">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rgb="FF000000"/>
      </bottom>
      <diagonal/>
    </border>
    <border>
      <left style="medium">
        <color rgb="FFCCCCCC"/>
      </left>
      <right style="medium">
        <color rgb="FF000000"/>
      </right>
      <top style="medium">
        <color indexed="64"/>
      </top>
      <bottom style="medium">
        <color rgb="FF000000"/>
      </bottom>
      <diagonal/>
    </border>
    <border>
      <left style="medium">
        <color indexed="64"/>
      </left>
      <right style="medium">
        <color rgb="FF000000"/>
      </right>
      <top style="medium">
        <color rgb="FFCCCCCC"/>
      </top>
      <bottom style="medium">
        <color rgb="FF000000"/>
      </bottom>
      <diagonal/>
    </border>
    <border>
      <left style="medium">
        <color indexed="64"/>
      </left>
      <right style="medium">
        <color rgb="FF000000"/>
      </right>
      <top style="medium">
        <color rgb="FFCCCCCC"/>
      </top>
      <bottom style="medium">
        <color indexed="64"/>
      </bottom>
      <diagonal/>
    </border>
    <border>
      <left style="medium">
        <color rgb="FFCCCCCC"/>
      </left>
      <right style="medium">
        <color rgb="FF000000"/>
      </right>
      <top style="medium">
        <color rgb="FFCCCCCC"/>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rgb="FFCCCCCC"/>
      </left>
      <right style="medium">
        <color indexed="64"/>
      </right>
      <top style="medium">
        <color indexed="64"/>
      </top>
      <bottom style="medium">
        <color rgb="FF000000"/>
      </bottom>
      <diagonal/>
    </border>
    <border>
      <left style="medium">
        <color rgb="FFCCCCCC"/>
      </left>
      <right style="medium">
        <color indexed="64"/>
      </right>
      <top style="medium">
        <color rgb="FFCCCCCC"/>
      </top>
      <bottom style="medium">
        <color rgb="FF000000"/>
      </bottom>
      <diagonal/>
    </border>
    <border>
      <left style="medium">
        <color rgb="FFCCCCCC"/>
      </left>
      <right style="medium">
        <color indexed="64"/>
      </right>
      <top style="medium">
        <color rgb="FFCCCCCC"/>
      </top>
      <bottom style="medium">
        <color indexed="64"/>
      </bottom>
      <diagonal/>
    </border>
  </borders>
  <cellStyleXfs count="2">
    <xf numFmtId="0" fontId="0" fillId="0" borderId="0"/>
    <xf numFmtId="9" fontId="4" fillId="0" borderId="0" applyFont="0" applyFill="0" applyBorder="0" applyAlignment="0" applyProtection="0"/>
  </cellStyleXfs>
  <cellXfs count="53">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0" xfId="0" applyAlignment="1">
      <alignment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center" vertical="center"/>
    </xf>
    <xf numFmtId="0" fontId="1" fillId="2" borderId="8" xfId="0" applyFont="1" applyFill="1" applyBorder="1" applyAlignment="1">
      <alignment horizontal="center" vertical="center" wrapText="1"/>
    </xf>
    <xf numFmtId="0" fontId="0" fillId="0" borderId="8" xfId="0"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5" fillId="0" borderId="0" xfId="0" pivotButton="1" applyFont="1"/>
    <xf numFmtId="0" fontId="5" fillId="0" borderId="0" xfId="0" applyFont="1"/>
    <xf numFmtId="0" fontId="5" fillId="0" borderId="0" xfId="0" applyFont="1" applyAlignment="1">
      <alignment horizontal="left"/>
    </xf>
    <xf numFmtId="0" fontId="3" fillId="0" borderId="0" xfId="0" applyFont="1" applyAlignment="1">
      <alignment horizontal="center" vertical="center"/>
    </xf>
    <xf numFmtId="0" fontId="6" fillId="0" borderId="9" xfId="0" applyFont="1" applyBorder="1" applyAlignment="1">
      <alignment horizontal="left"/>
    </xf>
    <xf numFmtId="0" fontId="6" fillId="3" borderId="10" xfId="0" applyFont="1" applyFill="1" applyBorder="1"/>
    <xf numFmtId="0" fontId="2" fillId="0" borderId="8" xfId="0" applyFont="1" applyBorder="1" applyAlignment="1">
      <alignment horizontal="center" vertical="center" wrapText="1"/>
    </xf>
    <xf numFmtId="0" fontId="0" fillId="0" borderId="8" xfId="1" applyNumberFormat="1" applyFont="1" applyBorder="1" applyAlignment="1">
      <alignment horizontal="center" vertical="center"/>
    </xf>
    <xf numFmtId="0" fontId="3" fillId="4" borderId="8" xfId="0" applyFont="1" applyFill="1" applyBorder="1" applyAlignment="1">
      <alignment horizontal="center" vertical="center"/>
    </xf>
    <xf numFmtId="0" fontId="9" fillId="3" borderId="8" xfId="0" applyFont="1" applyFill="1" applyBorder="1" applyAlignment="1">
      <alignment horizontal="center" vertical="center"/>
    </xf>
    <xf numFmtId="0" fontId="9" fillId="0" borderId="8" xfId="0" quotePrefix="1" applyFont="1" applyBorder="1" applyAlignment="1">
      <alignment horizontal="center" vertical="center"/>
    </xf>
    <xf numFmtId="0" fontId="5" fillId="0" borderId="0" xfId="0" pivotButton="1" applyFont="1" applyAlignment="1">
      <alignment horizontal="center" vertical="center"/>
    </xf>
    <xf numFmtId="0" fontId="5" fillId="0" borderId="0" xfId="0" applyFont="1" applyAlignment="1">
      <alignment horizontal="center" vertical="center"/>
    </xf>
    <xf numFmtId="0" fontId="0" fillId="0" borderId="0" xfId="0" pivotButton="1" applyAlignment="1">
      <alignment horizontal="center" vertical="center"/>
    </xf>
    <xf numFmtId="0" fontId="5" fillId="0" borderId="0" xfId="0" applyFont="1" applyAlignment="1">
      <alignment horizontal="center" vertical="center" wrapText="1"/>
    </xf>
    <xf numFmtId="0" fontId="10" fillId="0" borderId="0" xfId="0" applyFont="1" applyAlignment="1">
      <alignment wrapText="1"/>
    </xf>
    <xf numFmtId="0" fontId="0" fillId="0" borderId="0" xfId="0" applyAlignment="1">
      <alignment horizontal="center" vertical="center" wrapText="1"/>
    </xf>
    <xf numFmtId="0" fontId="8" fillId="0" borderId="8" xfId="0" applyFont="1" applyBorder="1" applyAlignment="1">
      <alignment horizontal="center" vertical="center"/>
    </xf>
    <xf numFmtId="0" fontId="7" fillId="0" borderId="8" xfId="0" applyFont="1" applyBorder="1" applyAlignment="1">
      <alignment horizontal="center" vertical="center" wrapText="1"/>
    </xf>
    <xf numFmtId="0" fontId="9" fillId="6" borderId="8" xfId="0" quotePrefix="1" applyFont="1" applyFill="1" applyBorder="1" applyAlignment="1">
      <alignment horizontal="center" vertical="center" wrapText="1"/>
    </xf>
    <xf numFmtId="0" fontId="8" fillId="6" borderId="8" xfId="0" applyFont="1" applyFill="1" applyBorder="1" applyAlignment="1">
      <alignment horizontal="center" vertical="center"/>
    </xf>
    <xf numFmtId="0" fontId="9" fillId="6" borderId="8" xfId="0" quotePrefix="1" applyFont="1" applyFill="1" applyBorder="1" applyAlignment="1">
      <alignment horizontal="center" vertical="center"/>
    </xf>
    <xf numFmtId="0" fontId="8" fillId="6" borderId="8" xfId="1" applyNumberFormat="1" applyFont="1" applyFill="1" applyBorder="1" applyAlignment="1">
      <alignment horizontal="center" vertical="center"/>
    </xf>
    <xf numFmtId="0" fontId="7" fillId="6" borderId="8" xfId="0" quotePrefix="1" applyFont="1" applyFill="1" applyBorder="1" applyAlignment="1">
      <alignment horizontal="center" vertical="center" wrapText="1"/>
    </xf>
    <xf numFmtId="0" fontId="11" fillId="6" borderId="8" xfId="0" quotePrefix="1" applyFont="1" applyFill="1" applyBorder="1" applyAlignment="1">
      <alignment horizontal="left" wrapText="1"/>
    </xf>
    <xf numFmtId="0" fontId="1" fillId="7" borderId="11" xfId="0" applyFont="1" applyFill="1" applyBorder="1" applyAlignment="1">
      <alignment horizontal="center" vertical="center" wrapText="1"/>
    </xf>
    <xf numFmtId="0" fontId="1" fillId="7" borderId="12" xfId="0" applyFont="1" applyFill="1" applyBorder="1" applyAlignment="1">
      <alignment horizontal="center" vertical="center" wrapText="1"/>
    </xf>
    <xf numFmtId="0" fontId="1" fillId="7" borderId="18" xfId="0" applyFont="1" applyFill="1" applyBorder="1" applyAlignment="1">
      <alignment horizontal="center" vertical="center" wrapText="1"/>
    </xf>
    <xf numFmtId="0" fontId="2" fillId="7" borderId="1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7" borderId="19" xfId="0" applyFont="1" applyFill="1" applyBorder="1" applyAlignment="1">
      <alignment horizontal="center" vertical="center" wrapText="1"/>
    </xf>
    <xf numFmtId="0" fontId="2" fillId="7" borderId="14" xfId="0" applyFont="1" applyFill="1" applyBorder="1" applyAlignment="1">
      <alignment horizontal="center" vertical="center" wrapText="1"/>
    </xf>
    <xf numFmtId="0" fontId="2" fillId="7" borderId="15" xfId="0" applyFont="1" applyFill="1" applyBorder="1" applyAlignment="1">
      <alignment horizontal="center" vertical="center" wrapText="1"/>
    </xf>
    <xf numFmtId="0" fontId="2" fillId="7" borderId="20" xfId="0" applyFont="1" applyFill="1" applyBorder="1" applyAlignment="1">
      <alignment horizontal="center" vertical="center" wrapText="1"/>
    </xf>
    <xf numFmtId="0" fontId="6" fillId="5" borderId="16" xfId="0" quotePrefix="1" applyFont="1" applyFill="1" applyBorder="1" applyAlignment="1">
      <alignment horizontal="center" vertical="center" wrapText="1"/>
    </xf>
    <xf numFmtId="0" fontId="6" fillId="5" borderId="17" xfId="0" applyFont="1" applyFill="1" applyBorder="1" applyAlignment="1">
      <alignment horizontal="center" vertical="center"/>
    </xf>
    <xf numFmtId="0" fontId="0" fillId="0" borderId="0" xfId="0" applyNumberFormat="1"/>
    <xf numFmtId="0" fontId="5" fillId="0" borderId="0" xfId="0" applyNumberFormat="1" applyFont="1" applyAlignment="1">
      <alignment horizontal="center" vertical="center"/>
    </xf>
    <xf numFmtId="0" fontId="0" fillId="0" borderId="0" xfId="0" applyNumberFormat="1" applyAlignment="1">
      <alignment horizontal="center" vertical="center"/>
    </xf>
  </cellXfs>
  <cellStyles count="2">
    <cellStyle name="Normal" xfId="0" builtinId="0"/>
    <cellStyle name="Percent" xfId="1" builtinId="5"/>
  </cellStyles>
  <dxfs count="101">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alignment horizontal="center"/>
    </dxf>
    <dxf>
      <alignment vertical="center"/>
    </dxf>
    <dxf>
      <font>
        <sz val="12"/>
      </font>
    </dxf>
    <dxf>
      <alignment horizontal="center"/>
    </dxf>
    <dxf>
      <alignment vertical="center"/>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vertic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8.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7.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6.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[ESG Data Analytics Task.xlsx]Quarterly Emission Trends by Fa!PivotTable8</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Emissions Over 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'Quarterly Emission Trends by Fa'!$J$2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'Quarterly Emission Trends by Fa'!$I$3:$I$7</c:f>
              <c:strCache>
                <c:ptCount val="4"/>
                <c:pt idx="0">
                  <c:v>2022 Q1</c:v>
                </c:pt>
                <c:pt idx="1">
                  <c:v>2022 Q2</c:v>
                </c:pt>
                <c:pt idx="2">
                  <c:v>2023 Q1</c:v>
                </c:pt>
                <c:pt idx="3">
                  <c:v>2023 Q2</c:v>
                </c:pt>
              </c:strCache>
            </c:strRef>
          </c:cat>
          <c:val>
            <c:numRef>
              <c:f>'Quarterly Emission Trends by Fa'!$J$3:$J$7</c:f>
              <c:numCache>
                <c:formatCode>General</c:formatCode>
                <c:ptCount val="4"/>
                <c:pt idx="0">
                  <c:v>1256202.8636468977</c:v>
                </c:pt>
                <c:pt idx="1">
                  <c:v>1357086.2778158016</c:v>
                </c:pt>
                <c:pt idx="2">
                  <c:v>1346028.9697205001</c:v>
                </c:pt>
                <c:pt idx="3">
                  <c:v>1257073.9556838011</c:v>
                </c:pt>
              </c:numCache>
            </c:numRef>
          </c:val>
          <c:smooth val="0"/>
          <c:extLst>
            <c:ext xmlns:c16="http://schemas.microsoft.com/office/drawing/2014/chart" uri="{C3380CC4-5D6E-409C-BE32-E72D297353CC}">
              <c16:uniqueId val="{00000000-7B04-4BD0-93B4-76ADABF948CE}"/>
            </c:ext>
          </c:extLst>
        </c:ser>
        <c:dLbls>
          <c:showLegendKey val="0"/>
          <c:showVal val="0"/>
          <c:showCatName val="0"/>
          <c:showSerName val="0"/>
          <c:showPercent val="0"/>
          <c:showBubbleSize val="0"/>
        </c:dLbls>
        <c:marker val="1"/>
        <c:smooth val="0"/>
        <c:axId val="1684178720"/>
        <c:axId val="1684162880"/>
      </c:lineChart>
      <c:catAx>
        <c:axId val="16841787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84162880"/>
        <c:crosses val="autoZero"/>
        <c:auto val="1"/>
        <c:lblAlgn val="ctr"/>
        <c:lblOffset val="100"/>
        <c:noMultiLvlLbl val="0"/>
      </c:catAx>
      <c:valAx>
        <c:axId val="16841628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8417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[ESG Data Analytics Task.xlsx]Production Efficiency!PivotTable5</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Production Efficiency by Facility</a:t>
            </a:r>
          </a:p>
        </c:rich>
      </c:tx>
      <c:layout>
        <c:manualLayout>
          <c:xMode val="edge"/>
          <c:yMode val="edge"/>
          <c:x val="0.20813033540253562"/>
          <c:y val="0.2200920537106774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'Production Efficiency'!$B$3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'Production Efficiency'!$A$4:$A$9</c:f>
              <c:strCache>
                <c:ptCount val="5"/>
                <c:pt idx="0">
                  <c:v>Adani Green</c:v>
                </c:pt>
                <c:pt idx="1">
                  <c:v>JSW Energy</c:v>
                </c:pt>
                <c:pt idx="2">
                  <c:v>L&amp;T</c:v>
                </c:pt>
                <c:pt idx="3">
                  <c:v>Reliance Industries</c:v>
                </c:pt>
                <c:pt idx="4">
                  <c:v>Tata Steel</c:v>
                </c:pt>
              </c:strCache>
            </c:strRef>
          </c:cat>
          <c:val>
            <c:numRef>
              <c:f>'Production Efficiency'!$B$4:$B$9</c:f>
              <c:numCache>
                <c:formatCode>General</c:formatCode>
                <c:ptCount val="5"/>
                <c:pt idx="0">
                  <c:v>21.59667946683032</c:v>
                </c:pt>
                <c:pt idx="1">
                  <c:v>19.602404710426793</c:v>
                </c:pt>
                <c:pt idx="2">
                  <c:v>20.228905314496462</c:v>
                </c:pt>
                <c:pt idx="3">
                  <c:v>20.970196272043257</c:v>
                </c:pt>
                <c:pt idx="4">
                  <c:v>21.320205259015903</c:v>
                </c:pt>
              </c:numCache>
            </c:numRef>
          </c:val>
          <c:extLst>
            <c:ext xmlns:c16="http://schemas.microsoft.com/office/drawing/2014/chart" uri="{C3380CC4-5D6E-409C-BE32-E72D297353CC}">
              <c16:uniqueId val="{00000000-7510-400C-957D-9FBFE4C6A5F7}"/>
            </c:ext>
          </c:extLst>
        </c:ser>
        <c:dLbls>
          <c:dLblPos val="outEnd"/>
          <c:showLegendKey val="0"/>
          <c:showVal val="1"/>
          <c:showCatName val="0"/>
          <c:showSerName val="0"/>
          <c:showPercent val="0"/>
          <c:showBubbleSize val="0"/>
        </c:dLbls>
        <c:gapWidth val="115"/>
        <c:overlap val="-20"/>
        <c:axId val="1684152320"/>
        <c:axId val="1684165280"/>
      </c:barChart>
      <c:catAx>
        <c:axId val="16841523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4165280"/>
        <c:crosses val="autoZero"/>
        <c:auto val="1"/>
        <c:lblAlgn val="ctr"/>
        <c:lblOffset val="100"/>
        <c:noMultiLvlLbl val="0"/>
      </c:catAx>
      <c:valAx>
        <c:axId val="16841652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415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[ESG Data Analytics Task.xlsx]Energy Consumption Trend!PivotTable6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Energy Consumption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'Energy Consumption Trend'!$B$3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'Energy Consumption Trend'!$A$4:$A$8</c:f>
              <c:strCache>
                <c:ptCount val="4"/>
                <c:pt idx="0">
                  <c:v>2022 Q1</c:v>
                </c:pt>
                <c:pt idx="1">
                  <c:v>2022 Q2</c:v>
                </c:pt>
                <c:pt idx="2">
                  <c:v>2023 Q1</c:v>
                </c:pt>
                <c:pt idx="3">
                  <c:v>2023 Q2</c:v>
                </c:pt>
              </c:strCache>
            </c:strRef>
          </c:cat>
          <c:val>
            <c:numRef>
              <c:f>'Energy Consumption Trend'!$B$4:$B$8</c:f>
              <c:numCache>
                <c:formatCode>General</c:formatCode>
                <c:ptCount val="4"/>
                <c:pt idx="0">
                  <c:v>2537816.0299999989</c:v>
                </c:pt>
                <c:pt idx="1">
                  <c:v>2777778.4300000006</c:v>
                </c:pt>
                <c:pt idx="2">
                  <c:v>2820785.2499999991</c:v>
                </c:pt>
                <c:pt idx="3">
                  <c:v>2647831.7400000007</c:v>
                </c:pt>
              </c:numCache>
            </c:numRef>
          </c:val>
          <c:extLst>
            <c:ext xmlns:c16="http://schemas.microsoft.com/office/drawing/2014/chart" uri="{C3380CC4-5D6E-409C-BE32-E72D297353CC}">
              <c16:uniqueId val="{00000000-7B61-4E26-8D00-99FEBA5A625C}"/>
            </c:ext>
          </c:extLst>
        </c:ser>
        <c:dLbls>
          <c:dLblPos val="outEnd"/>
          <c:showLegendKey val="0"/>
          <c:showVal val="1"/>
          <c:showCatName val="0"/>
          <c:showSerName val="0"/>
          <c:showPercent val="0"/>
          <c:showBubbleSize val="0"/>
        </c:dLbls>
        <c:gapWidth val="100"/>
        <c:overlap val="-24"/>
        <c:axId val="1684164800"/>
        <c:axId val="1684182560"/>
      </c:barChart>
      <c:catAx>
        <c:axId val="16841648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4182560"/>
        <c:crosses val="autoZero"/>
        <c:auto val="1"/>
        <c:lblAlgn val="ctr"/>
        <c:lblOffset val="100"/>
        <c:noMultiLvlLbl val="0"/>
      </c:catAx>
      <c:valAx>
        <c:axId val="1684182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416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[ESG Data Analytics Task.xlsx]Quarterly Emission Trends by Fa!PivotTable5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Quarterly Emission Trends by Facility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'Quarterly Emission Trends by Fa'!$B$2:$B$3</c:f>
              <c:strCache>
                <c:ptCount val="1"/>
                <c:pt idx="0">
                  <c:v>Adani Green</c:v>
                </c:pt>
              </c:strCache>
            </c:strRef>
          </c:tx>
          <c:spPr>
            <a:ln w="28575" cap="rnd">
              <a:solidFill>
                <a:schemeClr val="accent1"/>
              </a:solidFill>
              <a:round/>
            </a:ln>
            <a:effectLst/>
          </c:spPr>
          <c:marker>
            <c:symbol val="none"/>
          </c:marker>
          <c:cat>
            <c:strRef>
              <c:f>'Quarterly Emission Trends by Fa'!$A$4:$A$8</c:f>
              <c:strCache>
                <c:ptCount val="4"/>
                <c:pt idx="0">
                  <c:v>2022 Q1</c:v>
                </c:pt>
                <c:pt idx="1">
                  <c:v>2022 Q2</c:v>
                </c:pt>
                <c:pt idx="2">
                  <c:v>2023 Q1</c:v>
                </c:pt>
                <c:pt idx="3">
                  <c:v>2023 Q2</c:v>
                </c:pt>
              </c:strCache>
            </c:strRef>
          </c:cat>
          <c:val>
            <c:numRef>
              <c:f>'Quarterly Emission Trends by Fa'!$B$4:$B$8</c:f>
              <c:numCache>
                <c:formatCode>General</c:formatCode>
                <c:ptCount val="4"/>
                <c:pt idx="0">
                  <c:v>340708.91512470035</c:v>
                </c:pt>
                <c:pt idx="1">
                  <c:v>326256.59780630009</c:v>
                </c:pt>
                <c:pt idx="2">
                  <c:v>360843.2142764997</c:v>
                </c:pt>
                <c:pt idx="3">
                  <c:v>333304.58862180001</c:v>
                </c:pt>
              </c:numCache>
            </c:numRef>
          </c:val>
          <c:smooth val="0"/>
          <c:extLst>
            <c:ext xmlns:c16="http://schemas.microsoft.com/office/drawing/2014/chart" uri="{C3380CC4-5D6E-409C-BE32-E72D297353CC}">
              <c16:uniqueId val="{00000000-7CA4-425A-9E58-0288CC0841A8}"/>
            </c:ext>
          </c:extLst>
        </c:ser>
        <c:ser>
          <c:idx val="1"/>
          <c:order val="1"/>
          <c:tx>
            <c:strRef>
              <c:f>'Quarterly Emission Trends by Fa'!$C$2:$C$3</c:f>
              <c:strCache>
                <c:ptCount val="1"/>
                <c:pt idx="0">
                  <c:v>JSW Energy</c:v>
                </c:pt>
              </c:strCache>
            </c:strRef>
          </c:tx>
          <c:spPr>
            <a:ln w="28575" cap="rnd">
              <a:solidFill>
                <a:schemeClr val="accent2"/>
              </a:solidFill>
              <a:round/>
            </a:ln>
            <a:effectLst/>
          </c:spPr>
          <c:marker>
            <c:symbol val="none"/>
          </c:marker>
          <c:cat>
            <c:strRef>
              <c:f>'Quarterly Emission Trends by Fa'!$A$4:$A$8</c:f>
              <c:strCache>
                <c:ptCount val="4"/>
                <c:pt idx="0">
                  <c:v>2022 Q1</c:v>
                </c:pt>
                <c:pt idx="1">
                  <c:v>2022 Q2</c:v>
                </c:pt>
                <c:pt idx="2">
                  <c:v>2023 Q1</c:v>
                </c:pt>
                <c:pt idx="3">
                  <c:v>2023 Q2</c:v>
                </c:pt>
              </c:strCache>
            </c:strRef>
          </c:cat>
          <c:val>
            <c:numRef>
              <c:f>'Quarterly Emission Trends by Fa'!$C$4:$C$8</c:f>
              <c:numCache>
                <c:formatCode>General</c:formatCode>
                <c:ptCount val="4"/>
                <c:pt idx="0">
                  <c:v>203900.76840210008</c:v>
                </c:pt>
                <c:pt idx="1">
                  <c:v>284347.80954809987</c:v>
                </c:pt>
                <c:pt idx="2">
                  <c:v>217291.77147430004</c:v>
                </c:pt>
                <c:pt idx="3">
                  <c:v>240974.1356137</c:v>
                </c:pt>
              </c:numCache>
            </c:numRef>
          </c:val>
          <c:smooth val="0"/>
          <c:extLst>
            <c:ext xmlns:c16="http://schemas.microsoft.com/office/drawing/2014/chart" uri="{C3380CC4-5D6E-409C-BE32-E72D297353CC}">
              <c16:uniqueId val="{00000000-457A-4F76-8B0A-9E8A7B530637}"/>
            </c:ext>
          </c:extLst>
        </c:ser>
        <c:ser>
          <c:idx val="2"/>
          <c:order val="2"/>
          <c:tx>
            <c:strRef>
              <c:f>'Quarterly Emission Trends by Fa'!$D$2:$D$3</c:f>
              <c:strCache>
                <c:ptCount val="1"/>
                <c:pt idx="0">
                  <c:v>L&amp;T</c:v>
                </c:pt>
              </c:strCache>
            </c:strRef>
          </c:tx>
          <c:spPr>
            <a:ln w="28575" cap="rnd">
              <a:solidFill>
                <a:schemeClr val="accent3"/>
              </a:solidFill>
              <a:round/>
            </a:ln>
            <a:effectLst/>
          </c:spPr>
          <c:marker>
            <c:symbol val="none"/>
          </c:marker>
          <c:cat>
            <c:strRef>
              <c:f>'Quarterly Emission Trends by Fa'!$A$4:$A$8</c:f>
              <c:strCache>
                <c:ptCount val="4"/>
                <c:pt idx="0">
                  <c:v>2022 Q1</c:v>
                </c:pt>
                <c:pt idx="1">
                  <c:v>2022 Q2</c:v>
                </c:pt>
                <c:pt idx="2">
                  <c:v>2023 Q1</c:v>
                </c:pt>
                <c:pt idx="3">
                  <c:v>2023 Q2</c:v>
                </c:pt>
              </c:strCache>
            </c:strRef>
          </c:cat>
          <c:val>
            <c:numRef>
              <c:f>'Quarterly Emission Trends by Fa'!$D$4:$D$8</c:f>
              <c:numCache>
                <c:formatCode>General</c:formatCode>
                <c:ptCount val="4"/>
                <c:pt idx="0">
                  <c:v>188012.60904380004</c:v>
                </c:pt>
                <c:pt idx="1">
                  <c:v>211151.0938876</c:v>
                </c:pt>
                <c:pt idx="2">
                  <c:v>214720.7776948</c:v>
                </c:pt>
                <c:pt idx="3">
                  <c:v>202190.12861969997</c:v>
                </c:pt>
              </c:numCache>
            </c:numRef>
          </c:val>
          <c:smooth val="0"/>
          <c:extLst>
            <c:ext xmlns:c16="http://schemas.microsoft.com/office/drawing/2014/chart" uri="{C3380CC4-5D6E-409C-BE32-E72D297353CC}">
              <c16:uniqueId val="{00000001-457A-4F76-8B0A-9E8A7B530637}"/>
            </c:ext>
          </c:extLst>
        </c:ser>
        <c:ser>
          <c:idx val="3"/>
          <c:order val="3"/>
          <c:tx>
            <c:strRef>
              <c:f>'Quarterly Emission Trends by Fa'!$E$2:$E$3</c:f>
              <c:strCache>
                <c:ptCount val="1"/>
                <c:pt idx="0">
                  <c:v>Reliance Industries</c:v>
                </c:pt>
              </c:strCache>
            </c:strRef>
          </c:tx>
          <c:spPr>
            <a:ln w="28575" cap="rnd">
              <a:solidFill>
                <a:schemeClr val="accent4"/>
              </a:solidFill>
              <a:round/>
            </a:ln>
            <a:effectLst/>
          </c:spPr>
          <c:marker>
            <c:symbol val="none"/>
          </c:marker>
          <c:cat>
            <c:strRef>
              <c:f>'Quarterly Emission Trends by Fa'!$A$4:$A$8</c:f>
              <c:strCache>
                <c:ptCount val="4"/>
                <c:pt idx="0">
                  <c:v>2022 Q1</c:v>
                </c:pt>
                <c:pt idx="1">
                  <c:v>2022 Q2</c:v>
                </c:pt>
                <c:pt idx="2">
                  <c:v>2023 Q1</c:v>
                </c:pt>
                <c:pt idx="3">
                  <c:v>2023 Q2</c:v>
                </c:pt>
              </c:strCache>
            </c:strRef>
          </c:cat>
          <c:val>
            <c:numRef>
              <c:f>'Quarterly Emission Trends by Fa'!$E$4:$E$8</c:f>
              <c:numCache>
                <c:formatCode>General</c:formatCode>
                <c:ptCount val="4"/>
                <c:pt idx="0">
                  <c:v>263715.98614679993</c:v>
                </c:pt>
                <c:pt idx="1">
                  <c:v>229042.00216819998</c:v>
                </c:pt>
                <c:pt idx="2">
                  <c:v>252643.37937040001</c:v>
                </c:pt>
                <c:pt idx="3">
                  <c:v>219288.22022130003</c:v>
                </c:pt>
              </c:numCache>
            </c:numRef>
          </c:val>
          <c:smooth val="0"/>
          <c:extLst>
            <c:ext xmlns:c16="http://schemas.microsoft.com/office/drawing/2014/chart" uri="{C3380CC4-5D6E-409C-BE32-E72D297353CC}">
              <c16:uniqueId val="{00000002-457A-4F76-8B0A-9E8A7B530637}"/>
            </c:ext>
          </c:extLst>
        </c:ser>
        <c:ser>
          <c:idx val="4"/>
          <c:order val="4"/>
          <c:tx>
            <c:strRef>
              <c:f>'Quarterly Emission Trends by Fa'!$F$2:$F$3</c:f>
              <c:strCache>
                <c:ptCount val="1"/>
                <c:pt idx="0">
                  <c:v>Tata Steel</c:v>
                </c:pt>
              </c:strCache>
            </c:strRef>
          </c:tx>
          <c:spPr>
            <a:ln w="28575" cap="rnd">
              <a:solidFill>
                <a:schemeClr val="accent5"/>
              </a:solidFill>
              <a:round/>
            </a:ln>
            <a:effectLst/>
          </c:spPr>
          <c:marker>
            <c:symbol val="none"/>
          </c:marker>
          <c:cat>
            <c:strRef>
              <c:f>'Quarterly Emission Trends by Fa'!$A$4:$A$8</c:f>
              <c:strCache>
                <c:ptCount val="4"/>
                <c:pt idx="0">
                  <c:v>2022 Q1</c:v>
                </c:pt>
                <c:pt idx="1">
                  <c:v>2022 Q2</c:v>
                </c:pt>
                <c:pt idx="2">
                  <c:v>2023 Q1</c:v>
                </c:pt>
                <c:pt idx="3">
                  <c:v>2023 Q2</c:v>
                </c:pt>
              </c:strCache>
            </c:strRef>
          </c:cat>
          <c:val>
            <c:numRef>
              <c:f>'Quarterly Emission Trends by Fa'!$F$4:$F$8</c:f>
              <c:numCache>
                <c:formatCode>General</c:formatCode>
                <c:ptCount val="4"/>
                <c:pt idx="0">
                  <c:v>259864.58492950001</c:v>
                </c:pt>
                <c:pt idx="1">
                  <c:v>306288.77440559992</c:v>
                </c:pt>
                <c:pt idx="2">
                  <c:v>300529.82690450014</c:v>
                </c:pt>
                <c:pt idx="3">
                  <c:v>261316.88260730001</c:v>
                </c:pt>
              </c:numCache>
            </c:numRef>
          </c:val>
          <c:smooth val="0"/>
          <c:extLst>
            <c:ext xmlns:c16="http://schemas.microsoft.com/office/drawing/2014/chart" uri="{C3380CC4-5D6E-409C-BE32-E72D297353CC}">
              <c16:uniqueId val="{00000003-457A-4F76-8B0A-9E8A7B530637}"/>
            </c:ext>
          </c:extLst>
        </c:ser>
        <c:dLbls>
          <c:showLegendKey val="0"/>
          <c:showVal val="0"/>
          <c:showCatName val="0"/>
          <c:showSerName val="0"/>
          <c:showPercent val="0"/>
          <c:showBubbleSize val="0"/>
        </c:dLbls>
        <c:smooth val="0"/>
        <c:axId val="1598120752"/>
        <c:axId val="1598121232"/>
      </c:lineChart>
      <c:catAx>
        <c:axId val="1598120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Reporting</a:t>
                </a:r>
                <a:r>
                  <a:rPr lang="en-US" baseline="0"/>
                  <a:t> Period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121232"/>
        <c:crosses val="autoZero"/>
        <c:auto val="1"/>
        <c:lblAlgn val="ctr"/>
        <c:lblOffset val="100"/>
        <c:noMultiLvlLbl val="0"/>
      </c:catAx>
      <c:valAx>
        <c:axId val="1598121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rPr>
                  <a:t>Total Emissions (tons)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12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[ESG Data Analytics Task.xlsx]Quarterly Emission Trends by Fa!PivotTable8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Total Emissions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'Quarterly Emission Trends by Fa'!$J$2</c:f>
              <c:strCache>
                <c:ptCount val="1"/>
                <c:pt idx="0">
                  <c:v>Total</c:v>
                </c:pt>
              </c:strCache>
            </c:strRef>
          </c:tx>
          <c:spPr>
            <a:ln w="28575" cap="rnd">
              <a:solidFill>
                <a:schemeClr val="accent1"/>
              </a:solidFill>
              <a:round/>
            </a:ln>
            <a:effectLst/>
          </c:spPr>
          <c:marker>
            <c:symbol val="none"/>
          </c:marker>
          <c:cat>
            <c:strRef>
              <c:f>'Quarterly Emission Trends by Fa'!$I$3:$I$7</c:f>
              <c:strCache>
                <c:ptCount val="4"/>
                <c:pt idx="0">
                  <c:v>2022 Q1</c:v>
                </c:pt>
                <c:pt idx="1">
                  <c:v>2022 Q2</c:v>
                </c:pt>
                <c:pt idx="2">
                  <c:v>2023 Q1</c:v>
                </c:pt>
                <c:pt idx="3">
                  <c:v>2023 Q2</c:v>
                </c:pt>
              </c:strCache>
            </c:strRef>
          </c:cat>
          <c:val>
            <c:numRef>
              <c:f>'Quarterly Emission Trends by Fa'!$J$3:$J$7</c:f>
              <c:numCache>
                <c:formatCode>General</c:formatCode>
                <c:ptCount val="4"/>
                <c:pt idx="0">
                  <c:v>1256202.8636468977</c:v>
                </c:pt>
                <c:pt idx="1">
                  <c:v>1357086.2778158016</c:v>
                </c:pt>
                <c:pt idx="2">
                  <c:v>1346028.9697205001</c:v>
                </c:pt>
                <c:pt idx="3">
                  <c:v>1257073.9556838011</c:v>
                </c:pt>
              </c:numCache>
            </c:numRef>
          </c:val>
          <c:smooth val="0"/>
          <c:extLst>
            <c:ext xmlns:c16="http://schemas.microsoft.com/office/drawing/2014/chart" uri="{C3380CC4-5D6E-409C-BE32-E72D297353CC}">
              <c16:uniqueId val="{00000000-690C-463C-90B0-596B833B3803}"/>
            </c:ext>
          </c:extLst>
        </c:ser>
        <c:dLbls>
          <c:showLegendKey val="0"/>
          <c:showVal val="0"/>
          <c:showCatName val="0"/>
          <c:showSerName val="0"/>
          <c:showPercent val="0"/>
          <c:showBubbleSize val="0"/>
        </c:dLbls>
        <c:smooth val="0"/>
        <c:axId val="1684178720"/>
        <c:axId val="1684162880"/>
      </c:lineChart>
      <c:catAx>
        <c:axId val="168417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162880"/>
        <c:crosses val="autoZero"/>
        <c:auto val="1"/>
        <c:lblAlgn val="ctr"/>
        <c:lblOffset val="100"/>
        <c:noMultiLvlLbl val="0"/>
      </c:catAx>
      <c:valAx>
        <c:axId val="168416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17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[ESG Data Analytics Task.xlsx]Facility Emissions Comparison (!PivotTable6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Facility Emissions Comparison (2023 Q2)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'Facility Emissions Comparison ('!$B$3</c:f>
              <c:strCache>
                <c:ptCount val="1"/>
                <c:pt idx="0">
                  <c:v>Total</c:v>
                </c:pt>
              </c:strCache>
            </c:strRef>
          </c:tx>
          <c:spPr>
            <a:solidFill>
              <a:schemeClr val="accent1"/>
            </a:solidFill>
            <a:ln>
              <a:noFill/>
            </a:ln>
            <a:effectLst/>
          </c:spPr>
          <c:invertIfNegative val="0"/>
          <c:cat>
            <c:strRef>
              <c:f>'Facility Emissions Comparison ('!$A$4:$A$9</c:f>
              <c:strCache>
                <c:ptCount val="5"/>
                <c:pt idx="0">
                  <c:v>Adani Green</c:v>
                </c:pt>
                <c:pt idx="1">
                  <c:v>Tata Steel</c:v>
                </c:pt>
                <c:pt idx="2">
                  <c:v>Reliance Industries</c:v>
                </c:pt>
                <c:pt idx="3">
                  <c:v>JSW Energy</c:v>
                </c:pt>
                <c:pt idx="4">
                  <c:v>L&amp;T</c:v>
                </c:pt>
              </c:strCache>
            </c:strRef>
          </c:cat>
          <c:val>
            <c:numRef>
              <c:f>'Facility Emissions Comparison ('!$B$4:$B$9</c:f>
              <c:numCache>
                <c:formatCode>General</c:formatCode>
                <c:ptCount val="5"/>
                <c:pt idx="0">
                  <c:v>1361113.315829301</c:v>
                </c:pt>
                <c:pt idx="1">
                  <c:v>1128000.0688469009</c:v>
                </c:pt>
                <c:pt idx="2">
                  <c:v>964689.58790669881</c:v>
                </c:pt>
                <c:pt idx="3">
                  <c:v>946514.48503819993</c:v>
                </c:pt>
                <c:pt idx="4">
                  <c:v>816074.60924589948</c:v>
                </c:pt>
              </c:numCache>
            </c:numRef>
          </c:val>
          <c:extLst>
            <c:ext xmlns:c16="http://schemas.microsoft.com/office/drawing/2014/chart" uri="{C3380CC4-5D6E-409C-BE32-E72D297353CC}">
              <c16:uniqueId val="{00000000-B40F-4980-AA78-315149A39E81}"/>
            </c:ext>
          </c:extLst>
        </c:ser>
        <c:dLbls>
          <c:showLegendKey val="0"/>
          <c:showVal val="0"/>
          <c:showCatName val="0"/>
          <c:showSerName val="0"/>
          <c:showPercent val="0"/>
          <c:showBubbleSize val="0"/>
        </c:dLbls>
        <c:gapWidth val="219"/>
        <c:overlap val="-27"/>
        <c:axId val="1206732432"/>
        <c:axId val="1206746832"/>
      </c:barChart>
      <c:catAx>
        <c:axId val="1206732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Facility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746832"/>
        <c:crosses val="autoZero"/>
        <c:auto val="1"/>
        <c:lblAlgn val="ctr"/>
        <c:lblOffset val="100"/>
        <c:noMultiLvlLbl val="0"/>
      </c:catAx>
      <c:valAx>
        <c:axId val="1206746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rPr>
                  <a:t>Total Emissions (tons)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73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[ESG Data Analytics Task.xlsx]Contribution of Scope!PivotTable7</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Contribution of each scope to total emissions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'Contribution of Scope'!$B$3:$B$4</c:f>
              <c:strCache>
                <c:ptCount val="1"/>
                <c:pt idx="0">
                  <c:v>Scope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'Contribution of Scope'!$A$5:$A$10</c:f>
              <c:strCache>
                <c:ptCount val="5"/>
                <c:pt idx="0">
                  <c:v>Adani Green</c:v>
                </c:pt>
                <c:pt idx="1">
                  <c:v>JSW Energy</c:v>
                </c:pt>
                <c:pt idx="2">
                  <c:v>L&amp;T</c:v>
                </c:pt>
                <c:pt idx="3">
                  <c:v>Reliance Industries</c:v>
                </c:pt>
                <c:pt idx="4">
                  <c:v>Tata Steel</c:v>
                </c:pt>
              </c:strCache>
            </c:strRef>
          </c:cat>
          <c:val>
            <c:numRef>
              <c:f>'Contribution of Scope'!$B$5:$B$10</c:f>
              <c:numCache>
                <c:formatCode>General</c:formatCode>
                <c:ptCount val="5"/>
                <c:pt idx="0">
                  <c:v>472128.33000000019</c:v>
                </c:pt>
                <c:pt idx="1">
                  <c:v>333523.87000000011</c:v>
                </c:pt>
                <c:pt idx="2">
                  <c:v>275810.67000000004</c:v>
                </c:pt>
                <c:pt idx="3">
                  <c:v>280089.42999999982</c:v>
                </c:pt>
                <c:pt idx="4">
                  <c:v>402291.23000000016</c:v>
                </c:pt>
              </c:numCache>
            </c:numRef>
          </c:val>
          <c:extLst>
            <c:ext xmlns:c16="http://schemas.microsoft.com/office/drawing/2014/chart" uri="{C3380CC4-5D6E-409C-BE32-E72D297353CC}">
              <c16:uniqueId val="{00000000-201D-4E54-95A6-AE30C10D8BA3}"/>
            </c:ext>
          </c:extLst>
        </c:ser>
        <c:ser>
          <c:idx val="1"/>
          <c:order val="1"/>
          <c:tx>
            <c:strRef>
              <c:f>'Contribution of Scope'!$C$3:$C$4</c:f>
              <c:strCache>
                <c:ptCount val="1"/>
                <c:pt idx="0">
                  <c:v>Scope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'Contribution of Scope'!$A$5:$A$10</c:f>
              <c:strCache>
                <c:ptCount val="5"/>
                <c:pt idx="0">
                  <c:v>Adani Green</c:v>
                </c:pt>
                <c:pt idx="1">
                  <c:v>JSW Energy</c:v>
                </c:pt>
                <c:pt idx="2">
                  <c:v>L&amp;T</c:v>
                </c:pt>
                <c:pt idx="3">
                  <c:v>Reliance Industries</c:v>
                </c:pt>
                <c:pt idx="4">
                  <c:v>Tata Steel</c:v>
                </c:pt>
              </c:strCache>
            </c:strRef>
          </c:cat>
          <c:val>
            <c:numRef>
              <c:f>'Contribution of Scope'!$C$5:$C$10</c:f>
              <c:numCache>
                <c:formatCode>General</c:formatCode>
                <c:ptCount val="5"/>
                <c:pt idx="0">
                  <c:v>450934.48000000004</c:v>
                </c:pt>
                <c:pt idx="1">
                  <c:v>320044.65999999997</c:v>
                </c:pt>
                <c:pt idx="2">
                  <c:v>253401.97</c:v>
                </c:pt>
                <c:pt idx="3">
                  <c:v>325701.40000000002</c:v>
                </c:pt>
                <c:pt idx="4">
                  <c:v>335605.63</c:v>
                </c:pt>
              </c:numCache>
            </c:numRef>
          </c:val>
          <c:extLst>
            <c:ext xmlns:c16="http://schemas.microsoft.com/office/drawing/2014/chart" uri="{C3380CC4-5D6E-409C-BE32-E72D297353CC}">
              <c16:uniqueId val="{00000003-D2C6-4B2E-A2A0-82DF77FCDFA4}"/>
            </c:ext>
          </c:extLst>
        </c:ser>
        <c:ser>
          <c:idx val="2"/>
          <c:order val="2"/>
          <c:tx>
            <c:strRef>
              <c:f>'Contribution of Scope'!$D$3:$D$4</c:f>
              <c:strCache>
                <c:ptCount val="1"/>
                <c:pt idx="0">
                  <c:v>Scope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'Contribution of Scope'!$A$5:$A$10</c:f>
              <c:strCache>
                <c:ptCount val="5"/>
                <c:pt idx="0">
                  <c:v>Adani Green</c:v>
                </c:pt>
                <c:pt idx="1">
                  <c:v>JSW Energy</c:v>
                </c:pt>
                <c:pt idx="2">
                  <c:v>L&amp;T</c:v>
                </c:pt>
                <c:pt idx="3">
                  <c:v>Reliance Industries</c:v>
                </c:pt>
                <c:pt idx="4">
                  <c:v>Tata Steel</c:v>
                </c:pt>
              </c:strCache>
            </c:strRef>
          </c:cat>
          <c:val>
            <c:numRef>
              <c:f>'Contribution of Scope'!$D$5:$D$10</c:f>
              <c:numCache>
                <c:formatCode>General</c:formatCode>
                <c:ptCount val="5"/>
                <c:pt idx="0">
                  <c:v>438050.50582930009</c:v>
                </c:pt>
                <c:pt idx="1">
                  <c:v>292945.95503820002</c:v>
                </c:pt>
                <c:pt idx="2">
                  <c:v>286861.96924589999</c:v>
                </c:pt>
                <c:pt idx="3">
                  <c:v>358898.75790670008</c:v>
                </c:pt>
                <c:pt idx="4">
                  <c:v>390103.20884690015</c:v>
                </c:pt>
              </c:numCache>
            </c:numRef>
          </c:val>
          <c:extLst>
            <c:ext xmlns:c16="http://schemas.microsoft.com/office/drawing/2014/chart" uri="{C3380CC4-5D6E-409C-BE32-E72D297353CC}">
              <c16:uniqueId val="{00000004-D2C6-4B2E-A2A0-82DF77FCDFA4}"/>
            </c:ext>
          </c:extLst>
        </c:ser>
        <c:dLbls>
          <c:dLblPos val="ctr"/>
          <c:showLegendKey val="0"/>
          <c:showVal val="1"/>
          <c:showCatName val="0"/>
          <c:showSerName val="0"/>
          <c:showPercent val="0"/>
          <c:showBubbleSize val="0"/>
        </c:dLbls>
        <c:gapWidth val="150"/>
        <c:overlap val="100"/>
        <c:axId val="1206738672"/>
        <c:axId val="1206731472"/>
      </c:barChart>
      <c:catAx>
        <c:axId val="120673867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Facility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6731472"/>
        <c:crosses val="autoZero"/>
        <c:auto val="1"/>
        <c:lblAlgn val="ctr"/>
        <c:lblOffset val="100"/>
        <c:noMultiLvlLbl val="0"/>
      </c:catAx>
      <c:valAx>
        <c:axId val="12067314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Emissions (tons)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673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[ESG Data Analytics Task.xlsx]Energy Consumption Trend!PivotTable6</c:name>
    <c:fmtId val="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Energy Consumption Trend</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'Energy Consumption Trend'!$B$3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'Energy Consumption Trend'!$A$4:$A$8</c:f>
              <c:strCache>
                <c:ptCount val="4"/>
                <c:pt idx="0">
                  <c:v>2022 Q1</c:v>
                </c:pt>
                <c:pt idx="1">
                  <c:v>2022 Q2</c:v>
                </c:pt>
                <c:pt idx="2">
                  <c:v>2023 Q1</c:v>
                </c:pt>
                <c:pt idx="3">
                  <c:v>2023 Q2</c:v>
                </c:pt>
              </c:strCache>
            </c:strRef>
          </c:cat>
          <c:val>
            <c:numRef>
              <c:f>'Energy Consumption Trend'!$B$4:$B$8</c:f>
              <c:numCache>
                <c:formatCode>General</c:formatCode>
                <c:ptCount val="4"/>
                <c:pt idx="0">
                  <c:v>2537816.0299999989</c:v>
                </c:pt>
                <c:pt idx="1">
                  <c:v>2777778.4300000006</c:v>
                </c:pt>
                <c:pt idx="2">
                  <c:v>2820785.2499999991</c:v>
                </c:pt>
                <c:pt idx="3">
                  <c:v>2647831.7400000007</c:v>
                </c:pt>
              </c:numCache>
            </c:numRef>
          </c:val>
          <c:extLst>
            <c:ext xmlns:c16="http://schemas.microsoft.com/office/drawing/2014/chart" uri="{C3380CC4-5D6E-409C-BE32-E72D297353CC}">
              <c16:uniqueId val="{00000000-37BE-4E25-9169-5ABAE43497CE}"/>
            </c:ext>
          </c:extLst>
        </c:ser>
        <c:dLbls>
          <c:dLblPos val="inEnd"/>
          <c:showLegendKey val="0"/>
          <c:showVal val="1"/>
          <c:showCatName val="0"/>
          <c:showSerName val="0"/>
          <c:showPercent val="0"/>
          <c:showBubbleSize val="0"/>
        </c:dLbls>
        <c:gapWidth val="41"/>
        <c:axId val="1684164800"/>
        <c:axId val="1684182560"/>
      </c:barChart>
      <c:catAx>
        <c:axId val="1684164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84182560"/>
        <c:crosses val="autoZero"/>
        <c:auto val="1"/>
        <c:lblAlgn val="ctr"/>
        <c:lblOffset val="100"/>
        <c:noMultiLvlLbl val="0"/>
      </c:catAx>
      <c:valAx>
        <c:axId val="1684182560"/>
        <c:scaling>
          <c:orientation val="minMax"/>
        </c:scaling>
        <c:delete val="1"/>
        <c:axPos val="l"/>
        <c:numFmt formatCode="General" sourceLinked="1"/>
        <c:majorTickMark val="none"/>
        <c:minorTickMark val="none"/>
        <c:tickLblPos val="nextTo"/>
        <c:crossAx val="168416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[ESG Data Analytics Task.xlsx]Energy Consumption Trend!PivotTable9</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'Energy Consumption Trend'!$E$3:$E$4</c:f>
              <c:strCache>
                <c:ptCount val="1"/>
                <c:pt idx="0">
                  <c:v>2022 Q1</c:v>
                </c:pt>
              </c:strCache>
            </c:strRef>
          </c:tx>
          <c:spPr>
            <a:ln w="28575" cap="rnd">
              <a:solidFill>
                <a:schemeClr val="accent1"/>
              </a:solidFill>
              <a:round/>
            </a:ln>
            <a:effectLst/>
          </c:spPr>
          <c:marker>
            <c:symbol val="none"/>
          </c:marker>
          <c:cat>
            <c:strRef>
              <c:f>'Energy Consumption Trend'!$D$5:$D$10</c:f>
              <c:strCache>
                <c:ptCount val="5"/>
                <c:pt idx="0">
                  <c:v>Adani Green</c:v>
                </c:pt>
                <c:pt idx="1">
                  <c:v>JSW Energy</c:v>
                </c:pt>
                <c:pt idx="2">
                  <c:v>L&amp;T</c:v>
                </c:pt>
                <c:pt idx="3">
                  <c:v>Reliance Industries</c:v>
                </c:pt>
                <c:pt idx="4">
                  <c:v>Tata Steel</c:v>
                </c:pt>
              </c:strCache>
            </c:strRef>
          </c:cat>
          <c:val>
            <c:numRef>
              <c:f>'Energy Consumption Trend'!$E$5:$E$10</c:f>
              <c:numCache>
                <c:formatCode>General</c:formatCode>
                <c:ptCount val="5"/>
                <c:pt idx="0">
                  <c:v>8.2066888500050688</c:v>
                </c:pt>
                <c:pt idx="1">
                  <c:v>6.0512362412911589</c:v>
                </c:pt>
                <c:pt idx="2">
                  <c:v>5.4982929869757227</c:v>
                </c:pt>
                <c:pt idx="3">
                  <c:v>7.0515341173360309</c:v>
                </c:pt>
                <c:pt idx="4">
                  <c:v>6.6201883361475513</c:v>
                </c:pt>
              </c:numCache>
            </c:numRef>
          </c:val>
          <c:smooth val="0"/>
          <c:extLst>
            <c:ext xmlns:c16="http://schemas.microsoft.com/office/drawing/2014/chart" uri="{C3380CC4-5D6E-409C-BE32-E72D297353CC}">
              <c16:uniqueId val="{00000000-B4DE-406E-B42E-6930C7D5AA46}"/>
            </c:ext>
          </c:extLst>
        </c:ser>
        <c:ser>
          <c:idx val="1"/>
          <c:order val="1"/>
          <c:tx>
            <c:strRef>
              <c:f>'Energy Consumption Trend'!$F$3:$F$4</c:f>
              <c:strCache>
                <c:ptCount val="1"/>
                <c:pt idx="0">
                  <c:v>2022 Q2</c:v>
                </c:pt>
              </c:strCache>
            </c:strRef>
          </c:tx>
          <c:spPr>
            <a:ln w="28575" cap="rnd">
              <a:solidFill>
                <a:schemeClr val="accent2"/>
              </a:solidFill>
              <a:round/>
            </a:ln>
            <a:effectLst/>
          </c:spPr>
          <c:marker>
            <c:symbol val="none"/>
          </c:marker>
          <c:cat>
            <c:strRef>
              <c:f>'Energy Consumption Trend'!$D$5:$D$10</c:f>
              <c:strCache>
                <c:ptCount val="5"/>
                <c:pt idx="0">
                  <c:v>Adani Green</c:v>
                </c:pt>
                <c:pt idx="1">
                  <c:v>JSW Energy</c:v>
                </c:pt>
                <c:pt idx="2">
                  <c:v>L&amp;T</c:v>
                </c:pt>
                <c:pt idx="3">
                  <c:v>Reliance Industries</c:v>
                </c:pt>
                <c:pt idx="4">
                  <c:v>Tata Steel</c:v>
                </c:pt>
              </c:strCache>
            </c:strRef>
          </c:cat>
          <c:val>
            <c:numRef>
              <c:f>'Energy Consumption Trend'!$F$5:$F$10</c:f>
              <c:numCache>
                <c:formatCode>General</c:formatCode>
                <c:ptCount val="5"/>
                <c:pt idx="0">
                  <c:v>9.0201929735969006</c:v>
                </c:pt>
                <c:pt idx="1">
                  <c:v>8.6100811595246913</c:v>
                </c:pt>
                <c:pt idx="2">
                  <c:v>4.8916696645402755</c:v>
                </c:pt>
                <c:pt idx="3">
                  <c:v>5.9595570637026745</c:v>
                </c:pt>
                <c:pt idx="4">
                  <c:v>8.2100162289150358</c:v>
                </c:pt>
              </c:numCache>
            </c:numRef>
          </c:val>
          <c:smooth val="0"/>
          <c:extLst>
            <c:ext xmlns:c16="http://schemas.microsoft.com/office/drawing/2014/chart" uri="{C3380CC4-5D6E-409C-BE32-E72D297353CC}">
              <c16:uniqueId val="{00000005-B4DE-406E-B42E-6930C7D5AA46}"/>
            </c:ext>
          </c:extLst>
        </c:ser>
        <c:ser>
          <c:idx val="2"/>
          <c:order val="2"/>
          <c:tx>
            <c:strRef>
              <c:f>'Energy Consumption Trend'!$G$3:$G$4</c:f>
              <c:strCache>
                <c:ptCount val="1"/>
                <c:pt idx="0">
                  <c:v>2023 Q1</c:v>
                </c:pt>
              </c:strCache>
            </c:strRef>
          </c:tx>
          <c:spPr>
            <a:ln w="28575" cap="rnd">
              <a:solidFill>
                <a:schemeClr val="accent3"/>
              </a:solidFill>
              <a:round/>
            </a:ln>
            <a:effectLst/>
          </c:spPr>
          <c:marker>
            <c:symbol val="none"/>
          </c:marker>
          <c:cat>
            <c:strRef>
              <c:f>'Energy Consumption Trend'!$D$5:$D$10</c:f>
              <c:strCache>
                <c:ptCount val="5"/>
                <c:pt idx="0">
                  <c:v>Adani Green</c:v>
                </c:pt>
                <c:pt idx="1">
                  <c:v>JSW Energy</c:v>
                </c:pt>
                <c:pt idx="2">
                  <c:v>L&amp;T</c:v>
                </c:pt>
                <c:pt idx="3">
                  <c:v>Reliance Industries</c:v>
                </c:pt>
                <c:pt idx="4">
                  <c:v>Tata Steel</c:v>
                </c:pt>
              </c:strCache>
            </c:strRef>
          </c:cat>
          <c:val>
            <c:numRef>
              <c:f>'Energy Consumption Trend'!$G$5:$G$10</c:f>
              <c:numCache>
                <c:formatCode>General</c:formatCode>
                <c:ptCount val="5"/>
                <c:pt idx="0">
                  <c:v>8.6195184429833294</c:v>
                </c:pt>
                <c:pt idx="1">
                  <c:v>6.4130541517197992</c:v>
                </c:pt>
                <c:pt idx="2">
                  <c:v>5.6035447532095635</c:v>
                </c:pt>
                <c:pt idx="3">
                  <c:v>6.2211011045180102</c:v>
                </c:pt>
                <c:pt idx="4">
                  <c:v>7.8381201112783003</c:v>
                </c:pt>
              </c:numCache>
            </c:numRef>
          </c:val>
          <c:smooth val="0"/>
          <c:extLst>
            <c:ext xmlns:c16="http://schemas.microsoft.com/office/drawing/2014/chart" uri="{C3380CC4-5D6E-409C-BE32-E72D297353CC}">
              <c16:uniqueId val="{00000006-B4DE-406E-B42E-6930C7D5AA46}"/>
            </c:ext>
          </c:extLst>
        </c:ser>
        <c:ser>
          <c:idx val="3"/>
          <c:order val="3"/>
          <c:tx>
            <c:strRef>
              <c:f>'Energy Consumption Trend'!$H$3:$H$4</c:f>
              <c:strCache>
                <c:ptCount val="1"/>
                <c:pt idx="0">
                  <c:v>2023 Q2</c:v>
                </c:pt>
              </c:strCache>
            </c:strRef>
          </c:tx>
          <c:spPr>
            <a:ln w="28575" cap="rnd">
              <a:solidFill>
                <a:schemeClr val="accent4"/>
              </a:solidFill>
              <a:round/>
            </a:ln>
            <a:effectLst/>
          </c:spPr>
          <c:marker>
            <c:symbol val="none"/>
          </c:marker>
          <c:cat>
            <c:strRef>
              <c:f>'Energy Consumption Trend'!$D$5:$D$10</c:f>
              <c:strCache>
                <c:ptCount val="5"/>
                <c:pt idx="0">
                  <c:v>Adani Green</c:v>
                </c:pt>
                <c:pt idx="1">
                  <c:v>JSW Energy</c:v>
                </c:pt>
                <c:pt idx="2">
                  <c:v>L&amp;T</c:v>
                </c:pt>
                <c:pt idx="3">
                  <c:v>Reliance Industries</c:v>
                </c:pt>
                <c:pt idx="4">
                  <c:v>Tata Steel</c:v>
                </c:pt>
              </c:strCache>
            </c:strRef>
          </c:cat>
          <c:val>
            <c:numRef>
              <c:f>'Energy Consumption Trend'!$H$5:$H$10</c:f>
              <c:numCache>
                <c:formatCode>General</c:formatCode>
                <c:ptCount val="5"/>
                <c:pt idx="0">
                  <c:v>7.9020547427871533</c:v>
                </c:pt>
                <c:pt idx="1">
                  <c:v>7.5687466806312447</c:v>
                </c:pt>
                <c:pt idx="2">
                  <c:v>5.2624811369808739</c:v>
                </c:pt>
                <c:pt idx="3">
                  <c:v>6.0005337297814032</c:v>
                </c:pt>
                <c:pt idx="4">
                  <c:v>6.3774916733469293</c:v>
                </c:pt>
              </c:numCache>
            </c:numRef>
          </c:val>
          <c:smooth val="0"/>
          <c:extLst>
            <c:ext xmlns:c16="http://schemas.microsoft.com/office/drawing/2014/chart" uri="{C3380CC4-5D6E-409C-BE32-E72D297353CC}">
              <c16:uniqueId val="{00000007-B4DE-406E-B42E-6930C7D5AA46}"/>
            </c:ext>
          </c:extLst>
        </c:ser>
        <c:dLbls>
          <c:showLegendKey val="0"/>
          <c:showVal val="0"/>
          <c:showCatName val="0"/>
          <c:showSerName val="0"/>
          <c:showPercent val="0"/>
          <c:showBubbleSize val="0"/>
        </c:dLbls>
        <c:smooth val="0"/>
        <c:axId val="1732032000"/>
        <c:axId val="1732032480"/>
      </c:lineChart>
      <c:catAx>
        <c:axId val="173203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032480"/>
        <c:crosses val="autoZero"/>
        <c:auto val="1"/>
        <c:lblAlgn val="ctr"/>
        <c:lblOffset val="100"/>
        <c:noMultiLvlLbl val="0"/>
      </c:catAx>
      <c:valAx>
        <c:axId val="173203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03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[ESG Data Analytics Task.xlsx]Production Efficiency!PivotTable5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Production Efficiency by Facility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'Production Efficiency'!$B$3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 Efficiency'!$A$4:$A$9</c:f>
              <c:strCache>
                <c:ptCount val="5"/>
                <c:pt idx="0">
                  <c:v>Adani Green</c:v>
                </c:pt>
                <c:pt idx="1">
                  <c:v>JSW Energy</c:v>
                </c:pt>
                <c:pt idx="2">
                  <c:v>L&amp;T</c:v>
                </c:pt>
                <c:pt idx="3">
                  <c:v>Reliance Industries</c:v>
                </c:pt>
                <c:pt idx="4">
                  <c:v>Tata Steel</c:v>
                </c:pt>
              </c:strCache>
            </c:strRef>
          </c:cat>
          <c:val>
            <c:numRef>
              <c:f>'Production Efficiency'!$B$4:$B$9</c:f>
              <c:numCache>
                <c:formatCode>General</c:formatCode>
                <c:ptCount val="5"/>
                <c:pt idx="0">
                  <c:v>21.59667946683032</c:v>
                </c:pt>
                <c:pt idx="1">
                  <c:v>19.602404710426793</c:v>
                </c:pt>
                <c:pt idx="2">
                  <c:v>20.228905314496462</c:v>
                </c:pt>
                <c:pt idx="3">
                  <c:v>20.970196272043257</c:v>
                </c:pt>
                <c:pt idx="4">
                  <c:v>21.320205259015903</c:v>
                </c:pt>
              </c:numCache>
            </c:numRef>
          </c:val>
          <c:extLst>
            <c:ext xmlns:c16="http://schemas.microsoft.com/office/drawing/2014/chart" uri="{C3380CC4-5D6E-409C-BE32-E72D297353CC}">
              <c16:uniqueId val="{00000000-6596-4746-91FF-CF79AD0C04C7}"/>
            </c:ext>
          </c:extLst>
        </c:ser>
        <c:dLbls>
          <c:dLblPos val="outEnd"/>
          <c:showLegendKey val="0"/>
          <c:showVal val="1"/>
          <c:showCatName val="0"/>
          <c:showSerName val="0"/>
          <c:showPercent val="0"/>
          <c:showBubbleSize val="0"/>
        </c:dLbls>
        <c:gapWidth val="219"/>
        <c:axId val="1684152320"/>
        <c:axId val="1684165280"/>
      </c:barChart>
      <c:catAx>
        <c:axId val="1684152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165280"/>
        <c:crosses val="autoZero"/>
        <c:auto val="1"/>
        <c:lblAlgn val="ctr"/>
        <c:lblOffset val="100"/>
        <c:noMultiLvlLbl val="0"/>
      </c:catAx>
      <c:valAx>
        <c:axId val="1684165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15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0.14958092738407699"/>
          <c:y val="0.17736111111111111"/>
          <c:w val="0.76997462817147855"/>
          <c:h val="0.71560987168270629"/>
        </c:manualLayout>
      </c:layout>
      <c:scatterChart>
        <c:scatterStyle val="lineMarker"/>
        <c:varyColors val="0"/>
        <c:ser>
          <c:idx val="0"/>
          <c:order val="0"/>
          <c:tx>
            <c:strRef>
              <c:f>'Scatter Plot'!$G$1</c:f>
              <c:strCache>
                <c:ptCount val="1"/>
                <c:pt idx="0">
                  <c:v>Sum of Production Volume (units)</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xVal>
            <c:numRef>
              <c:f>'Scatter Plot'!$F$2:$F$7</c:f>
              <c:numCache>
                <c:formatCode>General</c:formatCode>
                <c:ptCount val="6"/>
                <c:pt idx="0">
                  <c:v>1361113.315829301</c:v>
                </c:pt>
                <c:pt idx="1">
                  <c:v>946514.48503819993</c:v>
                </c:pt>
                <c:pt idx="2">
                  <c:v>816074.60924589948</c:v>
                </c:pt>
                <c:pt idx="3">
                  <c:v>964689.58790669881</c:v>
                </c:pt>
                <c:pt idx="4">
                  <c:v>1128000.0688469009</c:v>
                </c:pt>
                <c:pt idx="5">
                  <c:v>5216392.0668669995</c:v>
                </c:pt>
              </c:numCache>
            </c:numRef>
          </c:xVal>
          <c:yVal>
            <c:numRef>
              <c:f>'Scatter Plot'!$G$2:$G$7</c:f>
              <c:numCache>
                <c:formatCode>General</c:formatCode>
                <c:ptCount val="6"/>
                <c:pt idx="0">
                  <c:v>29395528</c:v>
                </c:pt>
                <c:pt idx="1">
                  <c:v>18553960</c:v>
                </c:pt>
                <c:pt idx="2">
                  <c:v>16508296</c:v>
                </c:pt>
                <c:pt idx="3">
                  <c:v>20229730</c:v>
                </c:pt>
                <c:pt idx="4">
                  <c:v>24049193</c:v>
                </c:pt>
                <c:pt idx="5">
                  <c:v>108736707</c:v>
                </c:pt>
              </c:numCache>
            </c:numRef>
          </c:yVal>
          <c:smooth val="0"/>
          <c:extLst>
            <c:ext xmlns:c16="http://schemas.microsoft.com/office/drawing/2014/chart" uri="{C3380CC4-5D6E-409C-BE32-E72D297353CC}">
              <c16:uniqueId val="{00000000-22B2-4FCF-B034-584E700CB4CF}"/>
            </c:ext>
          </c:extLst>
        </c:ser>
        <c:dLbls>
          <c:showLegendKey val="0"/>
          <c:showVal val="0"/>
          <c:showCatName val="0"/>
          <c:showSerName val="0"/>
          <c:showPercent val="0"/>
          <c:showBubbleSize val="0"/>
        </c:dLbls>
        <c:axId val="1206783312"/>
        <c:axId val="1206783792"/>
      </c:scatterChart>
      <c:valAx>
        <c:axId val="120678331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06783792"/>
        <c:crosses val="autoZero"/>
        <c:crossBetween val="midCat"/>
      </c:valAx>
      <c:valAx>
        <c:axId val="1206783792"/>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067833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142876</xdr:colOff>
      <xdr:row>3</xdr:row>
      <xdr:rowOff>142875</xdr:rowOff>
    </xdr:from>
    <xdr:to>
      <xdr:col>3</xdr:col>
      <xdr:colOff>1514475</xdr:colOff>
      <xdr:row>17</xdr:row>
      <xdr:rowOff>66674</xdr:rowOff>
    </xdr:to>
    <xdr:graphicFrame macro="">
      <xdr:nvGraphicFramePr>
        <xdr:cNvPr id="5" name="Chart 4">
          <a:extLst>
            <a:ext uri="{FF2B5EF4-FFF2-40B4-BE49-F238E27FC236}">
              <a16:creationId xmlns:a16="http://schemas.microsoft.com/office/drawing/2014/main" id="{09F01A10-8B94-4D6B-989B-614C3CD01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1771652</xdr:colOff>
      <xdr:row>3</xdr:row>
      <xdr:rowOff>142875</xdr:rowOff>
    </xdr:from>
    <xdr:to>
      <xdr:col>6</xdr:col>
      <xdr:colOff>1943100</xdr:colOff>
      <xdr:row>17</xdr:row>
      <xdr:rowOff>85725</xdr:rowOff>
    </xdr:to>
    <xdr:graphicFrame macro="">
      <xdr:nvGraphicFramePr>
        <xdr:cNvPr id="6" name="Chart 5">
          <a:extLst>
            <a:ext uri="{FF2B5EF4-FFF2-40B4-BE49-F238E27FC236}">
              <a16:creationId xmlns:a16="http://schemas.microsoft.com/office/drawing/2014/main" id="{AC8B8E6D-ACD3-4076-8E22-0193F2A13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142875</xdr:colOff>
      <xdr:row>18</xdr:row>
      <xdr:rowOff>38099</xdr:rowOff>
    </xdr:from>
    <xdr:to>
      <xdr:col>3</xdr:col>
      <xdr:colOff>1524000</xdr:colOff>
      <xdr:row>25</xdr:row>
      <xdr:rowOff>9524</xdr:rowOff>
    </xdr:to>
    <xdr:graphicFrame macro="">
      <xdr:nvGraphicFramePr>
        <xdr:cNvPr id="7" name="Chart 6">
          <a:extLst>
            <a:ext uri="{FF2B5EF4-FFF2-40B4-BE49-F238E27FC236}">
              <a16:creationId xmlns:a16="http://schemas.microsoft.com/office/drawing/2014/main" id="{3FC43441-71D1-47C2-BBBF-6685C4F74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2085975</xdr:colOff>
      <xdr:row>0</xdr:row>
      <xdr:rowOff>123825</xdr:rowOff>
    </xdr:from>
    <xdr:to>
      <xdr:col>9</xdr:col>
      <xdr:colOff>438150</xdr:colOff>
      <xdr:row>8</xdr:row>
      <xdr:rowOff>95250</xdr:rowOff>
    </xdr:to>
    <mc:AlternateContent xmlns:mc="http://schemas.openxmlformats.org/markup-compatibility/2006" xmlns:a14="http://schemas.microsoft.com/office/drawing/2010/main">
      <mc:Choice Requires="a14">
        <xdr:graphicFrame macro="">
          <xdr:nvGraphicFramePr>
            <xdr:cNvPr id="11" name="Facility Name 1">
              <a:extLst>
                <a:ext uri="{FF2B5EF4-FFF2-40B4-BE49-F238E27FC236}">
                  <a16:creationId xmlns:a16="http://schemas.microsoft.com/office/drawing/2014/main" id="{D0628500-FA12-61A2-1067-422D28939F16}"/>
                </a:ext>
              </a:extLst>
            </xdr:cNvPr>
            <xdr:cNvGraphicFramePr/>
          </xdr:nvGraphicFramePr>
          <xdr:xfrm>
            <a:off x="0" y="0"/>
            <a:ext cx="0" cy="0"/>
          </xdr:xfrm>
          <a:graphic>
            <a:graphicData uri="http://schemas.microsoft.com/office/drawing/2010/slicer">
              <sle:slicer xmlns:sle="http://schemas.microsoft.com/office/drawing/2010/slicer" name="Facility Name 1"/>
            </a:graphicData>
          </a:graphic>
        </xdr:graphicFrame>
      </mc:Choice>
      <mc:Fallback xmlns="">
        <xdr:sp macro="" textlink="">
          <xdr:nvSpPr>
            <xdr:cNvPr id="0" name=""/>
            <xdr:cNvSpPr>
              <a:spLocks noTextEdit="1"/>
            </xdr:cNvSpPr>
          </xdr:nvSpPr>
          <xdr:spPr>
            <a:xfrm>
              <a:off x="10277475" y="200025"/>
              <a:ext cx="182880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2114550</xdr:colOff>
      <xdr:row>9</xdr:row>
      <xdr:rowOff>47625</xdr:rowOff>
    </xdr:from>
    <xdr:to>
      <xdr:col>9</xdr:col>
      <xdr:colOff>466725</xdr:colOff>
      <xdr:row>17</xdr:row>
      <xdr:rowOff>85725</xdr:rowOff>
    </xdr:to>
    <mc:AlternateContent xmlns:mc="http://schemas.openxmlformats.org/markup-compatibility/2006" xmlns:a14="http://schemas.microsoft.com/office/drawing/2010/main">
      <mc:Choice Requires="a14">
        <xdr:graphicFrame macro="">
          <xdr:nvGraphicFramePr>
            <xdr:cNvPr id="12" name="Reporting Period 1">
              <a:extLst>
                <a:ext uri="{FF2B5EF4-FFF2-40B4-BE49-F238E27FC236}">
                  <a16:creationId xmlns:a16="http://schemas.microsoft.com/office/drawing/2014/main" id="{F238225B-F29F-1282-67B3-3CAC8C0F2FAD}"/>
                </a:ext>
              </a:extLst>
            </xdr:cNvPr>
            <xdr:cNvGraphicFramePr/>
          </xdr:nvGraphicFramePr>
          <xdr:xfrm>
            <a:off x="0" y="0"/>
            <a:ext cx="0" cy="0"/>
          </xdr:xfrm>
          <a:graphic>
            <a:graphicData uri="http://schemas.microsoft.com/office/drawing/2010/slicer">
              <sle:slicer xmlns:sle="http://schemas.microsoft.com/office/drawing/2010/slicer" name="Reporting Period 1"/>
            </a:graphicData>
          </a:graphic>
        </xdr:graphicFrame>
      </mc:Choice>
      <mc:Fallback xmlns="">
        <xdr:sp macro="" textlink="">
          <xdr:nvSpPr>
            <xdr:cNvPr id="0" name=""/>
            <xdr:cNvSpPr>
              <a:spLocks noTextEdit="1"/>
            </xdr:cNvSpPr>
          </xdr:nvSpPr>
          <xdr:spPr>
            <a:xfrm>
              <a:off x="10306050" y="2095500"/>
              <a:ext cx="182880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476250</xdr:colOff>
      <xdr:row>8</xdr:row>
      <xdr:rowOff>176212</xdr:rowOff>
    </xdr:from>
    <xdr:to>
      <xdr:col>5</xdr:col>
      <xdr:colOff>438150</xdr:colOff>
      <xdr:row>28</xdr:row>
      <xdr:rowOff>152400</xdr:rowOff>
    </xdr:to>
    <xdr:graphicFrame macro="">
      <xdr:nvGraphicFramePr>
        <xdr:cNvPr id="2" name="Chart 1">
          <a:extLst>
            <a:ext uri="{FF2B5EF4-FFF2-40B4-BE49-F238E27FC236}">
              <a16:creationId xmlns:a16="http://schemas.microsoft.com/office/drawing/2014/main" id="{736DD316-BFEB-B88F-044B-5DB377B3E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228600</xdr:colOff>
      <xdr:row>8</xdr:row>
      <xdr:rowOff>185736</xdr:rowOff>
    </xdr:from>
    <xdr:to>
      <xdr:col>10</xdr:col>
      <xdr:colOff>762000</xdr:colOff>
      <xdr:row>25</xdr:row>
      <xdr:rowOff>133349</xdr:rowOff>
    </xdr:to>
    <xdr:graphicFrame macro="">
      <xdr:nvGraphicFramePr>
        <xdr:cNvPr id="4" name="Chart 3">
          <a:extLst>
            <a:ext uri="{FF2B5EF4-FFF2-40B4-BE49-F238E27FC236}">
              <a16:creationId xmlns:a16="http://schemas.microsoft.com/office/drawing/2014/main" id="{E9588C77-D370-52F1-F2B4-C32062602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781050</xdr:colOff>
      <xdr:row>29</xdr:row>
      <xdr:rowOff>76200</xdr:rowOff>
    </xdr:from>
    <xdr:to>
      <xdr:col>1</xdr:col>
      <xdr:colOff>1028700</xdr:colOff>
      <xdr:row>43</xdr:row>
      <xdr:rowOff>76200</xdr:rowOff>
    </xdr:to>
    <mc:AlternateContent xmlns:mc="http://schemas.openxmlformats.org/markup-compatibility/2006" xmlns:a14="http://schemas.microsoft.com/office/drawing/2010/main">
      <mc:Choice Requires="a14">
        <xdr:graphicFrame macro="">
          <xdr:nvGraphicFramePr>
            <xdr:cNvPr id="9" name="Facility Name">
              <a:extLst>
                <a:ext uri="{FF2B5EF4-FFF2-40B4-BE49-F238E27FC236}">
                  <a16:creationId xmlns:a16="http://schemas.microsoft.com/office/drawing/2014/main" id="{66CBE6F1-5F83-43E0-EDDB-ED83E460C17A}"/>
                </a:ext>
              </a:extLst>
            </xdr:cNvPr>
            <xdr:cNvGraphicFramePr/>
          </xdr:nvGraphicFramePr>
          <xdr:xfrm>
            <a:off x="0" y="0"/>
            <a:ext cx="0" cy="0"/>
          </xdr:xfrm>
          <a:graphic>
            <a:graphicData uri="http://schemas.microsoft.com/office/drawing/2010/slicer">
              <sle:slicer xmlns:sle="http://schemas.microsoft.com/office/drawing/2010/slicer" name="Facility Name"/>
            </a:graphicData>
          </a:graphic>
        </xdr:graphicFrame>
      </mc:Choice>
      <mc:Fallback xmlns="">
        <xdr:sp macro="" textlink="">
          <xdr:nvSpPr>
            <xdr:cNvPr id="0" name=""/>
            <xdr:cNvSpPr>
              <a:spLocks noTextEdit="1"/>
            </xdr:cNvSpPr>
          </xdr:nvSpPr>
          <xdr:spPr>
            <a:xfrm>
              <a:off x="781050" y="56673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361950</xdr:colOff>
      <xdr:row>29</xdr:row>
      <xdr:rowOff>9525</xdr:rowOff>
    </xdr:from>
    <xdr:to>
      <xdr:col>4</xdr:col>
      <xdr:colOff>361950</xdr:colOff>
      <xdr:row>43</xdr:row>
      <xdr:rowOff>9525</xdr:rowOff>
    </xdr:to>
    <mc:AlternateContent xmlns:mc="http://schemas.openxmlformats.org/markup-compatibility/2006" xmlns:a14="http://schemas.microsoft.com/office/drawing/2010/main">
      <mc:Choice Requires="a14">
        <xdr:graphicFrame macro="">
          <xdr:nvGraphicFramePr>
            <xdr:cNvPr id="10" name="Reporting Period">
              <a:extLst>
                <a:ext uri="{FF2B5EF4-FFF2-40B4-BE49-F238E27FC236}">
                  <a16:creationId xmlns:a16="http://schemas.microsoft.com/office/drawing/2014/main" id="{A7B282D0-60F5-26E8-2024-B95F0D8501CA}"/>
                </a:ext>
              </a:extLst>
            </xdr:cNvPr>
            <xdr:cNvGraphicFramePr/>
          </xdr:nvGraphicFramePr>
          <xdr:xfrm>
            <a:off x="0" y="0"/>
            <a:ext cx="0" cy="0"/>
          </xdr:xfrm>
          <a:graphic>
            <a:graphicData uri="http://schemas.microsoft.com/office/drawing/2010/slicer">
              <sle:slicer xmlns:sle="http://schemas.microsoft.com/office/drawing/2010/slicer" name="Reporting Period"/>
            </a:graphicData>
          </a:graphic>
        </xdr:graphicFrame>
      </mc:Choice>
      <mc:Fallback xmlns="">
        <xdr:sp macro="" textlink="">
          <xdr:nvSpPr>
            <xdr:cNvPr id="0" name=""/>
            <xdr:cNvSpPr>
              <a:spLocks noTextEdit="1"/>
            </xdr:cNvSpPr>
          </xdr:nvSpPr>
          <xdr:spPr>
            <a:xfrm>
              <a:off x="3238500" y="56007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180975</xdr:colOff>
      <xdr:row>30</xdr:row>
      <xdr:rowOff>57150</xdr:rowOff>
    </xdr:from>
    <xdr:to>
      <xdr:col>9</xdr:col>
      <xdr:colOff>142875</xdr:colOff>
      <xdr:row>44</xdr:row>
      <xdr:rowOff>57150</xdr:rowOff>
    </xdr:to>
    <mc:AlternateContent xmlns:mc="http://schemas.openxmlformats.org/markup-compatibility/2006" xmlns:a14="http://schemas.microsoft.com/office/drawing/2010/main">
      <mc:Choice Requires="a14">
        <xdr:graphicFrame macro="">
          <xdr:nvGraphicFramePr>
            <xdr:cNvPr id="11" name="Scope">
              <a:extLst>
                <a:ext uri="{FF2B5EF4-FFF2-40B4-BE49-F238E27FC236}">
                  <a16:creationId xmlns:a16="http://schemas.microsoft.com/office/drawing/2014/main" id="{2DBBD001-FFC4-D64A-63D5-7957AB5515A7}"/>
                </a:ext>
              </a:extLst>
            </xdr:cNvPr>
            <xdr:cNvGraphicFramePr/>
          </xdr:nvGraphicFramePr>
          <xdr:xfrm>
            <a:off x="0" y="0"/>
            <a:ext cx="0" cy="0"/>
          </xdr:xfrm>
          <a:graphic>
            <a:graphicData uri="http://schemas.microsoft.com/office/drawing/2010/slicer">
              <sle:slicer xmlns:sle="http://schemas.microsoft.com/office/drawing/2010/slicer" name="Scope"/>
            </a:graphicData>
          </a:graphic>
        </xdr:graphicFrame>
      </mc:Choice>
      <mc:Fallback xmlns="">
        <xdr:sp macro="" textlink="">
          <xdr:nvSpPr>
            <xdr:cNvPr id="0" name=""/>
            <xdr:cNvSpPr>
              <a:spLocks noTextEdit="1"/>
            </xdr:cNvSpPr>
          </xdr:nvSpPr>
          <xdr:spPr>
            <a:xfrm>
              <a:off x="7981950" y="58388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962025</xdr:colOff>
      <xdr:row>30</xdr:row>
      <xdr:rowOff>19050</xdr:rowOff>
    </xdr:from>
    <xdr:to>
      <xdr:col>6</xdr:col>
      <xdr:colOff>609600</xdr:colOff>
      <xdr:row>44</xdr:row>
      <xdr:rowOff>19050</xdr:rowOff>
    </xdr:to>
    <mc:AlternateContent xmlns:mc="http://schemas.openxmlformats.org/markup-compatibility/2006" xmlns:a14="http://schemas.microsoft.com/office/drawing/2010/main">
      <mc:Choice Requires="a14">
        <xdr:graphicFrame macro="">
          <xdr:nvGraphicFramePr>
            <xdr:cNvPr id="12" name="GHG Type">
              <a:extLst>
                <a:ext uri="{FF2B5EF4-FFF2-40B4-BE49-F238E27FC236}">
                  <a16:creationId xmlns:a16="http://schemas.microsoft.com/office/drawing/2014/main" id="{DDD748CB-E8FD-F511-59A9-CEC3BC85929F}"/>
                </a:ext>
              </a:extLst>
            </xdr:cNvPr>
            <xdr:cNvGraphicFramePr/>
          </xdr:nvGraphicFramePr>
          <xdr:xfrm>
            <a:off x="0" y="0"/>
            <a:ext cx="0" cy="0"/>
          </xdr:xfrm>
          <a:graphic>
            <a:graphicData uri="http://schemas.microsoft.com/office/drawing/2010/slicer">
              <sle:slicer xmlns:sle="http://schemas.microsoft.com/office/drawing/2010/slicer" name="GHG Type"/>
            </a:graphicData>
          </a:graphic>
        </xdr:graphicFrame>
      </mc:Choice>
      <mc:Fallback xmlns="">
        <xdr:sp macro="" textlink="">
          <xdr:nvSpPr>
            <xdr:cNvPr id="0" name=""/>
            <xdr:cNvSpPr>
              <a:spLocks noTextEdit="1"/>
            </xdr:cNvSpPr>
          </xdr:nvSpPr>
          <xdr:spPr>
            <a:xfrm>
              <a:off x="5667375" y="58007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152399</xdr:colOff>
      <xdr:row>1</xdr:row>
      <xdr:rowOff>33337</xdr:rowOff>
    </xdr:from>
    <xdr:to>
      <xdr:col>11</xdr:col>
      <xdr:colOff>371474</xdr:colOff>
      <xdr:row>19</xdr:row>
      <xdr:rowOff>180975</xdr:rowOff>
    </xdr:to>
    <xdr:graphicFrame macro="">
      <xdr:nvGraphicFramePr>
        <xdr:cNvPr id="2" name="Chart 1">
          <a:extLst>
            <a:ext uri="{FF2B5EF4-FFF2-40B4-BE49-F238E27FC236}">
              <a16:creationId xmlns:a16="http://schemas.microsoft.com/office/drawing/2014/main" id="{FF19F8D4-1944-F57E-FFD5-6A0B1735C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200025</xdr:colOff>
      <xdr:row>16</xdr:row>
      <xdr:rowOff>0</xdr:rowOff>
    </xdr:from>
    <xdr:to>
      <xdr:col>18</xdr:col>
      <xdr:colOff>200025</xdr:colOff>
      <xdr:row>30</xdr:row>
      <xdr:rowOff>0</xdr:rowOff>
    </xdr:to>
    <mc:AlternateContent xmlns:mc="http://schemas.openxmlformats.org/markup-compatibility/2006" xmlns:a14="http://schemas.microsoft.com/office/drawing/2010/main">
      <mc:Choice Requires="a14">
        <xdr:graphicFrame macro="">
          <xdr:nvGraphicFramePr>
            <xdr:cNvPr id="3" name="Facility Name 6">
              <a:extLst>
                <a:ext uri="{FF2B5EF4-FFF2-40B4-BE49-F238E27FC236}">
                  <a16:creationId xmlns:a16="http://schemas.microsoft.com/office/drawing/2014/main" id="{F475FF82-BF79-787A-1AEA-786D43794E46}"/>
                </a:ext>
              </a:extLst>
            </xdr:cNvPr>
            <xdr:cNvGraphicFramePr/>
          </xdr:nvGraphicFramePr>
          <xdr:xfrm>
            <a:off x="0" y="0"/>
            <a:ext cx="0" cy="0"/>
          </xdr:xfrm>
          <a:graphic>
            <a:graphicData uri="http://schemas.microsoft.com/office/drawing/2010/slicer">
              <sle:slicer xmlns:sle="http://schemas.microsoft.com/office/drawing/2010/slicer" name="Facility Name 6"/>
            </a:graphicData>
          </a:graphic>
        </xdr:graphicFrame>
      </mc:Choice>
      <mc:Fallback xmlns="">
        <xdr:sp macro="" textlink="">
          <xdr:nvSpPr>
            <xdr:cNvPr id="0" name=""/>
            <xdr:cNvSpPr>
              <a:spLocks noTextEdit="1"/>
            </xdr:cNvSpPr>
          </xdr:nvSpPr>
          <xdr:spPr>
            <a:xfrm>
              <a:off x="10887075" y="3048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28575</xdr:colOff>
      <xdr:row>16</xdr:row>
      <xdr:rowOff>57150</xdr:rowOff>
    </xdr:from>
    <xdr:to>
      <xdr:col>15</xdr:col>
      <xdr:colOff>28575</xdr:colOff>
      <xdr:row>30</xdr:row>
      <xdr:rowOff>57150</xdr:rowOff>
    </xdr:to>
    <mc:AlternateContent xmlns:mc="http://schemas.openxmlformats.org/markup-compatibility/2006" xmlns:a14="http://schemas.microsoft.com/office/drawing/2010/main">
      <mc:Choice Requires="a14">
        <xdr:graphicFrame macro="">
          <xdr:nvGraphicFramePr>
            <xdr:cNvPr id="4" name="Reporting Period 6">
              <a:extLst>
                <a:ext uri="{FF2B5EF4-FFF2-40B4-BE49-F238E27FC236}">
                  <a16:creationId xmlns:a16="http://schemas.microsoft.com/office/drawing/2014/main" id="{F9A11DF8-A47F-C3A5-382F-636F4A8DE7F2}"/>
                </a:ext>
              </a:extLst>
            </xdr:cNvPr>
            <xdr:cNvGraphicFramePr/>
          </xdr:nvGraphicFramePr>
          <xdr:xfrm>
            <a:off x="0" y="0"/>
            <a:ext cx="0" cy="0"/>
          </xdr:xfrm>
          <a:graphic>
            <a:graphicData uri="http://schemas.microsoft.com/office/drawing/2010/slicer">
              <sle:slicer xmlns:sle="http://schemas.microsoft.com/office/drawing/2010/slicer" name="Reporting Period 6"/>
            </a:graphicData>
          </a:graphic>
        </xdr:graphicFrame>
      </mc:Choice>
      <mc:Fallback xmlns="">
        <xdr:sp macro="" textlink="">
          <xdr:nvSpPr>
            <xdr:cNvPr id="0" name=""/>
            <xdr:cNvSpPr>
              <a:spLocks noTextEdit="1"/>
            </xdr:cNvSpPr>
          </xdr:nvSpPr>
          <xdr:spPr>
            <a:xfrm>
              <a:off x="8886825" y="31051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504825</xdr:colOff>
      <xdr:row>1</xdr:row>
      <xdr:rowOff>28575</xdr:rowOff>
    </xdr:from>
    <xdr:to>
      <xdr:col>14</xdr:col>
      <xdr:colOff>504825</xdr:colOff>
      <xdr:row>15</xdr:row>
      <xdr:rowOff>28575</xdr:rowOff>
    </xdr:to>
    <mc:AlternateContent xmlns:mc="http://schemas.openxmlformats.org/markup-compatibility/2006" xmlns:a14="http://schemas.microsoft.com/office/drawing/2010/main">
      <mc:Choice Requires="a14">
        <xdr:graphicFrame macro="">
          <xdr:nvGraphicFramePr>
            <xdr:cNvPr id="5" name="Scope 5">
              <a:extLst>
                <a:ext uri="{FF2B5EF4-FFF2-40B4-BE49-F238E27FC236}">
                  <a16:creationId xmlns:a16="http://schemas.microsoft.com/office/drawing/2014/main" id="{58C1844F-831A-6120-6037-9BEA670B5347}"/>
                </a:ext>
              </a:extLst>
            </xdr:cNvPr>
            <xdr:cNvGraphicFramePr/>
          </xdr:nvGraphicFramePr>
          <xdr:xfrm>
            <a:off x="0" y="0"/>
            <a:ext cx="0" cy="0"/>
          </xdr:xfrm>
          <a:graphic>
            <a:graphicData uri="http://schemas.microsoft.com/office/drawing/2010/slicer">
              <sle:slicer xmlns:sle="http://schemas.microsoft.com/office/drawing/2010/slicer" name="Scope 5"/>
            </a:graphicData>
          </a:graphic>
        </xdr:graphicFrame>
      </mc:Choice>
      <mc:Fallback xmlns="">
        <xdr:sp macro="" textlink="">
          <xdr:nvSpPr>
            <xdr:cNvPr id="0" name=""/>
            <xdr:cNvSpPr>
              <a:spLocks noTextEdit="1"/>
            </xdr:cNvSpPr>
          </xdr:nvSpPr>
          <xdr:spPr>
            <a:xfrm>
              <a:off x="8753475" y="219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285750</xdr:colOff>
      <xdr:row>1</xdr:row>
      <xdr:rowOff>9525</xdr:rowOff>
    </xdr:from>
    <xdr:to>
      <xdr:col>18</xdr:col>
      <xdr:colOff>285750</xdr:colOff>
      <xdr:row>15</xdr:row>
      <xdr:rowOff>9525</xdr:rowOff>
    </xdr:to>
    <mc:AlternateContent xmlns:mc="http://schemas.openxmlformats.org/markup-compatibility/2006" xmlns:a14="http://schemas.microsoft.com/office/drawing/2010/main">
      <mc:Choice Requires="a14">
        <xdr:graphicFrame macro="">
          <xdr:nvGraphicFramePr>
            <xdr:cNvPr id="6" name="GHG Type 4">
              <a:extLst>
                <a:ext uri="{FF2B5EF4-FFF2-40B4-BE49-F238E27FC236}">
                  <a16:creationId xmlns:a16="http://schemas.microsoft.com/office/drawing/2014/main" id="{6A3B9CEC-CFAF-C323-F81A-CA6050F51980}"/>
                </a:ext>
              </a:extLst>
            </xdr:cNvPr>
            <xdr:cNvGraphicFramePr/>
          </xdr:nvGraphicFramePr>
          <xdr:xfrm>
            <a:off x="0" y="0"/>
            <a:ext cx="0" cy="0"/>
          </xdr:xfrm>
          <a:graphic>
            <a:graphicData uri="http://schemas.microsoft.com/office/drawing/2010/slicer">
              <sle:slicer xmlns:sle="http://schemas.microsoft.com/office/drawing/2010/slicer" name="GHG Type 4"/>
            </a:graphicData>
          </a:graphic>
        </xdr:graphicFrame>
      </mc:Choice>
      <mc:Fallback xmlns="">
        <xdr:sp macro="" textlink="">
          <xdr:nvSpPr>
            <xdr:cNvPr id="0" name=""/>
            <xdr:cNvSpPr>
              <a:spLocks noTextEdit="1"/>
            </xdr:cNvSpPr>
          </xdr:nvSpPr>
          <xdr:spPr>
            <a:xfrm>
              <a:off x="10972800" y="2000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314325</xdr:colOff>
      <xdr:row>1</xdr:row>
      <xdr:rowOff>157161</xdr:rowOff>
    </xdr:from>
    <xdr:to>
      <xdr:col>14</xdr:col>
      <xdr:colOff>238125</xdr:colOff>
      <xdr:row>19</xdr:row>
      <xdr:rowOff>142874</xdr:rowOff>
    </xdr:to>
    <xdr:graphicFrame macro="">
      <xdr:nvGraphicFramePr>
        <xdr:cNvPr id="2" name="Chart 1">
          <a:extLst>
            <a:ext uri="{FF2B5EF4-FFF2-40B4-BE49-F238E27FC236}">
              <a16:creationId xmlns:a16="http://schemas.microsoft.com/office/drawing/2014/main" id="{98E8EC7C-C1A6-05F1-1928-A83607725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581025</xdr:colOff>
      <xdr:row>21</xdr:row>
      <xdr:rowOff>19050</xdr:rowOff>
    </xdr:from>
    <xdr:to>
      <xdr:col>5</xdr:col>
      <xdr:colOff>581025</xdr:colOff>
      <xdr:row>31</xdr:row>
      <xdr:rowOff>104775</xdr:rowOff>
    </xdr:to>
    <mc:AlternateContent xmlns:mc="http://schemas.openxmlformats.org/markup-compatibility/2006" xmlns:a14="http://schemas.microsoft.com/office/drawing/2010/main">
      <mc:Choice Requires="a14">
        <xdr:graphicFrame macro="">
          <xdr:nvGraphicFramePr>
            <xdr:cNvPr id="3" name="Facility Name 5">
              <a:extLst>
                <a:ext uri="{FF2B5EF4-FFF2-40B4-BE49-F238E27FC236}">
                  <a16:creationId xmlns:a16="http://schemas.microsoft.com/office/drawing/2014/main" id="{172C2822-E263-9F09-6641-35C4E5D2DAB3}"/>
                </a:ext>
              </a:extLst>
            </xdr:cNvPr>
            <xdr:cNvGraphicFramePr/>
          </xdr:nvGraphicFramePr>
          <xdr:xfrm>
            <a:off x="0" y="0"/>
            <a:ext cx="0" cy="0"/>
          </xdr:xfrm>
          <a:graphic>
            <a:graphicData uri="http://schemas.microsoft.com/office/drawing/2010/slicer">
              <sle:slicer xmlns:sle="http://schemas.microsoft.com/office/drawing/2010/slicer" name="Facility Name 5"/>
            </a:graphicData>
          </a:graphic>
        </xdr:graphicFrame>
      </mc:Choice>
      <mc:Fallback xmlns="">
        <xdr:sp macro="" textlink="">
          <xdr:nvSpPr>
            <xdr:cNvPr id="0" name=""/>
            <xdr:cNvSpPr>
              <a:spLocks noTextEdit="1"/>
            </xdr:cNvSpPr>
          </xdr:nvSpPr>
          <xdr:spPr>
            <a:xfrm>
              <a:off x="4210050" y="4095750"/>
              <a:ext cx="1828800" cy="1990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228600</xdr:colOff>
      <xdr:row>21</xdr:row>
      <xdr:rowOff>85725</xdr:rowOff>
    </xdr:from>
    <xdr:to>
      <xdr:col>9</xdr:col>
      <xdr:colOff>228600</xdr:colOff>
      <xdr:row>30</xdr:row>
      <xdr:rowOff>38100</xdr:rowOff>
    </xdr:to>
    <mc:AlternateContent xmlns:mc="http://schemas.openxmlformats.org/markup-compatibility/2006" xmlns:a14="http://schemas.microsoft.com/office/drawing/2010/main">
      <mc:Choice Requires="a14">
        <xdr:graphicFrame macro="">
          <xdr:nvGraphicFramePr>
            <xdr:cNvPr id="4" name="Reporting Period 5">
              <a:extLst>
                <a:ext uri="{FF2B5EF4-FFF2-40B4-BE49-F238E27FC236}">
                  <a16:creationId xmlns:a16="http://schemas.microsoft.com/office/drawing/2014/main" id="{B7638953-DF82-654D-E16D-4E9B911EC3AA}"/>
                </a:ext>
              </a:extLst>
            </xdr:cNvPr>
            <xdr:cNvGraphicFramePr/>
          </xdr:nvGraphicFramePr>
          <xdr:xfrm>
            <a:off x="0" y="0"/>
            <a:ext cx="0" cy="0"/>
          </xdr:xfrm>
          <a:graphic>
            <a:graphicData uri="http://schemas.microsoft.com/office/drawing/2010/slicer">
              <sle:slicer xmlns:sle="http://schemas.microsoft.com/office/drawing/2010/slicer" name="Reporting Period 5"/>
            </a:graphicData>
          </a:graphic>
        </xdr:graphicFrame>
      </mc:Choice>
      <mc:Fallback xmlns="">
        <xdr:sp macro="" textlink="">
          <xdr:nvSpPr>
            <xdr:cNvPr id="0" name=""/>
            <xdr:cNvSpPr>
              <a:spLocks noTextEdit="1"/>
            </xdr:cNvSpPr>
          </xdr:nvSpPr>
          <xdr:spPr>
            <a:xfrm>
              <a:off x="6296025" y="4162425"/>
              <a:ext cx="1828800"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733425</xdr:colOff>
      <xdr:row>18</xdr:row>
      <xdr:rowOff>114300</xdr:rowOff>
    </xdr:from>
    <xdr:to>
      <xdr:col>3</xdr:col>
      <xdr:colOff>438150</xdr:colOff>
      <xdr:row>26</xdr:row>
      <xdr:rowOff>133350</xdr:rowOff>
    </xdr:to>
    <mc:AlternateContent xmlns:mc="http://schemas.openxmlformats.org/markup-compatibility/2006" xmlns:a14="http://schemas.microsoft.com/office/drawing/2010/main">
      <mc:Choice Requires="a14">
        <xdr:graphicFrame macro="">
          <xdr:nvGraphicFramePr>
            <xdr:cNvPr id="5" name="Scope 4">
              <a:extLst>
                <a:ext uri="{FF2B5EF4-FFF2-40B4-BE49-F238E27FC236}">
                  <a16:creationId xmlns:a16="http://schemas.microsoft.com/office/drawing/2014/main" id="{A68F2265-9717-E1B7-1C5A-93A68064EA02}"/>
                </a:ext>
              </a:extLst>
            </xdr:cNvPr>
            <xdr:cNvGraphicFramePr/>
          </xdr:nvGraphicFramePr>
          <xdr:xfrm>
            <a:off x="0" y="0"/>
            <a:ext cx="0" cy="0"/>
          </xdr:xfrm>
          <a:graphic>
            <a:graphicData uri="http://schemas.microsoft.com/office/drawing/2010/slicer">
              <sle:slicer xmlns:sle="http://schemas.microsoft.com/office/drawing/2010/slicer" name="Scope 4"/>
            </a:graphicData>
          </a:graphic>
        </xdr:graphicFrame>
      </mc:Choice>
      <mc:Fallback xmlns="">
        <xdr:sp macro="" textlink="">
          <xdr:nvSpPr>
            <xdr:cNvPr id="0" name=""/>
            <xdr:cNvSpPr>
              <a:spLocks noTextEdit="1"/>
            </xdr:cNvSpPr>
          </xdr:nvSpPr>
          <xdr:spPr>
            <a:xfrm>
              <a:off x="2314575" y="3619500"/>
              <a:ext cx="1828800"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19</xdr:row>
      <xdr:rowOff>0</xdr:rowOff>
    </xdr:from>
    <xdr:to>
      <xdr:col>1</xdr:col>
      <xdr:colOff>476250</xdr:colOff>
      <xdr:row>26</xdr:row>
      <xdr:rowOff>0</xdr:rowOff>
    </xdr:to>
    <mc:AlternateContent xmlns:mc="http://schemas.openxmlformats.org/markup-compatibility/2006" xmlns:a14="http://schemas.microsoft.com/office/drawing/2010/main">
      <mc:Choice Requires="a14">
        <xdr:graphicFrame macro="">
          <xdr:nvGraphicFramePr>
            <xdr:cNvPr id="6" name="GHG Type 3">
              <a:extLst>
                <a:ext uri="{FF2B5EF4-FFF2-40B4-BE49-F238E27FC236}">
                  <a16:creationId xmlns:a16="http://schemas.microsoft.com/office/drawing/2014/main" id="{7D5CC08E-BEA0-A34F-0AE3-B634DE69411A}"/>
                </a:ext>
              </a:extLst>
            </xdr:cNvPr>
            <xdr:cNvGraphicFramePr/>
          </xdr:nvGraphicFramePr>
          <xdr:xfrm>
            <a:off x="0" y="0"/>
            <a:ext cx="0" cy="0"/>
          </xdr:xfrm>
          <a:graphic>
            <a:graphicData uri="http://schemas.microsoft.com/office/drawing/2010/slicer">
              <sle:slicer xmlns:sle="http://schemas.microsoft.com/office/drawing/2010/slicer" name="GHG Type 3"/>
            </a:graphicData>
          </a:graphic>
        </xdr:graphicFrame>
      </mc:Choice>
      <mc:Fallback xmlns="">
        <xdr:sp macro="" textlink="">
          <xdr:nvSpPr>
            <xdr:cNvPr id="0" name=""/>
            <xdr:cNvSpPr>
              <a:spLocks noTextEdit="1"/>
            </xdr:cNvSpPr>
          </xdr:nvSpPr>
          <xdr:spPr>
            <a:xfrm>
              <a:off x="228600" y="3695700"/>
              <a:ext cx="182880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114299</xdr:colOff>
      <xdr:row>9</xdr:row>
      <xdr:rowOff>109537</xdr:rowOff>
    </xdr:from>
    <xdr:to>
      <xdr:col>2</xdr:col>
      <xdr:colOff>733424</xdr:colOff>
      <xdr:row>26</xdr:row>
      <xdr:rowOff>38100</xdr:rowOff>
    </xdr:to>
    <xdr:graphicFrame macro="">
      <xdr:nvGraphicFramePr>
        <xdr:cNvPr id="2" name="Chart 1">
          <a:extLst>
            <a:ext uri="{FF2B5EF4-FFF2-40B4-BE49-F238E27FC236}">
              <a16:creationId xmlns:a16="http://schemas.microsoft.com/office/drawing/2014/main" id="{CDAC0CFF-E490-81FD-E220-9B37208E9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57150</xdr:colOff>
      <xdr:row>10</xdr:row>
      <xdr:rowOff>38099</xdr:rowOff>
    </xdr:from>
    <xdr:to>
      <xdr:col>12</xdr:col>
      <xdr:colOff>57150</xdr:colOff>
      <xdr:row>20</xdr:row>
      <xdr:rowOff>47624</xdr:rowOff>
    </xdr:to>
    <mc:AlternateContent xmlns:mc="http://schemas.openxmlformats.org/markup-compatibility/2006" xmlns:a14="http://schemas.microsoft.com/office/drawing/2010/main">
      <mc:Choice Requires="a14">
        <xdr:graphicFrame macro="">
          <xdr:nvGraphicFramePr>
            <xdr:cNvPr id="3" name="Facility Name 3">
              <a:extLst>
                <a:ext uri="{FF2B5EF4-FFF2-40B4-BE49-F238E27FC236}">
                  <a16:creationId xmlns:a16="http://schemas.microsoft.com/office/drawing/2014/main" id="{1EE4AFC7-D617-DD6C-8947-C9DCABC32EF0}"/>
                </a:ext>
              </a:extLst>
            </xdr:cNvPr>
            <xdr:cNvGraphicFramePr/>
          </xdr:nvGraphicFramePr>
          <xdr:xfrm>
            <a:off x="0" y="0"/>
            <a:ext cx="0" cy="0"/>
          </xdr:xfrm>
          <a:graphic>
            <a:graphicData uri="http://schemas.microsoft.com/office/drawing/2010/slicer">
              <sle:slicer xmlns:sle="http://schemas.microsoft.com/office/drawing/2010/slicer" name="Facility Name 3"/>
            </a:graphicData>
          </a:graphic>
        </xdr:graphicFrame>
      </mc:Choice>
      <mc:Fallback xmlns="">
        <xdr:sp macro="" textlink="">
          <xdr:nvSpPr>
            <xdr:cNvPr id="0" name=""/>
            <xdr:cNvSpPr>
              <a:spLocks noTextEdit="1"/>
            </xdr:cNvSpPr>
          </xdr:nvSpPr>
          <xdr:spPr>
            <a:xfrm>
              <a:off x="11258550" y="2019299"/>
              <a:ext cx="1828800" cy="2009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333375</xdr:colOff>
      <xdr:row>9</xdr:row>
      <xdr:rowOff>104774</xdr:rowOff>
    </xdr:from>
    <xdr:to>
      <xdr:col>15</xdr:col>
      <xdr:colOff>333375</xdr:colOff>
      <xdr:row>18</xdr:row>
      <xdr:rowOff>123824</xdr:rowOff>
    </xdr:to>
    <mc:AlternateContent xmlns:mc="http://schemas.openxmlformats.org/markup-compatibility/2006" xmlns:a14="http://schemas.microsoft.com/office/drawing/2010/main">
      <mc:Choice Requires="a14">
        <xdr:graphicFrame macro="">
          <xdr:nvGraphicFramePr>
            <xdr:cNvPr id="4" name="Reporting Period 3">
              <a:extLst>
                <a:ext uri="{FF2B5EF4-FFF2-40B4-BE49-F238E27FC236}">
                  <a16:creationId xmlns:a16="http://schemas.microsoft.com/office/drawing/2014/main" id="{071FBBFB-841D-1CB7-87BE-F0A5CFF66063}"/>
                </a:ext>
              </a:extLst>
            </xdr:cNvPr>
            <xdr:cNvGraphicFramePr/>
          </xdr:nvGraphicFramePr>
          <xdr:xfrm>
            <a:off x="0" y="0"/>
            <a:ext cx="0" cy="0"/>
          </xdr:xfrm>
          <a:graphic>
            <a:graphicData uri="http://schemas.microsoft.com/office/drawing/2010/slicer">
              <sle:slicer xmlns:sle="http://schemas.microsoft.com/office/drawing/2010/slicer" name="Reporting Period 3"/>
            </a:graphicData>
          </a:graphic>
        </xdr:graphicFrame>
      </mc:Choice>
      <mc:Fallback xmlns="">
        <xdr:sp macro="" textlink="">
          <xdr:nvSpPr>
            <xdr:cNvPr id="0" name=""/>
            <xdr:cNvSpPr>
              <a:spLocks noTextEdit="1"/>
            </xdr:cNvSpPr>
          </xdr:nvSpPr>
          <xdr:spPr>
            <a:xfrm>
              <a:off x="13363575" y="1885949"/>
              <a:ext cx="1828800"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171450</xdr:colOff>
      <xdr:row>1</xdr:row>
      <xdr:rowOff>171450</xdr:rowOff>
    </xdr:from>
    <xdr:to>
      <xdr:col>12</xdr:col>
      <xdr:colOff>171450</xdr:colOff>
      <xdr:row>8</xdr:row>
      <xdr:rowOff>19050</xdr:rowOff>
    </xdr:to>
    <mc:AlternateContent xmlns:mc="http://schemas.openxmlformats.org/markup-compatibility/2006" xmlns:a14="http://schemas.microsoft.com/office/drawing/2010/main">
      <mc:Choice Requires="a14">
        <xdr:graphicFrame macro="">
          <xdr:nvGraphicFramePr>
            <xdr:cNvPr id="5" name="Scope 2">
              <a:extLst>
                <a:ext uri="{FF2B5EF4-FFF2-40B4-BE49-F238E27FC236}">
                  <a16:creationId xmlns:a16="http://schemas.microsoft.com/office/drawing/2014/main" id="{F7850EB7-5019-0758-465E-947206DE844C}"/>
                </a:ext>
              </a:extLst>
            </xdr:cNvPr>
            <xdr:cNvGraphicFramePr/>
          </xdr:nvGraphicFramePr>
          <xdr:xfrm>
            <a:off x="0" y="0"/>
            <a:ext cx="0" cy="0"/>
          </xdr:xfrm>
          <a:graphic>
            <a:graphicData uri="http://schemas.microsoft.com/office/drawing/2010/slicer">
              <sle:slicer xmlns:sle="http://schemas.microsoft.com/office/drawing/2010/slicer" name="Scope 2"/>
            </a:graphicData>
          </a:graphic>
        </xdr:graphicFrame>
      </mc:Choice>
      <mc:Fallback xmlns="">
        <xdr:sp macro="" textlink="">
          <xdr:nvSpPr>
            <xdr:cNvPr id="0" name=""/>
            <xdr:cNvSpPr>
              <a:spLocks noTextEdit="1"/>
            </xdr:cNvSpPr>
          </xdr:nvSpPr>
          <xdr:spPr>
            <a:xfrm>
              <a:off x="11372850" y="361950"/>
              <a:ext cx="18288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333375</xdr:colOff>
      <xdr:row>1</xdr:row>
      <xdr:rowOff>190499</xdr:rowOff>
    </xdr:from>
    <xdr:to>
      <xdr:col>15</xdr:col>
      <xdr:colOff>333375</xdr:colOff>
      <xdr:row>8</xdr:row>
      <xdr:rowOff>180974</xdr:rowOff>
    </xdr:to>
    <mc:AlternateContent xmlns:mc="http://schemas.openxmlformats.org/markup-compatibility/2006" xmlns:a14="http://schemas.microsoft.com/office/drawing/2010/main">
      <mc:Choice Requires="a14">
        <xdr:graphicFrame macro="">
          <xdr:nvGraphicFramePr>
            <xdr:cNvPr id="6" name="GHG Type 2">
              <a:extLst>
                <a:ext uri="{FF2B5EF4-FFF2-40B4-BE49-F238E27FC236}">
                  <a16:creationId xmlns:a16="http://schemas.microsoft.com/office/drawing/2014/main" id="{44A84961-E9D4-AA6A-238E-A2D94F31CD3E}"/>
                </a:ext>
              </a:extLst>
            </xdr:cNvPr>
            <xdr:cNvGraphicFramePr/>
          </xdr:nvGraphicFramePr>
          <xdr:xfrm>
            <a:off x="0" y="0"/>
            <a:ext cx="0" cy="0"/>
          </xdr:xfrm>
          <a:graphic>
            <a:graphicData uri="http://schemas.microsoft.com/office/drawing/2010/slicer">
              <sle:slicer xmlns:sle="http://schemas.microsoft.com/office/drawing/2010/slicer" name="GHG Type 2"/>
            </a:graphicData>
          </a:graphic>
        </xdr:graphicFrame>
      </mc:Choice>
      <mc:Fallback xmlns="">
        <xdr:sp macro="" textlink="">
          <xdr:nvSpPr>
            <xdr:cNvPr id="0" name=""/>
            <xdr:cNvSpPr>
              <a:spLocks noTextEdit="1"/>
            </xdr:cNvSpPr>
          </xdr:nvSpPr>
          <xdr:spPr>
            <a:xfrm>
              <a:off x="13363575" y="380999"/>
              <a:ext cx="182880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47625</xdr:colOff>
      <xdr:row>10</xdr:row>
      <xdr:rowOff>147637</xdr:rowOff>
    </xdr:from>
    <xdr:to>
      <xdr:col>7</xdr:col>
      <xdr:colOff>104775</xdr:colOff>
      <xdr:row>25</xdr:row>
      <xdr:rowOff>23812</xdr:rowOff>
    </xdr:to>
    <xdr:graphicFrame macro="">
      <xdr:nvGraphicFramePr>
        <xdr:cNvPr id="7" name="Chart 6">
          <a:extLst>
            <a:ext uri="{FF2B5EF4-FFF2-40B4-BE49-F238E27FC236}">
              <a16:creationId xmlns:a16="http://schemas.microsoft.com/office/drawing/2014/main" id="{7C1D1398-928D-8952-D86D-E5CADFDAC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200025</xdr:colOff>
      <xdr:row>1</xdr:row>
      <xdr:rowOff>14287</xdr:rowOff>
    </xdr:from>
    <xdr:to>
      <xdr:col>5</xdr:col>
      <xdr:colOff>285750</xdr:colOff>
      <xdr:row>19</xdr:row>
      <xdr:rowOff>114300</xdr:rowOff>
    </xdr:to>
    <xdr:graphicFrame macro="">
      <xdr:nvGraphicFramePr>
        <xdr:cNvPr id="4" name="Chart 3">
          <a:extLst>
            <a:ext uri="{FF2B5EF4-FFF2-40B4-BE49-F238E27FC236}">
              <a16:creationId xmlns:a16="http://schemas.microsoft.com/office/drawing/2014/main" id="{C125AAAC-6011-B765-3422-D8AA02E4A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352425</xdr:colOff>
      <xdr:row>8</xdr:row>
      <xdr:rowOff>123824</xdr:rowOff>
    </xdr:from>
    <xdr:to>
      <xdr:col>12</xdr:col>
      <xdr:colOff>352425</xdr:colOff>
      <xdr:row>18</xdr:row>
      <xdr:rowOff>180974</xdr:rowOff>
    </xdr:to>
    <mc:AlternateContent xmlns:mc="http://schemas.openxmlformats.org/markup-compatibility/2006" xmlns:a14="http://schemas.microsoft.com/office/drawing/2010/main">
      <mc:Choice Requires="a14">
        <xdr:graphicFrame macro="">
          <xdr:nvGraphicFramePr>
            <xdr:cNvPr id="5" name="Facility Name 2">
              <a:extLst>
                <a:ext uri="{FF2B5EF4-FFF2-40B4-BE49-F238E27FC236}">
                  <a16:creationId xmlns:a16="http://schemas.microsoft.com/office/drawing/2014/main" id="{77A81C14-FD71-2149-C0B2-D651A37D99AC}"/>
                </a:ext>
              </a:extLst>
            </xdr:cNvPr>
            <xdr:cNvGraphicFramePr/>
          </xdr:nvGraphicFramePr>
          <xdr:xfrm>
            <a:off x="0" y="0"/>
            <a:ext cx="0" cy="0"/>
          </xdr:xfrm>
          <a:graphic>
            <a:graphicData uri="http://schemas.microsoft.com/office/drawing/2010/slicer">
              <sle:slicer xmlns:sle="http://schemas.microsoft.com/office/drawing/2010/slicer" name="Facility Name 2"/>
            </a:graphicData>
          </a:graphic>
        </xdr:graphicFrame>
      </mc:Choice>
      <mc:Fallback xmlns="">
        <xdr:sp macro="" textlink="">
          <xdr:nvSpPr>
            <xdr:cNvPr id="0" name=""/>
            <xdr:cNvSpPr>
              <a:spLocks noTextEdit="1"/>
            </xdr:cNvSpPr>
          </xdr:nvSpPr>
          <xdr:spPr>
            <a:xfrm>
              <a:off x="10648950" y="1714499"/>
              <a:ext cx="1828800" cy="1971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114300</xdr:colOff>
      <xdr:row>8</xdr:row>
      <xdr:rowOff>152400</xdr:rowOff>
    </xdr:from>
    <xdr:to>
      <xdr:col>9</xdr:col>
      <xdr:colOff>114300</xdr:colOff>
      <xdr:row>16</xdr:row>
      <xdr:rowOff>180975</xdr:rowOff>
    </xdr:to>
    <mc:AlternateContent xmlns:mc="http://schemas.openxmlformats.org/markup-compatibility/2006" xmlns:a14="http://schemas.microsoft.com/office/drawing/2010/main">
      <mc:Choice Requires="a14">
        <xdr:graphicFrame macro="">
          <xdr:nvGraphicFramePr>
            <xdr:cNvPr id="6" name="Reporting Period 2">
              <a:extLst>
                <a:ext uri="{FF2B5EF4-FFF2-40B4-BE49-F238E27FC236}">
                  <a16:creationId xmlns:a16="http://schemas.microsoft.com/office/drawing/2014/main" id="{01780038-DEB5-7062-3D1B-8A8105154E00}"/>
                </a:ext>
              </a:extLst>
            </xdr:cNvPr>
            <xdr:cNvGraphicFramePr/>
          </xdr:nvGraphicFramePr>
          <xdr:xfrm>
            <a:off x="0" y="0"/>
            <a:ext cx="0" cy="0"/>
          </xdr:xfrm>
          <a:graphic>
            <a:graphicData uri="http://schemas.microsoft.com/office/drawing/2010/slicer">
              <sle:slicer xmlns:sle="http://schemas.microsoft.com/office/drawing/2010/slicer" name="Reporting Period 2"/>
            </a:graphicData>
          </a:graphic>
        </xdr:graphicFrame>
      </mc:Choice>
      <mc:Fallback xmlns="">
        <xdr:sp macro="" textlink="">
          <xdr:nvSpPr>
            <xdr:cNvPr id="0" name=""/>
            <xdr:cNvSpPr>
              <a:spLocks noTextEdit="1"/>
            </xdr:cNvSpPr>
          </xdr:nvSpPr>
          <xdr:spPr>
            <a:xfrm>
              <a:off x="8582025" y="1743075"/>
              <a:ext cx="182880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123825</xdr:colOff>
      <xdr:row>1</xdr:row>
      <xdr:rowOff>0</xdr:rowOff>
    </xdr:from>
    <xdr:to>
      <xdr:col>9</xdr:col>
      <xdr:colOff>123825</xdr:colOff>
      <xdr:row>8</xdr:row>
      <xdr:rowOff>47625</xdr:rowOff>
    </xdr:to>
    <mc:AlternateContent xmlns:mc="http://schemas.openxmlformats.org/markup-compatibility/2006" xmlns:a14="http://schemas.microsoft.com/office/drawing/2010/main">
      <mc:Choice Requires="a14">
        <xdr:graphicFrame macro="">
          <xdr:nvGraphicFramePr>
            <xdr:cNvPr id="7" name="Scope 1">
              <a:extLst>
                <a:ext uri="{FF2B5EF4-FFF2-40B4-BE49-F238E27FC236}">
                  <a16:creationId xmlns:a16="http://schemas.microsoft.com/office/drawing/2014/main" id="{B0A7D699-83B2-8235-7647-66E8DFF6F2FF}"/>
                </a:ext>
              </a:extLst>
            </xdr:cNvPr>
            <xdr:cNvGraphicFramePr/>
          </xdr:nvGraphicFramePr>
          <xdr:xfrm>
            <a:off x="0" y="0"/>
            <a:ext cx="0" cy="0"/>
          </xdr:xfrm>
          <a:graphic>
            <a:graphicData uri="http://schemas.microsoft.com/office/drawing/2010/slicer">
              <sle:slicer xmlns:sle="http://schemas.microsoft.com/office/drawing/2010/slicer" name="Scope 1"/>
            </a:graphicData>
          </a:graphic>
        </xdr:graphicFrame>
      </mc:Choice>
      <mc:Fallback xmlns="">
        <xdr:sp macro="" textlink="">
          <xdr:nvSpPr>
            <xdr:cNvPr id="0" name=""/>
            <xdr:cNvSpPr>
              <a:spLocks noTextEdit="1"/>
            </xdr:cNvSpPr>
          </xdr:nvSpPr>
          <xdr:spPr>
            <a:xfrm>
              <a:off x="8591550" y="200025"/>
              <a:ext cx="1828800"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428625</xdr:colOff>
      <xdr:row>1</xdr:row>
      <xdr:rowOff>38100</xdr:rowOff>
    </xdr:from>
    <xdr:to>
      <xdr:col>12</xdr:col>
      <xdr:colOff>428625</xdr:colOff>
      <xdr:row>7</xdr:row>
      <xdr:rowOff>190500</xdr:rowOff>
    </xdr:to>
    <mc:AlternateContent xmlns:mc="http://schemas.openxmlformats.org/markup-compatibility/2006" xmlns:a14="http://schemas.microsoft.com/office/drawing/2010/main">
      <mc:Choice Requires="a14">
        <xdr:graphicFrame macro="">
          <xdr:nvGraphicFramePr>
            <xdr:cNvPr id="8" name="GHG Type 1">
              <a:extLst>
                <a:ext uri="{FF2B5EF4-FFF2-40B4-BE49-F238E27FC236}">
                  <a16:creationId xmlns:a16="http://schemas.microsoft.com/office/drawing/2014/main" id="{0E4E57B9-7727-27AF-B07E-ED0B0A2D3872}"/>
                </a:ext>
              </a:extLst>
            </xdr:cNvPr>
            <xdr:cNvGraphicFramePr/>
          </xdr:nvGraphicFramePr>
          <xdr:xfrm>
            <a:off x="0" y="0"/>
            <a:ext cx="0" cy="0"/>
          </xdr:xfrm>
          <a:graphic>
            <a:graphicData uri="http://schemas.microsoft.com/office/drawing/2010/slicer">
              <sle:slicer xmlns:sle="http://schemas.microsoft.com/office/drawing/2010/slicer" name="GHG Type 1"/>
            </a:graphicData>
          </a:graphic>
        </xdr:graphicFrame>
      </mc:Choice>
      <mc:Fallback xmlns="">
        <xdr:sp macro="" textlink="">
          <xdr:nvSpPr>
            <xdr:cNvPr id="0" name=""/>
            <xdr:cNvSpPr>
              <a:spLocks noTextEdit="1"/>
            </xdr:cNvSpPr>
          </xdr:nvSpPr>
          <xdr:spPr>
            <a:xfrm>
              <a:off x="10725150" y="238125"/>
              <a:ext cx="1828800"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76200</xdr:colOff>
      <xdr:row>8</xdr:row>
      <xdr:rowOff>4762</xdr:rowOff>
    </xdr:from>
    <xdr:to>
      <xdr:col>6</xdr:col>
      <xdr:colOff>1276350</xdr:colOff>
      <xdr:row>22</xdr:row>
      <xdr:rowOff>80962</xdr:rowOff>
    </xdr:to>
    <xdr:graphicFrame macro="">
      <xdr:nvGraphicFramePr>
        <xdr:cNvPr id="4" name="Chart 3">
          <a:extLst>
            <a:ext uri="{FF2B5EF4-FFF2-40B4-BE49-F238E27FC236}">
              <a16:creationId xmlns:a16="http://schemas.microsoft.com/office/drawing/2014/main" id="{C6FCBFEA-A20D-4C06-20BB-0B50DFDA6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SOM" refreshedDate="45787.476618055553" createdVersion="8" refreshedVersion="8" minRefreshableVersion="3" recordCount="2000" xr:uid="{F6E24AE3-CEC0-40E4-8DD5-7EB04867F841}">
  <cacheSource type="worksheet">
    <worksheetSource ref="A1:F2001" sheet="Emission Data"/>
  </cacheSource>
  <cacheFields count="6">
    <cacheField name="Facility ID" numFmtId="0">
      <sharedItems/>
    </cacheField>
    <cacheField name="Facility Name" numFmtId="0">
      <sharedItems count="5">
        <s v="JSW Energy"/>
        <s v="L&amp;T"/>
        <s v="Reliance Industries"/>
        <s v="Tata Steel"/>
        <s v="Adani Green"/>
      </sharedItems>
    </cacheField>
    <cacheField name="Reporting Period" numFmtId="0">
      <sharedItems count="4">
        <s v="2022 Q1"/>
        <s v="2022 Q2"/>
        <s v="2023 Q2"/>
        <s v="2023 Q1"/>
      </sharedItems>
    </cacheField>
    <cacheField name="Scope" numFmtId="0">
      <sharedItems count="3">
        <s v="Scope 3"/>
        <s v="Scope 1"/>
        <s v="Scope 2"/>
      </sharedItems>
    </cacheField>
    <cacheField name="GHG Type" numFmtId="0">
      <sharedItems/>
    </cacheField>
    <cacheField name="Emissions (tons)" numFmtId="0">
      <sharedItems containsSemiMixedTypes="0" containsString="0" containsNumber="1" minValue="50.06" maxValue="5563.319544"/>
    </cacheField>
  </cacheFields>
  <extLst>
    <ext xmlns:x14="http://schemas.microsoft.com/office/spreadsheetml/2009/9/main" uri="{725AE2AE-9491-48be-B2B4-4EB974FC3084}">
      <x14:pivotCacheDefinition pivotCacheId="9133128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SOM" refreshedDate="45787.551211805556" createdVersion="8" refreshedVersion="8" minRefreshableVersion="3" recordCount="2000" xr:uid="{332B9EC8-8EA3-4485-BE9E-B75ECE5249D1}">
  <cacheSource type="worksheet">
    <worksheetSource ref="A1:I2001" sheet="Emission Data (2)"/>
  </cacheSource>
  <cacheFields count="9">
    <cacheField name="Facility ID" numFmtId="0">
      <sharedItems/>
    </cacheField>
    <cacheField name="Facility Name" numFmtId="0">
      <sharedItems count="5">
        <s v="JSW Energy"/>
        <s v="L&amp;T"/>
        <s v="Reliance Industries"/>
        <s v="Tata Steel"/>
        <s v="Adani Green"/>
      </sharedItems>
    </cacheField>
    <cacheField name="Reporting Period" numFmtId="0">
      <sharedItems count="4">
        <s v="2022 Q1"/>
        <s v="2022 Q2"/>
        <s v="2023 Q2"/>
        <s v="2023 Q1"/>
      </sharedItems>
    </cacheField>
    <cacheField name="Scope" numFmtId="0">
      <sharedItems count="3">
        <s v="Scope 3"/>
        <s v="Scope 1"/>
        <s v="Scope 2"/>
      </sharedItems>
    </cacheField>
    <cacheField name="GHG Type" numFmtId="0">
      <sharedItems count="3">
        <s v="CH₄"/>
        <s v="CO₂"/>
        <s v="N₂O"/>
      </sharedItems>
    </cacheField>
    <cacheField name="Emissions (tons)" numFmtId="0">
      <sharedItems containsSemiMixedTypes="0" containsString="0" containsNumber="1" minValue="50.06" maxValue="5563.319544"/>
    </cacheField>
    <cacheField name="Production Volume (units)" numFmtId="0">
      <sharedItems containsSemiMixedTypes="0" containsString="0" containsNumber="1" containsInteger="1" minValue="10067" maxValue="99115"/>
    </cacheField>
    <cacheField name="Energy Consumption (MWh)" numFmtId="0">
      <sharedItems containsSemiMixedTypes="0" containsString="0" containsNumber="1" minValue="524.72" maxValue="9860.6200000000008"/>
    </cacheField>
    <cacheField name="Waste (tons)" numFmtId="0">
      <sharedItems containsSemiMixedTypes="0" containsString="0" containsNumber="1" minValue="5.22" maxValue="98.78"/>
    </cacheField>
  </cacheFields>
  <extLst>
    <ext xmlns:x14="http://schemas.microsoft.com/office/spreadsheetml/2009/9/main" uri="{725AE2AE-9491-48be-B2B4-4EB974FC3084}">
      <x14:pivotCacheDefinition pivotCacheId="193956550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SOM" refreshedDate="45788.522925694444" createdVersion="8" refreshedVersion="8" minRefreshableVersion="3" recordCount="2000" xr:uid="{D3CCBDD3-B9E2-4EF7-B757-11E72280DC6D}">
  <cacheSource type="worksheet">
    <worksheetSource ref="A1:J2001" sheet="Emission Data (2)"/>
  </cacheSource>
  <cacheFields count="11">
    <cacheField name="Facility ID" numFmtId="0">
      <sharedItems/>
    </cacheField>
    <cacheField name="Facility Name" numFmtId="0">
      <sharedItems count="5">
        <s v="JSW Energy"/>
        <s v="L&amp;T"/>
        <s v="Reliance Industries"/>
        <s v="Tata Steel"/>
        <s v="Adani Green"/>
      </sharedItems>
    </cacheField>
    <cacheField name="Reporting Period" numFmtId="0">
      <sharedItems count="4">
        <s v="2022 Q1"/>
        <s v="2022 Q2"/>
        <s v="2023 Q2"/>
        <s v="2023 Q1"/>
      </sharedItems>
    </cacheField>
    <cacheField name="Scope" numFmtId="0">
      <sharedItems count="3">
        <s v="Scope 3"/>
        <s v="Scope 1"/>
        <s v="Scope 2"/>
      </sharedItems>
    </cacheField>
    <cacheField name="GHG Type" numFmtId="0">
      <sharedItems count="3">
        <s v="CH₄"/>
        <s v="CO₂"/>
        <s v="N₂O"/>
      </sharedItems>
    </cacheField>
    <cacheField name="Emissions (tons)" numFmtId="0">
      <sharedItems containsSemiMixedTypes="0" containsString="0" containsNumber="1" minValue="50.06" maxValue="5563.319544"/>
    </cacheField>
    <cacheField name="Production Volume (units)" numFmtId="0">
      <sharedItems containsSemiMixedTypes="0" containsString="0" containsNumber="1" containsInteger="1" minValue="10067" maxValue="99115"/>
    </cacheField>
    <cacheField name="Energy Consumption (MWh)" numFmtId="0">
      <sharedItems containsSemiMixedTypes="0" containsString="0" containsNumber="1" minValue="524.72" maxValue="9860.6200000000008"/>
    </cacheField>
    <cacheField name="Waste (tons)" numFmtId="0">
      <sharedItems containsSemiMixedTypes="0" containsString="0" containsNumber="1" minValue="5.22" maxValue="98.78"/>
    </cacheField>
    <cacheField name="Emission Intensity" numFmtId="0">
      <sharedItems containsSemiMixedTypes="0" containsString="0" containsNumber="1" minValue="7.503734387083788E-4" maxValue="0.48764746829268296"/>
    </cacheField>
    <cacheField name="Production Efficiency" numFmtId="0" formula="'Production Volume (units)'/'Emissions (tons)'" databaseField="0"/>
  </cacheFields>
  <extLst>
    <ext xmlns:x14="http://schemas.microsoft.com/office/spreadsheetml/2009/9/main" uri="{725AE2AE-9491-48be-B2B4-4EB974FC3084}">
      <x14:pivotCacheDefinition pivotCacheId="10711000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F088"/>
    <x v="0"/>
    <x v="0"/>
    <x v="0"/>
    <s v="CH₄"/>
    <n v="2435.5974080000001"/>
  </r>
  <r>
    <s v="F021"/>
    <x v="1"/>
    <x v="1"/>
    <x v="1"/>
    <s v="CO₂"/>
    <n v="835.45"/>
  </r>
  <r>
    <s v="F107"/>
    <x v="2"/>
    <x v="1"/>
    <x v="1"/>
    <s v="CO₂"/>
    <n v="3430.45"/>
  </r>
  <r>
    <s v="F106"/>
    <x v="3"/>
    <x v="0"/>
    <x v="1"/>
    <s v="CO₂"/>
    <n v="4214.24"/>
  </r>
  <r>
    <s v="F090"/>
    <x v="2"/>
    <x v="1"/>
    <x v="0"/>
    <s v="CH₄"/>
    <n v="605.59354689999998"/>
  </r>
  <r>
    <s v="F158"/>
    <x v="3"/>
    <x v="1"/>
    <x v="1"/>
    <s v="CH₄"/>
    <n v="656.33"/>
  </r>
  <r>
    <s v="F023"/>
    <x v="1"/>
    <x v="2"/>
    <x v="0"/>
    <s v="N₂O"/>
    <n v="4455.9340899999997"/>
  </r>
  <r>
    <s v="F153"/>
    <x v="3"/>
    <x v="1"/>
    <x v="0"/>
    <s v="CH₄"/>
    <n v="660.19753639999999"/>
  </r>
  <r>
    <s v="F079"/>
    <x v="2"/>
    <x v="2"/>
    <x v="0"/>
    <s v="CH₄"/>
    <n v="1883.3043130000001"/>
  </r>
  <r>
    <s v="F065"/>
    <x v="1"/>
    <x v="0"/>
    <x v="2"/>
    <s v="N₂O"/>
    <n v="221.01"/>
  </r>
  <r>
    <s v="F025"/>
    <x v="4"/>
    <x v="0"/>
    <x v="2"/>
    <s v="CH₄"/>
    <n v="4737.0600000000004"/>
  </r>
  <r>
    <s v="F104"/>
    <x v="4"/>
    <x v="0"/>
    <x v="0"/>
    <s v="N₂O"/>
    <n v="1951.279029"/>
  </r>
  <r>
    <s v="F137"/>
    <x v="0"/>
    <x v="1"/>
    <x v="2"/>
    <s v="CH₄"/>
    <n v="4320.1099999999997"/>
  </r>
  <r>
    <s v="F158"/>
    <x v="3"/>
    <x v="0"/>
    <x v="2"/>
    <s v="CO₂"/>
    <n v="2179.33"/>
  </r>
  <r>
    <s v="F101"/>
    <x v="3"/>
    <x v="3"/>
    <x v="1"/>
    <s v="CH₄"/>
    <n v="3612.19"/>
  </r>
  <r>
    <s v="F194"/>
    <x v="3"/>
    <x v="0"/>
    <x v="2"/>
    <s v="N₂O"/>
    <n v="1270.3599999999999"/>
  </r>
  <r>
    <s v="F057"/>
    <x v="1"/>
    <x v="2"/>
    <x v="2"/>
    <s v="CH₄"/>
    <n v="1630.06"/>
  </r>
  <r>
    <s v="F017"/>
    <x v="2"/>
    <x v="3"/>
    <x v="0"/>
    <s v="N₂O"/>
    <n v="3063.6059129999999"/>
  </r>
  <r>
    <s v="F120"/>
    <x v="4"/>
    <x v="0"/>
    <x v="0"/>
    <s v="N₂O"/>
    <n v="2447.4218510000001"/>
  </r>
  <r>
    <s v="F139"/>
    <x v="0"/>
    <x v="1"/>
    <x v="2"/>
    <s v="N₂O"/>
    <n v="4170.13"/>
  </r>
  <r>
    <s v="F166"/>
    <x v="3"/>
    <x v="2"/>
    <x v="0"/>
    <s v="CO₂"/>
    <n v="2099.6404550000002"/>
  </r>
  <r>
    <s v="F005"/>
    <x v="4"/>
    <x v="2"/>
    <x v="2"/>
    <s v="CO₂"/>
    <n v="3701.02"/>
  </r>
  <r>
    <s v="F060"/>
    <x v="4"/>
    <x v="2"/>
    <x v="2"/>
    <s v="CH₄"/>
    <n v="1262.77"/>
  </r>
  <r>
    <s v="F133"/>
    <x v="2"/>
    <x v="0"/>
    <x v="1"/>
    <s v="N₂O"/>
    <n v="2741.92"/>
  </r>
  <r>
    <s v="F025"/>
    <x v="4"/>
    <x v="0"/>
    <x v="1"/>
    <s v="N₂O"/>
    <n v="1824.14"/>
  </r>
  <r>
    <s v="F134"/>
    <x v="3"/>
    <x v="2"/>
    <x v="0"/>
    <s v="CH₄"/>
    <n v="738.43863229999999"/>
  </r>
  <r>
    <s v="F030"/>
    <x v="0"/>
    <x v="1"/>
    <x v="0"/>
    <s v="CO₂"/>
    <n v="2856.7613379999998"/>
  </r>
  <r>
    <s v="F091"/>
    <x v="4"/>
    <x v="1"/>
    <x v="1"/>
    <s v="N₂O"/>
    <n v="1787.35"/>
  </r>
  <r>
    <s v="F002"/>
    <x v="4"/>
    <x v="2"/>
    <x v="0"/>
    <s v="CO₂"/>
    <n v="5138.8326189999998"/>
  </r>
  <r>
    <s v="F121"/>
    <x v="3"/>
    <x v="0"/>
    <x v="0"/>
    <s v="CH₄"/>
    <n v="5005.4416869999995"/>
  </r>
  <r>
    <s v="F008"/>
    <x v="3"/>
    <x v="2"/>
    <x v="2"/>
    <s v="N₂O"/>
    <n v="4053.3"/>
  </r>
  <r>
    <s v="F198"/>
    <x v="3"/>
    <x v="2"/>
    <x v="2"/>
    <s v="N₂O"/>
    <n v="280.72000000000003"/>
  </r>
  <r>
    <s v="F087"/>
    <x v="4"/>
    <x v="2"/>
    <x v="1"/>
    <s v="N₂O"/>
    <n v="329.41"/>
  </r>
  <r>
    <s v="F175"/>
    <x v="3"/>
    <x v="1"/>
    <x v="1"/>
    <s v="CO₂"/>
    <n v="4133.74"/>
  </r>
  <r>
    <s v="F100"/>
    <x v="0"/>
    <x v="3"/>
    <x v="2"/>
    <s v="CO₂"/>
    <n v="2773.3"/>
  </r>
  <r>
    <s v="F042"/>
    <x v="1"/>
    <x v="1"/>
    <x v="0"/>
    <s v="CH₄"/>
    <n v="3482.0777469999998"/>
  </r>
  <r>
    <s v="F173"/>
    <x v="1"/>
    <x v="3"/>
    <x v="0"/>
    <s v="CH₄"/>
    <n v="1953.7073989999999"/>
  </r>
  <r>
    <s v="F025"/>
    <x v="4"/>
    <x v="3"/>
    <x v="1"/>
    <s v="CO₂"/>
    <n v="4444.76"/>
  </r>
  <r>
    <s v="F173"/>
    <x v="1"/>
    <x v="2"/>
    <x v="2"/>
    <s v="CO₂"/>
    <n v="1836.99"/>
  </r>
  <r>
    <s v="F012"/>
    <x v="3"/>
    <x v="0"/>
    <x v="1"/>
    <s v="CO₂"/>
    <n v="793.9"/>
  </r>
  <r>
    <s v="F182"/>
    <x v="3"/>
    <x v="3"/>
    <x v="2"/>
    <s v="N₂O"/>
    <n v="1445.28"/>
  </r>
  <r>
    <s v="F026"/>
    <x v="2"/>
    <x v="3"/>
    <x v="0"/>
    <s v="N₂O"/>
    <n v="1246.728069"/>
  </r>
  <r>
    <s v="F093"/>
    <x v="2"/>
    <x v="3"/>
    <x v="1"/>
    <s v="CH₄"/>
    <n v="527.16999999999996"/>
  </r>
  <r>
    <s v="F074"/>
    <x v="1"/>
    <x v="3"/>
    <x v="1"/>
    <s v="CO₂"/>
    <n v="542.33000000000004"/>
  </r>
  <r>
    <s v="F024"/>
    <x v="4"/>
    <x v="3"/>
    <x v="2"/>
    <s v="N₂O"/>
    <n v="636.07000000000005"/>
  </r>
  <r>
    <s v="F103"/>
    <x v="4"/>
    <x v="3"/>
    <x v="0"/>
    <s v="CO₂"/>
    <n v="3898.1983740000001"/>
  </r>
  <r>
    <s v="F032"/>
    <x v="1"/>
    <x v="3"/>
    <x v="0"/>
    <s v="N₂O"/>
    <n v="525.24931200000003"/>
  </r>
  <r>
    <s v="F077"/>
    <x v="4"/>
    <x v="0"/>
    <x v="1"/>
    <s v="CO₂"/>
    <n v="1135.03"/>
  </r>
  <r>
    <s v="F017"/>
    <x v="2"/>
    <x v="2"/>
    <x v="0"/>
    <s v="N₂O"/>
    <n v="1670.506361"/>
  </r>
  <r>
    <s v="F056"/>
    <x v="4"/>
    <x v="1"/>
    <x v="0"/>
    <s v="CH₄"/>
    <n v="939.61298339999996"/>
  </r>
  <r>
    <s v="F008"/>
    <x v="3"/>
    <x v="3"/>
    <x v="2"/>
    <s v="CH₄"/>
    <n v="1436.13"/>
  </r>
  <r>
    <s v="F172"/>
    <x v="4"/>
    <x v="3"/>
    <x v="0"/>
    <s v="N₂O"/>
    <n v="3950.000207"/>
  </r>
  <r>
    <s v="F190"/>
    <x v="0"/>
    <x v="0"/>
    <x v="0"/>
    <s v="CH₄"/>
    <n v="4777.7700000000004"/>
  </r>
  <r>
    <s v="F097"/>
    <x v="1"/>
    <x v="1"/>
    <x v="0"/>
    <s v="CH₄"/>
    <n v="739.48049089999995"/>
  </r>
  <r>
    <s v="F045"/>
    <x v="0"/>
    <x v="2"/>
    <x v="1"/>
    <s v="CH₄"/>
    <n v="2957.08"/>
  </r>
  <r>
    <s v="F181"/>
    <x v="3"/>
    <x v="1"/>
    <x v="2"/>
    <s v="N₂O"/>
    <n v="4782.28"/>
  </r>
  <r>
    <s v="F100"/>
    <x v="0"/>
    <x v="3"/>
    <x v="1"/>
    <s v="CO₂"/>
    <n v="3836.23"/>
  </r>
  <r>
    <s v="F019"/>
    <x v="0"/>
    <x v="1"/>
    <x v="2"/>
    <s v="CH₄"/>
    <n v="4410.6400000000003"/>
  </r>
  <r>
    <s v="F181"/>
    <x v="3"/>
    <x v="3"/>
    <x v="2"/>
    <s v="N₂O"/>
    <n v="1861.93"/>
  </r>
  <r>
    <s v="F115"/>
    <x v="3"/>
    <x v="0"/>
    <x v="1"/>
    <s v="CH₄"/>
    <n v="3332.83"/>
  </r>
  <r>
    <s v="F086"/>
    <x v="4"/>
    <x v="3"/>
    <x v="2"/>
    <s v="N₂O"/>
    <n v="2649.83"/>
  </r>
  <r>
    <s v="F162"/>
    <x v="3"/>
    <x v="0"/>
    <x v="1"/>
    <s v="N₂O"/>
    <n v="3224.33"/>
  </r>
  <r>
    <s v="F023"/>
    <x v="1"/>
    <x v="2"/>
    <x v="0"/>
    <s v="CH₄"/>
    <n v="881.21756679999999"/>
  </r>
  <r>
    <s v="F084"/>
    <x v="3"/>
    <x v="1"/>
    <x v="0"/>
    <s v="CO₂"/>
    <n v="5563.319544"/>
  </r>
  <r>
    <s v="F197"/>
    <x v="2"/>
    <x v="3"/>
    <x v="2"/>
    <s v="N₂O"/>
    <n v="2558.1799999999998"/>
  </r>
  <r>
    <s v="F186"/>
    <x v="4"/>
    <x v="2"/>
    <x v="0"/>
    <s v="CH₄"/>
    <n v="2013.870322"/>
  </r>
  <r>
    <s v="F191"/>
    <x v="0"/>
    <x v="2"/>
    <x v="2"/>
    <s v="CO₂"/>
    <n v="1752.18"/>
  </r>
  <r>
    <s v="F039"/>
    <x v="2"/>
    <x v="1"/>
    <x v="2"/>
    <s v="N₂O"/>
    <n v="4152.92"/>
  </r>
  <r>
    <s v="F126"/>
    <x v="2"/>
    <x v="1"/>
    <x v="2"/>
    <s v="CO₂"/>
    <n v="61.94"/>
  </r>
  <r>
    <s v="F172"/>
    <x v="4"/>
    <x v="3"/>
    <x v="0"/>
    <s v="CO₂"/>
    <n v="4862.4353590000001"/>
  </r>
  <r>
    <s v="F044"/>
    <x v="1"/>
    <x v="2"/>
    <x v="0"/>
    <s v="CH₄"/>
    <n v="1930.129142"/>
  </r>
  <r>
    <s v="F016"/>
    <x v="2"/>
    <x v="3"/>
    <x v="2"/>
    <s v="N₂O"/>
    <n v="2818.75"/>
  </r>
  <r>
    <s v="F059"/>
    <x v="2"/>
    <x v="0"/>
    <x v="0"/>
    <s v="N₂O"/>
    <n v="2368.6695920000002"/>
  </r>
  <r>
    <s v="F042"/>
    <x v="1"/>
    <x v="3"/>
    <x v="1"/>
    <s v="CO₂"/>
    <n v="1533.98"/>
  </r>
  <r>
    <s v="F097"/>
    <x v="1"/>
    <x v="3"/>
    <x v="1"/>
    <s v="N₂O"/>
    <n v="249.89"/>
  </r>
  <r>
    <s v="F196"/>
    <x v="4"/>
    <x v="1"/>
    <x v="0"/>
    <s v="CO₂"/>
    <n v="4797.8755950000004"/>
  </r>
  <r>
    <s v="F063"/>
    <x v="4"/>
    <x v="2"/>
    <x v="1"/>
    <s v="N₂O"/>
    <n v="534.05999999999995"/>
  </r>
  <r>
    <s v="F135"/>
    <x v="3"/>
    <x v="1"/>
    <x v="1"/>
    <s v="CH₄"/>
    <n v="4285.8999999999996"/>
  </r>
  <r>
    <s v="F193"/>
    <x v="1"/>
    <x v="3"/>
    <x v="2"/>
    <s v="CH₄"/>
    <n v="1042.25"/>
  </r>
  <r>
    <s v="F068"/>
    <x v="0"/>
    <x v="3"/>
    <x v="0"/>
    <s v="N₂O"/>
    <n v="1836.6851220000001"/>
  </r>
  <r>
    <s v="F161"/>
    <x v="2"/>
    <x v="1"/>
    <x v="2"/>
    <s v="CO₂"/>
    <n v="3337.6"/>
  </r>
  <r>
    <s v="F137"/>
    <x v="0"/>
    <x v="3"/>
    <x v="1"/>
    <s v="CO₂"/>
    <n v="2632.11"/>
  </r>
  <r>
    <s v="F037"/>
    <x v="3"/>
    <x v="2"/>
    <x v="2"/>
    <s v="N₂O"/>
    <n v="2011.5"/>
  </r>
  <r>
    <s v="F022"/>
    <x v="4"/>
    <x v="2"/>
    <x v="2"/>
    <s v="CO₂"/>
    <n v="724.26"/>
  </r>
  <r>
    <s v="F088"/>
    <x v="0"/>
    <x v="2"/>
    <x v="1"/>
    <s v="N₂O"/>
    <n v="2373.2600000000002"/>
  </r>
  <r>
    <s v="F002"/>
    <x v="4"/>
    <x v="3"/>
    <x v="2"/>
    <s v="N₂O"/>
    <n v="1440.9"/>
  </r>
  <r>
    <s v="F176"/>
    <x v="4"/>
    <x v="1"/>
    <x v="2"/>
    <s v="CH₄"/>
    <n v="569.39"/>
  </r>
  <r>
    <s v="F133"/>
    <x v="2"/>
    <x v="2"/>
    <x v="1"/>
    <s v="N₂O"/>
    <n v="1161.74"/>
  </r>
  <r>
    <s v="F017"/>
    <x v="2"/>
    <x v="0"/>
    <x v="0"/>
    <s v="N₂O"/>
    <n v="4200.5000110000001"/>
  </r>
  <r>
    <s v="F173"/>
    <x v="1"/>
    <x v="0"/>
    <x v="1"/>
    <s v="CO₂"/>
    <n v="2311.5500000000002"/>
  </r>
  <r>
    <s v="F071"/>
    <x v="4"/>
    <x v="0"/>
    <x v="2"/>
    <s v="CO₂"/>
    <n v="2116.64"/>
  </r>
  <r>
    <s v="F048"/>
    <x v="0"/>
    <x v="1"/>
    <x v="2"/>
    <s v="CO₂"/>
    <n v="2833.88"/>
  </r>
  <r>
    <s v="F027"/>
    <x v="4"/>
    <x v="0"/>
    <x v="2"/>
    <s v="CH₄"/>
    <n v="2605.96"/>
  </r>
  <r>
    <s v="F045"/>
    <x v="0"/>
    <x v="3"/>
    <x v="0"/>
    <s v="N₂O"/>
    <n v="532.45395829999995"/>
  </r>
  <r>
    <s v="F036"/>
    <x v="3"/>
    <x v="1"/>
    <x v="0"/>
    <s v="N₂O"/>
    <n v="1876.9554659999999"/>
  </r>
  <r>
    <s v="F078"/>
    <x v="0"/>
    <x v="1"/>
    <x v="1"/>
    <s v="CO₂"/>
    <n v="522.41"/>
  </r>
  <r>
    <s v="F073"/>
    <x v="3"/>
    <x v="2"/>
    <x v="0"/>
    <s v="CH₄"/>
    <n v="4953.9799999999996"/>
  </r>
  <r>
    <s v="F127"/>
    <x v="3"/>
    <x v="1"/>
    <x v="0"/>
    <s v="CO₂"/>
    <n v="2322.96"/>
  </r>
  <r>
    <s v="F126"/>
    <x v="2"/>
    <x v="3"/>
    <x v="2"/>
    <s v="N₂O"/>
    <n v="4662.91"/>
  </r>
  <r>
    <s v="F082"/>
    <x v="0"/>
    <x v="2"/>
    <x v="2"/>
    <s v="N₂O"/>
    <n v="1907.29"/>
  </r>
  <r>
    <s v="F108"/>
    <x v="3"/>
    <x v="1"/>
    <x v="0"/>
    <s v="CO₂"/>
    <n v="1668.587237"/>
  </r>
  <r>
    <s v="F031"/>
    <x v="3"/>
    <x v="3"/>
    <x v="1"/>
    <s v="N₂O"/>
    <n v="3260.51"/>
  </r>
  <r>
    <s v="F054"/>
    <x v="3"/>
    <x v="0"/>
    <x v="1"/>
    <s v="CH₄"/>
    <n v="2218.4699999999998"/>
  </r>
  <r>
    <s v="F191"/>
    <x v="0"/>
    <x v="3"/>
    <x v="1"/>
    <s v="CH₄"/>
    <n v="479.85"/>
  </r>
  <r>
    <s v="F144"/>
    <x v="2"/>
    <x v="0"/>
    <x v="2"/>
    <s v="CO₂"/>
    <n v="401.65"/>
  </r>
  <r>
    <s v="F046"/>
    <x v="4"/>
    <x v="3"/>
    <x v="2"/>
    <s v="N₂O"/>
    <n v="4844.9399999999996"/>
  </r>
  <r>
    <s v="F061"/>
    <x v="1"/>
    <x v="3"/>
    <x v="1"/>
    <s v="CH₄"/>
    <n v="1954.31"/>
  </r>
  <r>
    <s v="F172"/>
    <x v="4"/>
    <x v="2"/>
    <x v="2"/>
    <s v="CO₂"/>
    <n v="2094.86"/>
  </r>
  <r>
    <s v="F018"/>
    <x v="4"/>
    <x v="0"/>
    <x v="2"/>
    <s v="N₂O"/>
    <n v="3876.8"/>
  </r>
  <r>
    <s v="F030"/>
    <x v="0"/>
    <x v="3"/>
    <x v="2"/>
    <s v="CH₄"/>
    <n v="3209.34"/>
  </r>
  <r>
    <s v="F184"/>
    <x v="0"/>
    <x v="0"/>
    <x v="2"/>
    <s v="N₂O"/>
    <n v="1290.4100000000001"/>
  </r>
  <r>
    <s v="F060"/>
    <x v="4"/>
    <x v="1"/>
    <x v="1"/>
    <s v="N₂O"/>
    <n v="3768.03"/>
  </r>
  <r>
    <s v="F041"/>
    <x v="1"/>
    <x v="0"/>
    <x v="2"/>
    <s v="CH₄"/>
    <n v="2209.6"/>
  </r>
  <r>
    <s v="F064"/>
    <x v="1"/>
    <x v="3"/>
    <x v="0"/>
    <s v="N₂O"/>
    <n v="3789.17"/>
  </r>
  <r>
    <s v="F124"/>
    <x v="3"/>
    <x v="0"/>
    <x v="2"/>
    <s v="CH₄"/>
    <n v="2970.05"/>
  </r>
  <r>
    <s v="F131"/>
    <x v="4"/>
    <x v="2"/>
    <x v="2"/>
    <s v="CH₄"/>
    <n v="1858.31"/>
  </r>
  <r>
    <s v="F103"/>
    <x v="4"/>
    <x v="0"/>
    <x v="0"/>
    <s v="CH₄"/>
    <n v="3702.9533959999999"/>
  </r>
  <r>
    <s v="F152"/>
    <x v="4"/>
    <x v="2"/>
    <x v="2"/>
    <s v="CH₄"/>
    <n v="3276"/>
  </r>
  <r>
    <s v="F085"/>
    <x v="4"/>
    <x v="0"/>
    <x v="1"/>
    <s v="N₂O"/>
    <n v="526.37"/>
  </r>
  <r>
    <s v="F099"/>
    <x v="3"/>
    <x v="1"/>
    <x v="1"/>
    <s v="CH₄"/>
    <n v="445.6"/>
  </r>
  <r>
    <s v="F128"/>
    <x v="2"/>
    <x v="3"/>
    <x v="0"/>
    <s v="CO₂"/>
    <n v="4486.2700949999999"/>
  </r>
  <r>
    <s v="F124"/>
    <x v="3"/>
    <x v="1"/>
    <x v="0"/>
    <s v="CO₂"/>
    <n v="1770.5416849999999"/>
  </r>
  <r>
    <s v="F031"/>
    <x v="3"/>
    <x v="3"/>
    <x v="0"/>
    <s v="N₂O"/>
    <n v="2762.189746"/>
  </r>
  <r>
    <s v="F198"/>
    <x v="3"/>
    <x v="3"/>
    <x v="1"/>
    <s v="CO₂"/>
    <n v="1531.3"/>
  </r>
  <r>
    <s v="F135"/>
    <x v="3"/>
    <x v="3"/>
    <x v="0"/>
    <s v="CO₂"/>
    <n v="4453.3686580000003"/>
  </r>
  <r>
    <s v="F019"/>
    <x v="0"/>
    <x v="2"/>
    <x v="2"/>
    <s v="CH₄"/>
    <n v="4934.5600000000004"/>
  </r>
  <r>
    <s v="F199"/>
    <x v="0"/>
    <x v="1"/>
    <x v="1"/>
    <s v="CH₄"/>
    <n v="1164.7"/>
  </r>
  <r>
    <s v="F145"/>
    <x v="4"/>
    <x v="1"/>
    <x v="1"/>
    <s v="N₂O"/>
    <n v="2732.08"/>
  </r>
  <r>
    <s v="F196"/>
    <x v="4"/>
    <x v="1"/>
    <x v="0"/>
    <s v="CH₄"/>
    <n v="3114.4974299999999"/>
  </r>
  <r>
    <s v="F015"/>
    <x v="4"/>
    <x v="2"/>
    <x v="1"/>
    <s v="CH₄"/>
    <n v="3329.18"/>
  </r>
  <r>
    <s v="F092"/>
    <x v="4"/>
    <x v="2"/>
    <x v="2"/>
    <s v="CH₄"/>
    <n v="3195.93"/>
  </r>
  <r>
    <s v="F022"/>
    <x v="4"/>
    <x v="0"/>
    <x v="2"/>
    <s v="CO₂"/>
    <n v="1246.5"/>
  </r>
  <r>
    <s v="F089"/>
    <x v="4"/>
    <x v="0"/>
    <x v="2"/>
    <s v="CH₄"/>
    <n v="2737.6"/>
  </r>
  <r>
    <s v="F174"/>
    <x v="3"/>
    <x v="3"/>
    <x v="2"/>
    <s v="CO₂"/>
    <n v="1722.2"/>
  </r>
  <r>
    <s v="F028"/>
    <x v="4"/>
    <x v="0"/>
    <x v="1"/>
    <s v="CO₂"/>
    <n v="4036.12"/>
  </r>
  <r>
    <s v="F148"/>
    <x v="1"/>
    <x v="2"/>
    <x v="2"/>
    <s v="CH₄"/>
    <n v="897.74"/>
  </r>
  <r>
    <s v="F053"/>
    <x v="0"/>
    <x v="2"/>
    <x v="1"/>
    <s v="CH₄"/>
    <n v="1853.54"/>
  </r>
  <r>
    <s v="F089"/>
    <x v="4"/>
    <x v="3"/>
    <x v="1"/>
    <s v="CO₂"/>
    <n v="4674.16"/>
  </r>
  <r>
    <s v="F028"/>
    <x v="4"/>
    <x v="1"/>
    <x v="0"/>
    <s v="CO₂"/>
    <n v="4723.6000000000004"/>
  </r>
  <r>
    <s v="F199"/>
    <x v="0"/>
    <x v="2"/>
    <x v="0"/>
    <s v="CH₄"/>
    <n v="3244.2138880000002"/>
  </r>
  <r>
    <s v="F106"/>
    <x v="3"/>
    <x v="1"/>
    <x v="1"/>
    <s v="N₂O"/>
    <n v="980.22"/>
  </r>
  <r>
    <s v="F007"/>
    <x v="4"/>
    <x v="0"/>
    <x v="2"/>
    <s v="CO₂"/>
    <n v="4810.13"/>
  </r>
  <r>
    <s v="F014"/>
    <x v="2"/>
    <x v="2"/>
    <x v="2"/>
    <s v="N₂O"/>
    <n v="3868.27"/>
  </r>
  <r>
    <s v="F085"/>
    <x v="4"/>
    <x v="0"/>
    <x v="2"/>
    <s v="N₂O"/>
    <n v="714.41"/>
  </r>
  <r>
    <s v="F199"/>
    <x v="0"/>
    <x v="1"/>
    <x v="0"/>
    <s v="CH₄"/>
    <n v="1121.057894"/>
  </r>
  <r>
    <s v="F143"/>
    <x v="1"/>
    <x v="1"/>
    <x v="0"/>
    <s v="N₂O"/>
    <n v="1645.674403"/>
  </r>
  <r>
    <s v="F072"/>
    <x v="2"/>
    <x v="3"/>
    <x v="0"/>
    <s v="CO₂"/>
    <n v="3519.7372449999998"/>
  </r>
  <r>
    <s v="F016"/>
    <x v="2"/>
    <x v="3"/>
    <x v="0"/>
    <s v="N₂O"/>
    <n v="2222.6799999999998"/>
  </r>
  <r>
    <s v="F126"/>
    <x v="2"/>
    <x v="3"/>
    <x v="1"/>
    <s v="CO₂"/>
    <n v="261.56"/>
  </r>
  <r>
    <s v="F032"/>
    <x v="1"/>
    <x v="3"/>
    <x v="0"/>
    <s v="N₂O"/>
    <n v="4724.5603350000001"/>
  </r>
  <r>
    <s v="F125"/>
    <x v="1"/>
    <x v="1"/>
    <x v="1"/>
    <s v="CH₄"/>
    <n v="1696.11"/>
  </r>
  <r>
    <s v="F167"/>
    <x v="2"/>
    <x v="1"/>
    <x v="2"/>
    <s v="N₂O"/>
    <n v="1447.34"/>
  </r>
  <r>
    <s v="F183"/>
    <x v="3"/>
    <x v="1"/>
    <x v="1"/>
    <s v="N₂O"/>
    <n v="3456.69"/>
  </r>
  <r>
    <s v="F002"/>
    <x v="4"/>
    <x v="3"/>
    <x v="2"/>
    <s v="CH₄"/>
    <n v="1842.07"/>
  </r>
  <r>
    <s v="F116"/>
    <x v="2"/>
    <x v="1"/>
    <x v="0"/>
    <s v="CO₂"/>
    <n v="670.69"/>
  </r>
  <r>
    <s v="F047"/>
    <x v="0"/>
    <x v="2"/>
    <x v="0"/>
    <s v="CO₂"/>
    <n v="1143.20198"/>
  </r>
  <r>
    <s v="F126"/>
    <x v="2"/>
    <x v="2"/>
    <x v="0"/>
    <s v="CH₄"/>
    <n v="3475.5149740000002"/>
  </r>
  <r>
    <s v="F176"/>
    <x v="4"/>
    <x v="3"/>
    <x v="2"/>
    <s v="CH₄"/>
    <n v="1313.1"/>
  </r>
  <r>
    <s v="F037"/>
    <x v="3"/>
    <x v="1"/>
    <x v="1"/>
    <s v="N₂O"/>
    <n v="2271.65"/>
  </r>
  <r>
    <s v="F126"/>
    <x v="2"/>
    <x v="0"/>
    <x v="0"/>
    <s v="CO₂"/>
    <n v="4185.7462960000003"/>
  </r>
  <r>
    <s v="F135"/>
    <x v="3"/>
    <x v="1"/>
    <x v="0"/>
    <s v="CH₄"/>
    <n v="704.33660399999997"/>
  </r>
  <r>
    <s v="F081"/>
    <x v="1"/>
    <x v="0"/>
    <x v="0"/>
    <s v="N₂O"/>
    <n v="801.11"/>
  </r>
  <r>
    <s v="F158"/>
    <x v="3"/>
    <x v="1"/>
    <x v="1"/>
    <s v="CH₄"/>
    <n v="1685.02"/>
  </r>
  <r>
    <s v="F183"/>
    <x v="3"/>
    <x v="0"/>
    <x v="1"/>
    <s v="CH₄"/>
    <n v="4811.95"/>
  </r>
  <r>
    <s v="F070"/>
    <x v="2"/>
    <x v="2"/>
    <x v="0"/>
    <s v="N₂O"/>
    <n v="5093.5156129999996"/>
  </r>
  <r>
    <s v="F092"/>
    <x v="4"/>
    <x v="2"/>
    <x v="0"/>
    <s v="N₂O"/>
    <n v="4205.3747649999996"/>
  </r>
  <r>
    <s v="F012"/>
    <x v="3"/>
    <x v="2"/>
    <x v="0"/>
    <s v="CO₂"/>
    <n v="1288.354116"/>
  </r>
  <r>
    <s v="F071"/>
    <x v="4"/>
    <x v="0"/>
    <x v="1"/>
    <s v="N₂O"/>
    <n v="2663.02"/>
  </r>
  <r>
    <s v="F070"/>
    <x v="2"/>
    <x v="0"/>
    <x v="1"/>
    <s v="CH₄"/>
    <n v="2844.55"/>
  </r>
  <r>
    <s v="F062"/>
    <x v="2"/>
    <x v="1"/>
    <x v="2"/>
    <s v="CH₄"/>
    <n v="1998.08"/>
  </r>
  <r>
    <s v="F100"/>
    <x v="0"/>
    <x v="2"/>
    <x v="1"/>
    <s v="CH₄"/>
    <n v="241.97"/>
  </r>
  <r>
    <s v="F114"/>
    <x v="1"/>
    <x v="1"/>
    <x v="0"/>
    <s v="CO₂"/>
    <n v="2907.8946660000001"/>
  </r>
  <r>
    <s v="F077"/>
    <x v="4"/>
    <x v="2"/>
    <x v="0"/>
    <s v="CO₂"/>
    <n v="4728.95"/>
  </r>
  <r>
    <s v="F198"/>
    <x v="3"/>
    <x v="1"/>
    <x v="1"/>
    <s v="N₂O"/>
    <n v="4265.8500000000004"/>
  </r>
  <r>
    <s v="F050"/>
    <x v="0"/>
    <x v="2"/>
    <x v="0"/>
    <s v="N₂O"/>
    <n v="2361.5527539999998"/>
  </r>
  <r>
    <s v="F026"/>
    <x v="2"/>
    <x v="2"/>
    <x v="1"/>
    <s v="CH₄"/>
    <n v="235.74"/>
  </r>
  <r>
    <s v="F068"/>
    <x v="0"/>
    <x v="2"/>
    <x v="2"/>
    <s v="CH₄"/>
    <n v="2737"/>
  </r>
  <r>
    <s v="F156"/>
    <x v="2"/>
    <x v="0"/>
    <x v="2"/>
    <s v="CO₂"/>
    <n v="1539.15"/>
  </r>
  <r>
    <s v="F016"/>
    <x v="2"/>
    <x v="0"/>
    <x v="2"/>
    <s v="CH₄"/>
    <n v="502.47"/>
  </r>
  <r>
    <s v="F092"/>
    <x v="4"/>
    <x v="0"/>
    <x v="1"/>
    <s v="CO₂"/>
    <n v="2710.93"/>
  </r>
  <r>
    <s v="F009"/>
    <x v="0"/>
    <x v="3"/>
    <x v="0"/>
    <s v="CH₄"/>
    <n v="2286.2420430000002"/>
  </r>
  <r>
    <s v="F158"/>
    <x v="3"/>
    <x v="2"/>
    <x v="0"/>
    <s v="CH₄"/>
    <n v="3819.978924"/>
  </r>
  <r>
    <s v="F103"/>
    <x v="4"/>
    <x v="0"/>
    <x v="1"/>
    <s v="CO₂"/>
    <n v="2138.08"/>
  </r>
  <r>
    <s v="F155"/>
    <x v="2"/>
    <x v="0"/>
    <x v="2"/>
    <s v="N₂O"/>
    <n v="747.74"/>
  </r>
  <r>
    <s v="F083"/>
    <x v="2"/>
    <x v="3"/>
    <x v="2"/>
    <s v="N₂O"/>
    <n v="1025.55"/>
  </r>
  <r>
    <s v="F006"/>
    <x v="4"/>
    <x v="0"/>
    <x v="0"/>
    <s v="CO₂"/>
    <n v="3382"/>
  </r>
  <r>
    <s v="F164"/>
    <x v="0"/>
    <x v="2"/>
    <x v="1"/>
    <s v="N₂O"/>
    <n v="1772.18"/>
  </r>
  <r>
    <s v="F044"/>
    <x v="1"/>
    <x v="1"/>
    <x v="2"/>
    <s v="N₂O"/>
    <n v="2150.66"/>
  </r>
  <r>
    <s v="F072"/>
    <x v="2"/>
    <x v="3"/>
    <x v="1"/>
    <s v="CO₂"/>
    <n v="3214.91"/>
  </r>
  <r>
    <s v="F042"/>
    <x v="1"/>
    <x v="3"/>
    <x v="1"/>
    <s v="N₂O"/>
    <n v="1475.38"/>
  </r>
  <r>
    <s v="F079"/>
    <x v="2"/>
    <x v="0"/>
    <x v="2"/>
    <s v="N₂O"/>
    <n v="2631.42"/>
  </r>
  <r>
    <s v="F191"/>
    <x v="0"/>
    <x v="1"/>
    <x v="1"/>
    <s v="CO₂"/>
    <n v="2973.99"/>
  </r>
  <r>
    <s v="F134"/>
    <x v="3"/>
    <x v="0"/>
    <x v="1"/>
    <s v="N₂O"/>
    <n v="587.89"/>
  </r>
  <r>
    <s v="F118"/>
    <x v="0"/>
    <x v="3"/>
    <x v="1"/>
    <s v="N₂O"/>
    <n v="599.52"/>
  </r>
  <r>
    <s v="F168"/>
    <x v="2"/>
    <x v="0"/>
    <x v="2"/>
    <s v="CH₄"/>
    <n v="1993.42"/>
  </r>
  <r>
    <s v="F169"/>
    <x v="2"/>
    <x v="1"/>
    <x v="1"/>
    <s v="CH₄"/>
    <n v="1395.49"/>
  </r>
  <r>
    <s v="F093"/>
    <x v="2"/>
    <x v="1"/>
    <x v="0"/>
    <s v="CO₂"/>
    <n v="2509.14"/>
  </r>
  <r>
    <s v="F108"/>
    <x v="3"/>
    <x v="2"/>
    <x v="0"/>
    <s v="N₂O"/>
    <n v="2619.1304719999998"/>
  </r>
  <r>
    <s v="F024"/>
    <x v="4"/>
    <x v="1"/>
    <x v="1"/>
    <s v="CH₄"/>
    <n v="1192.6600000000001"/>
  </r>
  <r>
    <s v="F108"/>
    <x v="3"/>
    <x v="3"/>
    <x v="0"/>
    <s v="N₂O"/>
    <n v="639.35639619999995"/>
  </r>
  <r>
    <s v="F002"/>
    <x v="4"/>
    <x v="1"/>
    <x v="2"/>
    <s v="N₂O"/>
    <n v="3446.07"/>
  </r>
  <r>
    <s v="F095"/>
    <x v="2"/>
    <x v="1"/>
    <x v="0"/>
    <s v="CH₄"/>
    <n v="2973.1976180000001"/>
  </r>
  <r>
    <s v="F005"/>
    <x v="4"/>
    <x v="1"/>
    <x v="2"/>
    <s v="CO₂"/>
    <n v="4562.24"/>
  </r>
  <r>
    <s v="F162"/>
    <x v="3"/>
    <x v="1"/>
    <x v="2"/>
    <s v="CO₂"/>
    <n v="3500.64"/>
  </r>
  <r>
    <s v="F025"/>
    <x v="4"/>
    <x v="0"/>
    <x v="2"/>
    <s v="N₂O"/>
    <n v="3289.66"/>
  </r>
  <r>
    <s v="F100"/>
    <x v="0"/>
    <x v="3"/>
    <x v="1"/>
    <s v="CO₂"/>
    <n v="540.26"/>
  </r>
  <r>
    <s v="F171"/>
    <x v="4"/>
    <x v="2"/>
    <x v="1"/>
    <s v="CO₂"/>
    <n v="3784.31"/>
  </r>
  <r>
    <s v="F101"/>
    <x v="3"/>
    <x v="1"/>
    <x v="2"/>
    <s v="N₂O"/>
    <n v="2320.83"/>
  </r>
  <r>
    <s v="F016"/>
    <x v="2"/>
    <x v="3"/>
    <x v="1"/>
    <s v="CO₂"/>
    <n v="2311.4499999999998"/>
  </r>
  <r>
    <s v="F174"/>
    <x v="3"/>
    <x v="2"/>
    <x v="2"/>
    <s v="CH₄"/>
    <n v="4836.59"/>
  </r>
  <r>
    <s v="F077"/>
    <x v="4"/>
    <x v="1"/>
    <x v="2"/>
    <s v="CO₂"/>
    <n v="4870.82"/>
  </r>
  <r>
    <s v="F149"/>
    <x v="1"/>
    <x v="2"/>
    <x v="2"/>
    <s v="CO₂"/>
    <n v="4492.74"/>
  </r>
  <r>
    <s v="F192"/>
    <x v="4"/>
    <x v="3"/>
    <x v="1"/>
    <s v="CH₄"/>
    <n v="2776.43"/>
  </r>
  <r>
    <s v="F107"/>
    <x v="2"/>
    <x v="2"/>
    <x v="2"/>
    <s v="CH₄"/>
    <n v="4987.59"/>
  </r>
  <r>
    <s v="F096"/>
    <x v="0"/>
    <x v="0"/>
    <x v="0"/>
    <s v="CH₄"/>
    <n v="1335.7609"/>
  </r>
  <r>
    <s v="F139"/>
    <x v="0"/>
    <x v="3"/>
    <x v="1"/>
    <s v="CH₄"/>
    <n v="1293.21"/>
  </r>
  <r>
    <s v="F195"/>
    <x v="1"/>
    <x v="3"/>
    <x v="2"/>
    <s v="N₂O"/>
    <n v="1708"/>
  </r>
  <r>
    <s v="F127"/>
    <x v="3"/>
    <x v="1"/>
    <x v="2"/>
    <s v="N₂O"/>
    <n v="4594.9799999999996"/>
  </r>
  <r>
    <s v="F159"/>
    <x v="0"/>
    <x v="2"/>
    <x v="1"/>
    <s v="CH₄"/>
    <n v="831.81"/>
  </r>
  <r>
    <s v="F151"/>
    <x v="2"/>
    <x v="2"/>
    <x v="1"/>
    <s v="CH₄"/>
    <n v="2545.9"/>
  </r>
  <r>
    <s v="F095"/>
    <x v="2"/>
    <x v="3"/>
    <x v="0"/>
    <s v="CH₄"/>
    <n v="1207.1362979999999"/>
  </r>
  <r>
    <s v="F101"/>
    <x v="3"/>
    <x v="2"/>
    <x v="0"/>
    <s v="N₂O"/>
    <n v="2790.8028279999999"/>
  </r>
  <r>
    <s v="F132"/>
    <x v="4"/>
    <x v="2"/>
    <x v="2"/>
    <s v="CO₂"/>
    <n v="1945.28"/>
  </r>
  <r>
    <s v="F107"/>
    <x v="2"/>
    <x v="3"/>
    <x v="0"/>
    <s v="N₂O"/>
    <n v="3670.5421860000001"/>
  </r>
  <r>
    <s v="F134"/>
    <x v="3"/>
    <x v="1"/>
    <x v="1"/>
    <s v="N₂O"/>
    <n v="1954.98"/>
  </r>
  <r>
    <s v="F196"/>
    <x v="4"/>
    <x v="1"/>
    <x v="1"/>
    <s v="CO₂"/>
    <n v="2205.38"/>
  </r>
  <r>
    <s v="F166"/>
    <x v="3"/>
    <x v="2"/>
    <x v="1"/>
    <s v="N₂O"/>
    <n v="1900.73"/>
  </r>
  <r>
    <s v="F008"/>
    <x v="3"/>
    <x v="1"/>
    <x v="0"/>
    <s v="CH₄"/>
    <n v="2512.7800000000002"/>
  </r>
  <r>
    <s v="F047"/>
    <x v="0"/>
    <x v="2"/>
    <x v="0"/>
    <s v="CO₂"/>
    <n v="3560.2940319999998"/>
  </r>
  <r>
    <s v="F172"/>
    <x v="4"/>
    <x v="2"/>
    <x v="1"/>
    <s v="CH₄"/>
    <n v="4844.28"/>
  </r>
  <r>
    <s v="F048"/>
    <x v="0"/>
    <x v="1"/>
    <x v="1"/>
    <s v="CO₂"/>
    <n v="3100.15"/>
  </r>
  <r>
    <s v="F100"/>
    <x v="0"/>
    <x v="0"/>
    <x v="2"/>
    <s v="CO₂"/>
    <n v="2791.16"/>
  </r>
  <r>
    <s v="F125"/>
    <x v="1"/>
    <x v="0"/>
    <x v="1"/>
    <s v="CO₂"/>
    <n v="774.95"/>
  </r>
  <r>
    <s v="F025"/>
    <x v="4"/>
    <x v="0"/>
    <x v="0"/>
    <s v="CO₂"/>
    <n v="2907.121024"/>
  </r>
  <r>
    <s v="F069"/>
    <x v="4"/>
    <x v="2"/>
    <x v="0"/>
    <s v="CH₄"/>
    <n v="1885.37"/>
  </r>
  <r>
    <s v="F173"/>
    <x v="1"/>
    <x v="2"/>
    <x v="0"/>
    <s v="CH₄"/>
    <n v="3784.5787529999998"/>
  </r>
  <r>
    <s v="F031"/>
    <x v="3"/>
    <x v="3"/>
    <x v="2"/>
    <s v="CH₄"/>
    <n v="2788.31"/>
  </r>
  <r>
    <s v="F171"/>
    <x v="4"/>
    <x v="1"/>
    <x v="1"/>
    <s v="CO₂"/>
    <n v="3315.9"/>
  </r>
  <r>
    <s v="F033"/>
    <x v="0"/>
    <x v="3"/>
    <x v="2"/>
    <s v="N₂O"/>
    <n v="1940.67"/>
  </r>
  <r>
    <s v="F038"/>
    <x v="4"/>
    <x v="1"/>
    <x v="0"/>
    <s v="N₂O"/>
    <n v="4052.32"/>
  </r>
  <r>
    <s v="F157"/>
    <x v="0"/>
    <x v="3"/>
    <x v="0"/>
    <s v="CH₄"/>
    <n v="1277.295351"/>
  </r>
  <r>
    <s v="F095"/>
    <x v="2"/>
    <x v="1"/>
    <x v="2"/>
    <s v="CO₂"/>
    <n v="1024.25"/>
  </r>
  <r>
    <s v="F077"/>
    <x v="4"/>
    <x v="0"/>
    <x v="2"/>
    <s v="CH₄"/>
    <n v="167.21"/>
  </r>
  <r>
    <s v="F140"/>
    <x v="4"/>
    <x v="2"/>
    <x v="2"/>
    <s v="CH₄"/>
    <n v="996.06"/>
  </r>
  <r>
    <s v="F177"/>
    <x v="3"/>
    <x v="3"/>
    <x v="2"/>
    <s v="CH₄"/>
    <n v="1827.8"/>
  </r>
  <r>
    <s v="F025"/>
    <x v="4"/>
    <x v="3"/>
    <x v="2"/>
    <s v="N₂O"/>
    <n v="4065.52"/>
  </r>
  <r>
    <s v="F089"/>
    <x v="4"/>
    <x v="2"/>
    <x v="0"/>
    <s v="CH₄"/>
    <n v="484.81994279999998"/>
  </r>
  <r>
    <s v="F113"/>
    <x v="3"/>
    <x v="0"/>
    <x v="0"/>
    <s v="N₂O"/>
    <n v="4023.0128370000002"/>
  </r>
  <r>
    <s v="F193"/>
    <x v="1"/>
    <x v="0"/>
    <x v="0"/>
    <s v="N₂O"/>
    <n v="895.43359580000003"/>
  </r>
  <r>
    <s v="F048"/>
    <x v="0"/>
    <x v="2"/>
    <x v="0"/>
    <s v="N₂O"/>
    <n v="1949.1030049999999"/>
  </r>
  <r>
    <s v="F025"/>
    <x v="4"/>
    <x v="2"/>
    <x v="2"/>
    <s v="N₂O"/>
    <n v="3777.75"/>
  </r>
  <r>
    <s v="F194"/>
    <x v="3"/>
    <x v="1"/>
    <x v="1"/>
    <s v="N₂O"/>
    <n v="3625.63"/>
  </r>
  <r>
    <s v="F106"/>
    <x v="3"/>
    <x v="3"/>
    <x v="1"/>
    <s v="N₂O"/>
    <n v="2991.57"/>
  </r>
  <r>
    <s v="F056"/>
    <x v="4"/>
    <x v="0"/>
    <x v="1"/>
    <s v="CO₂"/>
    <n v="1016.04"/>
  </r>
  <r>
    <s v="F151"/>
    <x v="2"/>
    <x v="1"/>
    <x v="1"/>
    <s v="N₂O"/>
    <n v="162.68"/>
  </r>
  <r>
    <s v="F121"/>
    <x v="3"/>
    <x v="2"/>
    <x v="0"/>
    <s v="CH₄"/>
    <n v="2442.2862220000002"/>
  </r>
  <r>
    <s v="F010"/>
    <x v="0"/>
    <x v="0"/>
    <x v="1"/>
    <s v="CO₂"/>
    <n v="2499.21"/>
  </r>
  <r>
    <s v="F151"/>
    <x v="2"/>
    <x v="1"/>
    <x v="1"/>
    <s v="CO₂"/>
    <n v="880"/>
  </r>
  <r>
    <s v="F109"/>
    <x v="0"/>
    <x v="0"/>
    <x v="0"/>
    <s v="N₂O"/>
    <n v="1240.920038"/>
  </r>
  <r>
    <s v="F002"/>
    <x v="4"/>
    <x v="2"/>
    <x v="1"/>
    <s v="CO₂"/>
    <n v="960.86"/>
  </r>
  <r>
    <s v="F090"/>
    <x v="2"/>
    <x v="0"/>
    <x v="0"/>
    <s v="CO₂"/>
    <n v="4165.4782670000004"/>
  </r>
  <r>
    <s v="F162"/>
    <x v="3"/>
    <x v="2"/>
    <x v="2"/>
    <s v="CH₄"/>
    <n v="2805.55"/>
  </r>
  <r>
    <s v="F177"/>
    <x v="3"/>
    <x v="1"/>
    <x v="0"/>
    <s v="N₂O"/>
    <n v="5115.6804760000005"/>
  </r>
  <r>
    <s v="F034"/>
    <x v="4"/>
    <x v="3"/>
    <x v="0"/>
    <s v="CH₄"/>
    <n v="771.92290009999999"/>
  </r>
  <r>
    <s v="F177"/>
    <x v="3"/>
    <x v="0"/>
    <x v="2"/>
    <s v="CH₄"/>
    <n v="2773.86"/>
  </r>
  <r>
    <s v="F055"/>
    <x v="2"/>
    <x v="3"/>
    <x v="1"/>
    <s v="CH₄"/>
    <n v="3950.71"/>
  </r>
  <r>
    <s v="F078"/>
    <x v="0"/>
    <x v="3"/>
    <x v="2"/>
    <s v="N₂O"/>
    <n v="2266.44"/>
  </r>
  <r>
    <s v="F091"/>
    <x v="4"/>
    <x v="2"/>
    <x v="2"/>
    <s v="N₂O"/>
    <n v="4964.76"/>
  </r>
  <r>
    <s v="F082"/>
    <x v="0"/>
    <x v="1"/>
    <x v="1"/>
    <s v="CO₂"/>
    <n v="2700.64"/>
  </r>
  <r>
    <s v="F183"/>
    <x v="3"/>
    <x v="0"/>
    <x v="1"/>
    <s v="CH₄"/>
    <n v="4643.79"/>
  </r>
  <r>
    <s v="F090"/>
    <x v="2"/>
    <x v="0"/>
    <x v="0"/>
    <s v="N₂O"/>
    <n v="4947.7396909999998"/>
  </r>
  <r>
    <s v="F018"/>
    <x v="4"/>
    <x v="0"/>
    <x v="0"/>
    <s v="CH₄"/>
    <n v="2116.6523769999999"/>
  </r>
  <r>
    <s v="F102"/>
    <x v="1"/>
    <x v="1"/>
    <x v="1"/>
    <s v="CH₄"/>
    <n v="425.91"/>
  </r>
  <r>
    <s v="F001"/>
    <x v="1"/>
    <x v="3"/>
    <x v="2"/>
    <s v="CH₄"/>
    <n v="466.45"/>
  </r>
  <r>
    <s v="F078"/>
    <x v="0"/>
    <x v="2"/>
    <x v="2"/>
    <s v="CO₂"/>
    <n v="1868.24"/>
  </r>
  <r>
    <s v="F151"/>
    <x v="2"/>
    <x v="1"/>
    <x v="0"/>
    <s v="CH₄"/>
    <n v="3497.3453829999999"/>
  </r>
  <r>
    <s v="F153"/>
    <x v="3"/>
    <x v="0"/>
    <x v="1"/>
    <s v="CO₂"/>
    <n v="3774.06"/>
  </r>
  <r>
    <s v="F072"/>
    <x v="2"/>
    <x v="0"/>
    <x v="2"/>
    <s v="N₂O"/>
    <n v="518.79999999999995"/>
  </r>
  <r>
    <s v="F170"/>
    <x v="2"/>
    <x v="0"/>
    <x v="2"/>
    <s v="CO₂"/>
    <n v="2317.02"/>
  </r>
  <r>
    <s v="F185"/>
    <x v="0"/>
    <x v="0"/>
    <x v="1"/>
    <s v="N₂O"/>
    <n v="3340.8"/>
  </r>
  <r>
    <s v="F122"/>
    <x v="4"/>
    <x v="1"/>
    <x v="2"/>
    <s v="CO₂"/>
    <n v="3888.93"/>
  </r>
  <r>
    <s v="F002"/>
    <x v="4"/>
    <x v="2"/>
    <x v="0"/>
    <s v="N₂O"/>
    <n v="4696.2290000000003"/>
  </r>
  <r>
    <s v="F134"/>
    <x v="3"/>
    <x v="2"/>
    <x v="2"/>
    <s v="CO₂"/>
    <n v="149.05000000000001"/>
  </r>
  <r>
    <s v="F186"/>
    <x v="4"/>
    <x v="1"/>
    <x v="0"/>
    <s v="N₂O"/>
    <n v="3665.9483260000002"/>
  </r>
  <r>
    <s v="F008"/>
    <x v="3"/>
    <x v="1"/>
    <x v="1"/>
    <s v="CH₄"/>
    <n v="4101.93"/>
  </r>
  <r>
    <s v="F028"/>
    <x v="4"/>
    <x v="3"/>
    <x v="1"/>
    <s v="N₂O"/>
    <n v="2897.14"/>
  </r>
  <r>
    <s v="F032"/>
    <x v="1"/>
    <x v="3"/>
    <x v="1"/>
    <s v="CO₂"/>
    <n v="828.73"/>
  </r>
  <r>
    <s v="F174"/>
    <x v="3"/>
    <x v="3"/>
    <x v="2"/>
    <s v="CO₂"/>
    <n v="3155.64"/>
  </r>
  <r>
    <s v="F121"/>
    <x v="3"/>
    <x v="3"/>
    <x v="1"/>
    <s v="CO₂"/>
    <n v="3573.8"/>
  </r>
  <r>
    <s v="F164"/>
    <x v="0"/>
    <x v="0"/>
    <x v="2"/>
    <s v="N₂O"/>
    <n v="4315.67"/>
  </r>
  <r>
    <s v="F121"/>
    <x v="3"/>
    <x v="1"/>
    <x v="1"/>
    <s v="CH₄"/>
    <n v="265.31"/>
  </r>
  <r>
    <s v="F166"/>
    <x v="3"/>
    <x v="0"/>
    <x v="2"/>
    <s v="N₂O"/>
    <n v="392.52"/>
  </r>
  <r>
    <s v="F050"/>
    <x v="0"/>
    <x v="2"/>
    <x v="2"/>
    <s v="N₂O"/>
    <n v="3807.44"/>
  </r>
  <r>
    <s v="F037"/>
    <x v="3"/>
    <x v="0"/>
    <x v="0"/>
    <s v="N₂O"/>
    <n v="3118.1759889999998"/>
  </r>
  <r>
    <s v="F052"/>
    <x v="3"/>
    <x v="3"/>
    <x v="1"/>
    <s v="N₂O"/>
    <n v="1947.59"/>
  </r>
  <r>
    <s v="F004"/>
    <x v="0"/>
    <x v="0"/>
    <x v="2"/>
    <s v="N₂O"/>
    <n v="4464.43"/>
  </r>
  <r>
    <s v="F111"/>
    <x v="3"/>
    <x v="1"/>
    <x v="1"/>
    <s v="CH₄"/>
    <n v="2252.36"/>
  </r>
  <r>
    <s v="F077"/>
    <x v="4"/>
    <x v="0"/>
    <x v="0"/>
    <s v="CO₂"/>
    <n v="2203.84"/>
  </r>
  <r>
    <s v="F019"/>
    <x v="0"/>
    <x v="3"/>
    <x v="1"/>
    <s v="CO₂"/>
    <n v="673.38"/>
  </r>
  <r>
    <s v="F096"/>
    <x v="0"/>
    <x v="2"/>
    <x v="2"/>
    <s v="CH₄"/>
    <n v="3879.17"/>
  </r>
  <r>
    <s v="F171"/>
    <x v="4"/>
    <x v="0"/>
    <x v="2"/>
    <s v="CO₂"/>
    <n v="404.42"/>
  </r>
  <r>
    <s v="F016"/>
    <x v="2"/>
    <x v="2"/>
    <x v="0"/>
    <s v="N₂O"/>
    <n v="3415.97"/>
  </r>
  <r>
    <s v="F148"/>
    <x v="1"/>
    <x v="2"/>
    <x v="0"/>
    <s v="CH₄"/>
    <n v="3091.3923770000001"/>
  </r>
  <r>
    <s v="F172"/>
    <x v="4"/>
    <x v="2"/>
    <x v="2"/>
    <s v="N₂O"/>
    <n v="3216.77"/>
  </r>
  <r>
    <s v="F166"/>
    <x v="3"/>
    <x v="0"/>
    <x v="0"/>
    <s v="CH₄"/>
    <n v="2200.2044230000001"/>
  </r>
  <r>
    <s v="F115"/>
    <x v="3"/>
    <x v="0"/>
    <x v="1"/>
    <s v="CO₂"/>
    <n v="4874.88"/>
  </r>
  <r>
    <s v="F032"/>
    <x v="1"/>
    <x v="3"/>
    <x v="1"/>
    <s v="N₂O"/>
    <n v="3104.55"/>
  </r>
  <r>
    <s v="F103"/>
    <x v="4"/>
    <x v="0"/>
    <x v="0"/>
    <s v="N₂O"/>
    <n v="3500.3246159999999"/>
  </r>
  <r>
    <s v="F096"/>
    <x v="0"/>
    <x v="2"/>
    <x v="0"/>
    <s v="CH₄"/>
    <n v="3041.1635329999999"/>
  </r>
  <r>
    <s v="F154"/>
    <x v="0"/>
    <x v="0"/>
    <x v="0"/>
    <s v="CH₄"/>
    <n v="4584.1555330000001"/>
  </r>
  <r>
    <s v="F050"/>
    <x v="0"/>
    <x v="3"/>
    <x v="0"/>
    <s v="CH₄"/>
    <n v="3894.0086139999999"/>
  </r>
  <r>
    <s v="F103"/>
    <x v="4"/>
    <x v="1"/>
    <x v="1"/>
    <s v="CH₄"/>
    <n v="1782.56"/>
  </r>
  <r>
    <s v="F025"/>
    <x v="4"/>
    <x v="3"/>
    <x v="2"/>
    <s v="CH₄"/>
    <n v="4386.96"/>
  </r>
  <r>
    <s v="F152"/>
    <x v="4"/>
    <x v="0"/>
    <x v="2"/>
    <s v="N₂O"/>
    <n v="644.96"/>
  </r>
  <r>
    <s v="F112"/>
    <x v="4"/>
    <x v="3"/>
    <x v="1"/>
    <s v="CH₄"/>
    <n v="1942.26"/>
  </r>
  <r>
    <s v="F044"/>
    <x v="1"/>
    <x v="3"/>
    <x v="2"/>
    <s v="CH₄"/>
    <n v="1990.87"/>
  </r>
  <r>
    <s v="F019"/>
    <x v="0"/>
    <x v="2"/>
    <x v="1"/>
    <s v="CO₂"/>
    <n v="3260.58"/>
  </r>
  <r>
    <s v="F198"/>
    <x v="3"/>
    <x v="3"/>
    <x v="1"/>
    <s v="CH₄"/>
    <n v="1079.0999999999999"/>
  </r>
  <r>
    <s v="F027"/>
    <x v="4"/>
    <x v="2"/>
    <x v="2"/>
    <s v="CO₂"/>
    <n v="2675.56"/>
  </r>
  <r>
    <s v="F021"/>
    <x v="1"/>
    <x v="1"/>
    <x v="2"/>
    <s v="CO₂"/>
    <n v="1583.52"/>
  </r>
  <r>
    <s v="F138"/>
    <x v="0"/>
    <x v="2"/>
    <x v="2"/>
    <s v="CO₂"/>
    <n v="4798.47"/>
  </r>
  <r>
    <s v="F169"/>
    <x v="2"/>
    <x v="1"/>
    <x v="2"/>
    <s v="N₂O"/>
    <n v="856.9"/>
  </r>
  <r>
    <s v="F134"/>
    <x v="3"/>
    <x v="0"/>
    <x v="0"/>
    <s v="CH₄"/>
    <n v="1158.628164"/>
  </r>
  <r>
    <s v="F113"/>
    <x v="3"/>
    <x v="0"/>
    <x v="0"/>
    <s v="CO₂"/>
    <n v="5208.6131420000002"/>
  </r>
  <r>
    <s v="F011"/>
    <x v="4"/>
    <x v="0"/>
    <x v="2"/>
    <s v="CO₂"/>
    <n v="4745.3"/>
  </r>
  <r>
    <s v="F098"/>
    <x v="4"/>
    <x v="3"/>
    <x v="0"/>
    <s v="CH₄"/>
    <n v="693.43404539999995"/>
  </r>
  <r>
    <s v="F149"/>
    <x v="1"/>
    <x v="0"/>
    <x v="1"/>
    <s v="CO₂"/>
    <n v="3285.65"/>
  </r>
  <r>
    <s v="F135"/>
    <x v="3"/>
    <x v="3"/>
    <x v="2"/>
    <s v="N₂O"/>
    <n v="2731.22"/>
  </r>
  <r>
    <s v="F036"/>
    <x v="3"/>
    <x v="0"/>
    <x v="0"/>
    <s v="CH₄"/>
    <n v="2767.5414519999999"/>
  </r>
  <r>
    <s v="F200"/>
    <x v="1"/>
    <x v="1"/>
    <x v="2"/>
    <s v="N₂O"/>
    <n v="1719.12"/>
  </r>
  <r>
    <s v="F030"/>
    <x v="0"/>
    <x v="3"/>
    <x v="1"/>
    <s v="N₂O"/>
    <n v="2475.83"/>
  </r>
  <r>
    <s v="F118"/>
    <x v="0"/>
    <x v="1"/>
    <x v="0"/>
    <s v="CH₄"/>
    <n v="891.04242390000002"/>
  </r>
  <r>
    <s v="F043"/>
    <x v="0"/>
    <x v="3"/>
    <x v="1"/>
    <s v="CH₄"/>
    <n v="4421.93"/>
  </r>
  <r>
    <s v="F091"/>
    <x v="4"/>
    <x v="2"/>
    <x v="1"/>
    <s v="CH₄"/>
    <n v="3545.18"/>
  </r>
  <r>
    <s v="F092"/>
    <x v="4"/>
    <x v="3"/>
    <x v="1"/>
    <s v="CO₂"/>
    <n v="3073.82"/>
  </r>
  <r>
    <s v="F118"/>
    <x v="0"/>
    <x v="1"/>
    <x v="2"/>
    <s v="CO₂"/>
    <n v="1458.83"/>
  </r>
  <r>
    <s v="F066"/>
    <x v="4"/>
    <x v="0"/>
    <x v="2"/>
    <s v="N₂O"/>
    <n v="3457.1"/>
  </r>
  <r>
    <s v="F175"/>
    <x v="3"/>
    <x v="0"/>
    <x v="0"/>
    <s v="CO₂"/>
    <n v="1857.3661520000001"/>
  </r>
  <r>
    <s v="F032"/>
    <x v="1"/>
    <x v="3"/>
    <x v="0"/>
    <s v="CH₄"/>
    <n v="877.72838560000002"/>
  </r>
  <r>
    <s v="F125"/>
    <x v="1"/>
    <x v="3"/>
    <x v="0"/>
    <s v="CH₄"/>
    <n v="1349.7273479999999"/>
  </r>
  <r>
    <s v="F042"/>
    <x v="1"/>
    <x v="3"/>
    <x v="0"/>
    <s v="N₂O"/>
    <n v="5028.9440119999999"/>
  </r>
  <r>
    <s v="F087"/>
    <x v="4"/>
    <x v="3"/>
    <x v="0"/>
    <s v="CO₂"/>
    <n v="4368.4298479999998"/>
  </r>
  <r>
    <s v="F023"/>
    <x v="1"/>
    <x v="2"/>
    <x v="1"/>
    <s v="CO₂"/>
    <n v="3793.84"/>
  </r>
  <r>
    <s v="F030"/>
    <x v="0"/>
    <x v="0"/>
    <x v="2"/>
    <s v="CO₂"/>
    <n v="944.95"/>
  </r>
  <r>
    <s v="F054"/>
    <x v="3"/>
    <x v="2"/>
    <x v="0"/>
    <s v="CO₂"/>
    <n v="2973.3029620000002"/>
  </r>
  <r>
    <s v="F064"/>
    <x v="1"/>
    <x v="0"/>
    <x v="0"/>
    <s v="N₂O"/>
    <n v="3422.23"/>
  </r>
  <r>
    <s v="F121"/>
    <x v="3"/>
    <x v="1"/>
    <x v="2"/>
    <s v="CO₂"/>
    <n v="3754.94"/>
  </r>
  <r>
    <s v="F185"/>
    <x v="0"/>
    <x v="0"/>
    <x v="0"/>
    <s v="N₂O"/>
    <n v="1213.4732180000001"/>
  </r>
  <r>
    <s v="F099"/>
    <x v="3"/>
    <x v="1"/>
    <x v="2"/>
    <s v="N₂O"/>
    <n v="358.65"/>
  </r>
  <r>
    <s v="F035"/>
    <x v="4"/>
    <x v="1"/>
    <x v="1"/>
    <s v="N₂O"/>
    <n v="3630.35"/>
  </r>
  <r>
    <s v="F185"/>
    <x v="0"/>
    <x v="2"/>
    <x v="2"/>
    <s v="CH₄"/>
    <n v="3966.5"/>
  </r>
  <r>
    <s v="F185"/>
    <x v="0"/>
    <x v="3"/>
    <x v="0"/>
    <s v="CH₄"/>
    <n v="3886.2318919999998"/>
  </r>
  <r>
    <s v="F110"/>
    <x v="4"/>
    <x v="2"/>
    <x v="0"/>
    <s v="CH₄"/>
    <n v="1898.1840259999999"/>
  </r>
  <r>
    <s v="F064"/>
    <x v="1"/>
    <x v="2"/>
    <x v="2"/>
    <s v="CO₂"/>
    <n v="1366.72"/>
  </r>
  <r>
    <s v="F095"/>
    <x v="2"/>
    <x v="2"/>
    <x v="0"/>
    <s v="N₂O"/>
    <n v="1988.1353349999999"/>
  </r>
  <r>
    <s v="F132"/>
    <x v="4"/>
    <x v="1"/>
    <x v="2"/>
    <s v="CO₂"/>
    <n v="2529.38"/>
  </r>
  <r>
    <s v="F074"/>
    <x v="1"/>
    <x v="1"/>
    <x v="2"/>
    <s v="CH₄"/>
    <n v="3229.82"/>
  </r>
  <r>
    <s v="F042"/>
    <x v="1"/>
    <x v="1"/>
    <x v="1"/>
    <s v="N₂O"/>
    <n v="1835.81"/>
  </r>
  <r>
    <s v="F065"/>
    <x v="1"/>
    <x v="2"/>
    <x v="0"/>
    <s v="N₂O"/>
    <n v="4463.7645069999999"/>
  </r>
  <r>
    <s v="F047"/>
    <x v="0"/>
    <x v="1"/>
    <x v="0"/>
    <s v="CH₄"/>
    <n v="2646.5870319999999"/>
  </r>
  <r>
    <s v="F002"/>
    <x v="4"/>
    <x v="2"/>
    <x v="0"/>
    <s v="N₂O"/>
    <n v="3222.4658469999999"/>
  </r>
  <r>
    <s v="F007"/>
    <x v="4"/>
    <x v="2"/>
    <x v="1"/>
    <s v="CH₄"/>
    <n v="3493.4"/>
  </r>
  <r>
    <s v="F054"/>
    <x v="3"/>
    <x v="2"/>
    <x v="2"/>
    <s v="N₂O"/>
    <n v="871.61"/>
  </r>
  <r>
    <s v="F126"/>
    <x v="2"/>
    <x v="2"/>
    <x v="2"/>
    <s v="CO₂"/>
    <n v="407.43"/>
  </r>
  <r>
    <s v="F019"/>
    <x v="0"/>
    <x v="2"/>
    <x v="2"/>
    <s v="CH₄"/>
    <n v="4341.34"/>
  </r>
  <r>
    <s v="F178"/>
    <x v="3"/>
    <x v="1"/>
    <x v="0"/>
    <s v="CO₂"/>
    <n v="1935.295691"/>
  </r>
  <r>
    <s v="F038"/>
    <x v="4"/>
    <x v="2"/>
    <x v="1"/>
    <s v="CH₄"/>
    <n v="3547.68"/>
  </r>
  <r>
    <s v="F095"/>
    <x v="2"/>
    <x v="3"/>
    <x v="1"/>
    <s v="N₂O"/>
    <n v="4904.09"/>
  </r>
  <r>
    <s v="F101"/>
    <x v="3"/>
    <x v="0"/>
    <x v="1"/>
    <s v="CH₄"/>
    <n v="3391.08"/>
  </r>
  <r>
    <s v="F077"/>
    <x v="4"/>
    <x v="0"/>
    <x v="2"/>
    <s v="CH₄"/>
    <n v="589.80999999999995"/>
  </r>
  <r>
    <s v="F014"/>
    <x v="2"/>
    <x v="1"/>
    <x v="2"/>
    <s v="N₂O"/>
    <n v="1487.46"/>
  </r>
  <r>
    <s v="F065"/>
    <x v="1"/>
    <x v="1"/>
    <x v="1"/>
    <s v="N₂O"/>
    <n v="2879.35"/>
  </r>
  <r>
    <s v="F030"/>
    <x v="0"/>
    <x v="1"/>
    <x v="2"/>
    <s v="N₂O"/>
    <n v="3544.12"/>
  </r>
  <r>
    <s v="F065"/>
    <x v="1"/>
    <x v="0"/>
    <x v="1"/>
    <s v="CH₄"/>
    <n v="646.33000000000004"/>
  </r>
  <r>
    <s v="F006"/>
    <x v="4"/>
    <x v="2"/>
    <x v="1"/>
    <s v="CH₄"/>
    <n v="1569.86"/>
  </r>
  <r>
    <s v="F109"/>
    <x v="0"/>
    <x v="3"/>
    <x v="2"/>
    <s v="CO₂"/>
    <n v="2728.09"/>
  </r>
  <r>
    <s v="F197"/>
    <x v="2"/>
    <x v="2"/>
    <x v="2"/>
    <s v="CO₂"/>
    <n v="1865.65"/>
  </r>
  <r>
    <s v="F114"/>
    <x v="1"/>
    <x v="1"/>
    <x v="2"/>
    <s v="CH₄"/>
    <n v="4048.31"/>
  </r>
  <r>
    <s v="F139"/>
    <x v="0"/>
    <x v="3"/>
    <x v="2"/>
    <s v="CO₂"/>
    <n v="468.34"/>
  </r>
  <r>
    <s v="F075"/>
    <x v="3"/>
    <x v="1"/>
    <x v="2"/>
    <s v="CH₄"/>
    <n v="802.1"/>
  </r>
  <r>
    <s v="F108"/>
    <x v="3"/>
    <x v="3"/>
    <x v="0"/>
    <s v="CH₄"/>
    <n v="3548.259994"/>
  </r>
  <r>
    <s v="F155"/>
    <x v="2"/>
    <x v="0"/>
    <x v="1"/>
    <s v="CO₂"/>
    <n v="647.30999999999995"/>
  </r>
  <r>
    <s v="F112"/>
    <x v="4"/>
    <x v="3"/>
    <x v="1"/>
    <s v="N₂O"/>
    <n v="1024.8599999999999"/>
  </r>
  <r>
    <s v="F185"/>
    <x v="0"/>
    <x v="2"/>
    <x v="1"/>
    <s v="N₂O"/>
    <n v="304.14999999999998"/>
  </r>
  <r>
    <s v="F086"/>
    <x v="4"/>
    <x v="2"/>
    <x v="2"/>
    <s v="N₂O"/>
    <n v="4794.1899999999996"/>
  </r>
  <r>
    <s v="F115"/>
    <x v="3"/>
    <x v="3"/>
    <x v="2"/>
    <s v="N₂O"/>
    <n v="2331.7399999999998"/>
  </r>
  <r>
    <s v="F070"/>
    <x v="2"/>
    <x v="1"/>
    <x v="2"/>
    <s v="CH₄"/>
    <n v="4183.93"/>
  </r>
  <r>
    <s v="F023"/>
    <x v="1"/>
    <x v="1"/>
    <x v="1"/>
    <s v="CO₂"/>
    <n v="1515.76"/>
  </r>
  <r>
    <s v="F003"/>
    <x v="3"/>
    <x v="2"/>
    <x v="0"/>
    <s v="CH₄"/>
    <n v="4299.7299999999996"/>
  </r>
  <r>
    <s v="F161"/>
    <x v="2"/>
    <x v="1"/>
    <x v="2"/>
    <s v="N₂O"/>
    <n v="303.22000000000003"/>
  </r>
  <r>
    <s v="F089"/>
    <x v="4"/>
    <x v="0"/>
    <x v="1"/>
    <s v="CH₄"/>
    <n v="2427.3000000000002"/>
  </r>
  <r>
    <s v="F076"/>
    <x v="2"/>
    <x v="1"/>
    <x v="1"/>
    <s v="CO₂"/>
    <n v="3481.31"/>
  </r>
  <r>
    <s v="F036"/>
    <x v="3"/>
    <x v="2"/>
    <x v="2"/>
    <s v="CH₄"/>
    <n v="2451.0100000000002"/>
  </r>
  <r>
    <s v="F198"/>
    <x v="3"/>
    <x v="0"/>
    <x v="0"/>
    <s v="CH₄"/>
    <n v="2726.5885549999998"/>
  </r>
  <r>
    <s v="F170"/>
    <x v="2"/>
    <x v="1"/>
    <x v="2"/>
    <s v="N₂O"/>
    <n v="4059.4"/>
  </r>
  <r>
    <s v="F192"/>
    <x v="4"/>
    <x v="3"/>
    <x v="2"/>
    <s v="CH₄"/>
    <n v="3874.1"/>
  </r>
  <r>
    <s v="F118"/>
    <x v="0"/>
    <x v="3"/>
    <x v="1"/>
    <s v="CH₄"/>
    <n v="870.3"/>
  </r>
  <r>
    <s v="F170"/>
    <x v="2"/>
    <x v="0"/>
    <x v="2"/>
    <s v="N₂O"/>
    <n v="1471.82"/>
  </r>
  <r>
    <s v="F136"/>
    <x v="1"/>
    <x v="0"/>
    <x v="0"/>
    <s v="CH₄"/>
    <n v="3436.0007540000001"/>
  </r>
  <r>
    <s v="F148"/>
    <x v="1"/>
    <x v="1"/>
    <x v="0"/>
    <s v="N₂O"/>
    <n v="479.22266450000001"/>
  </r>
  <r>
    <s v="F043"/>
    <x v="0"/>
    <x v="2"/>
    <x v="1"/>
    <s v="CO₂"/>
    <n v="2840.69"/>
  </r>
  <r>
    <s v="F019"/>
    <x v="0"/>
    <x v="1"/>
    <x v="2"/>
    <s v="CO₂"/>
    <n v="1808.08"/>
  </r>
  <r>
    <s v="F143"/>
    <x v="1"/>
    <x v="3"/>
    <x v="2"/>
    <s v="N₂O"/>
    <n v="425.7"/>
  </r>
  <r>
    <s v="F145"/>
    <x v="4"/>
    <x v="3"/>
    <x v="1"/>
    <s v="CH₄"/>
    <n v="981.92"/>
  </r>
  <r>
    <s v="F017"/>
    <x v="2"/>
    <x v="0"/>
    <x v="0"/>
    <s v="CO₂"/>
    <n v="1089.2861559999999"/>
  </r>
  <r>
    <s v="F130"/>
    <x v="3"/>
    <x v="3"/>
    <x v="0"/>
    <s v="N₂O"/>
    <n v="4336.6087239999997"/>
  </r>
  <r>
    <s v="F026"/>
    <x v="2"/>
    <x v="2"/>
    <x v="0"/>
    <s v="CO₂"/>
    <n v="1820.9864809999999"/>
  </r>
  <r>
    <s v="F126"/>
    <x v="2"/>
    <x v="1"/>
    <x v="1"/>
    <s v="CO₂"/>
    <n v="2772.88"/>
  </r>
  <r>
    <s v="F084"/>
    <x v="3"/>
    <x v="1"/>
    <x v="1"/>
    <s v="N₂O"/>
    <n v="4985.09"/>
  </r>
  <r>
    <s v="F075"/>
    <x v="3"/>
    <x v="2"/>
    <x v="0"/>
    <s v="CH₄"/>
    <n v="4859.13"/>
  </r>
  <r>
    <s v="F139"/>
    <x v="0"/>
    <x v="3"/>
    <x v="2"/>
    <s v="CO₂"/>
    <n v="3855.03"/>
  </r>
  <r>
    <s v="F124"/>
    <x v="3"/>
    <x v="0"/>
    <x v="0"/>
    <s v="N₂O"/>
    <n v="1087.933657"/>
  </r>
  <r>
    <s v="F079"/>
    <x v="2"/>
    <x v="0"/>
    <x v="1"/>
    <s v="CH₄"/>
    <n v="3311.86"/>
  </r>
  <r>
    <s v="F075"/>
    <x v="3"/>
    <x v="0"/>
    <x v="0"/>
    <s v="N₂O"/>
    <n v="3496.49"/>
  </r>
  <r>
    <s v="F046"/>
    <x v="4"/>
    <x v="3"/>
    <x v="2"/>
    <s v="CH₄"/>
    <n v="3355.28"/>
  </r>
  <r>
    <s v="F174"/>
    <x v="3"/>
    <x v="0"/>
    <x v="0"/>
    <s v="CH₄"/>
    <n v="4871.4203090000001"/>
  </r>
  <r>
    <s v="F008"/>
    <x v="3"/>
    <x v="1"/>
    <x v="0"/>
    <s v="CH₄"/>
    <n v="1245.54"/>
  </r>
  <r>
    <s v="F028"/>
    <x v="4"/>
    <x v="3"/>
    <x v="1"/>
    <s v="CO₂"/>
    <n v="2891.84"/>
  </r>
  <r>
    <s v="F042"/>
    <x v="1"/>
    <x v="0"/>
    <x v="1"/>
    <s v="CH₄"/>
    <n v="2482.64"/>
  </r>
  <r>
    <s v="F140"/>
    <x v="4"/>
    <x v="2"/>
    <x v="0"/>
    <s v="CH₄"/>
    <n v="3463.8851949999998"/>
  </r>
  <r>
    <s v="F147"/>
    <x v="1"/>
    <x v="0"/>
    <x v="0"/>
    <s v="N₂O"/>
    <n v="2901.3369090000001"/>
  </r>
  <r>
    <s v="F020"/>
    <x v="2"/>
    <x v="3"/>
    <x v="1"/>
    <s v="CO₂"/>
    <n v="1323.76"/>
  </r>
  <r>
    <s v="F076"/>
    <x v="2"/>
    <x v="0"/>
    <x v="0"/>
    <s v="N₂O"/>
    <n v="2332.1231010000001"/>
  </r>
  <r>
    <s v="F009"/>
    <x v="0"/>
    <x v="0"/>
    <x v="2"/>
    <s v="N₂O"/>
    <n v="462.78"/>
  </r>
  <r>
    <s v="F147"/>
    <x v="1"/>
    <x v="2"/>
    <x v="1"/>
    <s v="CO₂"/>
    <n v="1229.33"/>
  </r>
  <r>
    <s v="F176"/>
    <x v="4"/>
    <x v="1"/>
    <x v="1"/>
    <s v="CO₂"/>
    <n v="3457.79"/>
  </r>
  <r>
    <s v="F161"/>
    <x v="2"/>
    <x v="0"/>
    <x v="1"/>
    <s v="CO₂"/>
    <n v="3519.41"/>
  </r>
  <r>
    <s v="F170"/>
    <x v="2"/>
    <x v="0"/>
    <x v="2"/>
    <s v="N₂O"/>
    <n v="2913.47"/>
  </r>
  <r>
    <s v="F142"/>
    <x v="0"/>
    <x v="3"/>
    <x v="2"/>
    <s v="CO₂"/>
    <n v="1431.51"/>
  </r>
  <r>
    <s v="F063"/>
    <x v="4"/>
    <x v="3"/>
    <x v="2"/>
    <s v="N₂O"/>
    <n v="2346.0500000000002"/>
  </r>
  <r>
    <s v="F174"/>
    <x v="3"/>
    <x v="0"/>
    <x v="2"/>
    <s v="CO₂"/>
    <n v="4191.3599999999997"/>
  </r>
  <r>
    <s v="F193"/>
    <x v="1"/>
    <x v="3"/>
    <x v="0"/>
    <s v="CO₂"/>
    <n v="2422.4672390000001"/>
  </r>
  <r>
    <s v="F197"/>
    <x v="2"/>
    <x v="1"/>
    <x v="0"/>
    <s v="CH₄"/>
    <n v="3331.6588299999999"/>
  </r>
  <r>
    <s v="F113"/>
    <x v="3"/>
    <x v="3"/>
    <x v="1"/>
    <s v="CO₂"/>
    <n v="1833.49"/>
  </r>
  <r>
    <s v="F062"/>
    <x v="2"/>
    <x v="2"/>
    <x v="1"/>
    <s v="CH₄"/>
    <n v="4018.22"/>
  </r>
  <r>
    <s v="F156"/>
    <x v="2"/>
    <x v="2"/>
    <x v="0"/>
    <s v="CH₄"/>
    <n v="2681.922975"/>
  </r>
  <r>
    <s v="F161"/>
    <x v="2"/>
    <x v="1"/>
    <x v="0"/>
    <s v="N₂O"/>
    <n v="1889.493285"/>
  </r>
  <r>
    <s v="F029"/>
    <x v="4"/>
    <x v="3"/>
    <x v="1"/>
    <s v="CH₄"/>
    <n v="1407.92"/>
  </r>
  <r>
    <s v="F127"/>
    <x v="3"/>
    <x v="3"/>
    <x v="1"/>
    <s v="CO₂"/>
    <n v="4935.72"/>
  </r>
  <r>
    <s v="F093"/>
    <x v="2"/>
    <x v="0"/>
    <x v="0"/>
    <s v="CO₂"/>
    <n v="2103.19"/>
  </r>
  <r>
    <s v="F169"/>
    <x v="2"/>
    <x v="2"/>
    <x v="2"/>
    <s v="CH₄"/>
    <n v="2046.76"/>
  </r>
  <r>
    <s v="F063"/>
    <x v="4"/>
    <x v="0"/>
    <x v="1"/>
    <s v="N₂O"/>
    <n v="3397.43"/>
  </r>
  <r>
    <s v="F142"/>
    <x v="0"/>
    <x v="1"/>
    <x v="0"/>
    <s v="CH₄"/>
    <n v="3221.574627"/>
  </r>
  <r>
    <s v="F089"/>
    <x v="4"/>
    <x v="1"/>
    <x v="0"/>
    <s v="CO₂"/>
    <n v="4882.4680390000003"/>
  </r>
  <r>
    <s v="F051"/>
    <x v="4"/>
    <x v="1"/>
    <x v="2"/>
    <s v="N₂O"/>
    <n v="2857.09"/>
  </r>
  <r>
    <s v="F083"/>
    <x v="2"/>
    <x v="0"/>
    <x v="1"/>
    <s v="N₂O"/>
    <n v="1140.1600000000001"/>
  </r>
  <r>
    <s v="F175"/>
    <x v="3"/>
    <x v="3"/>
    <x v="0"/>
    <s v="N₂O"/>
    <n v="2822.9423630000001"/>
  </r>
  <r>
    <s v="F072"/>
    <x v="2"/>
    <x v="2"/>
    <x v="2"/>
    <s v="CO₂"/>
    <n v="727.78"/>
  </r>
  <r>
    <s v="F043"/>
    <x v="0"/>
    <x v="0"/>
    <x v="0"/>
    <s v="CH₄"/>
    <n v="367.90000450000002"/>
  </r>
  <r>
    <s v="F123"/>
    <x v="1"/>
    <x v="3"/>
    <x v="1"/>
    <s v="CH₄"/>
    <n v="2303.56"/>
  </r>
  <r>
    <s v="F168"/>
    <x v="2"/>
    <x v="3"/>
    <x v="1"/>
    <s v="CO₂"/>
    <n v="1650.12"/>
  </r>
  <r>
    <s v="F047"/>
    <x v="0"/>
    <x v="0"/>
    <x v="0"/>
    <s v="CO₂"/>
    <n v="4564.4035119999999"/>
  </r>
  <r>
    <s v="F148"/>
    <x v="1"/>
    <x v="0"/>
    <x v="1"/>
    <s v="N₂O"/>
    <n v="3466.51"/>
  </r>
  <r>
    <s v="F185"/>
    <x v="0"/>
    <x v="1"/>
    <x v="1"/>
    <s v="CO₂"/>
    <n v="4237.8100000000004"/>
  </r>
  <r>
    <s v="F057"/>
    <x v="1"/>
    <x v="2"/>
    <x v="2"/>
    <s v="N₂O"/>
    <n v="323.04000000000002"/>
  </r>
  <r>
    <s v="F047"/>
    <x v="0"/>
    <x v="2"/>
    <x v="2"/>
    <s v="N₂O"/>
    <n v="3867.63"/>
  </r>
  <r>
    <s v="F185"/>
    <x v="0"/>
    <x v="2"/>
    <x v="0"/>
    <s v="CO₂"/>
    <n v="748.11408010000002"/>
  </r>
  <r>
    <s v="F017"/>
    <x v="2"/>
    <x v="2"/>
    <x v="0"/>
    <s v="CO₂"/>
    <n v="654.85997269999996"/>
  </r>
  <r>
    <s v="F198"/>
    <x v="3"/>
    <x v="0"/>
    <x v="1"/>
    <s v="N₂O"/>
    <n v="2241.89"/>
  </r>
  <r>
    <s v="F121"/>
    <x v="3"/>
    <x v="1"/>
    <x v="2"/>
    <s v="CH₄"/>
    <n v="3489.31"/>
  </r>
  <r>
    <s v="F028"/>
    <x v="4"/>
    <x v="2"/>
    <x v="1"/>
    <s v="CO₂"/>
    <n v="2200.2199999999998"/>
  </r>
  <r>
    <s v="F123"/>
    <x v="1"/>
    <x v="2"/>
    <x v="1"/>
    <s v="CO₂"/>
    <n v="3247.72"/>
  </r>
  <r>
    <s v="F045"/>
    <x v="0"/>
    <x v="1"/>
    <x v="2"/>
    <s v="N₂O"/>
    <n v="3855.39"/>
  </r>
  <r>
    <s v="F194"/>
    <x v="3"/>
    <x v="0"/>
    <x v="0"/>
    <s v="N₂O"/>
    <n v="3111.261825"/>
  </r>
  <r>
    <s v="F025"/>
    <x v="4"/>
    <x v="3"/>
    <x v="1"/>
    <s v="CH₄"/>
    <n v="2036.83"/>
  </r>
  <r>
    <s v="F032"/>
    <x v="1"/>
    <x v="0"/>
    <x v="1"/>
    <s v="CO₂"/>
    <n v="4876.37"/>
  </r>
  <r>
    <s v="F095"/>
    <x v="2"/>
    <x v="0"/>
    <x v="1"/>
    <s v="N₂O"/>
    <n v="4256.16"/>
  </r>
  <r>
    <s v="F057"/>
    <x v="1"/>
    <x v="1"/>
    <x v="1"/>
    <s v="CO₂"/>
    <n v="4947.18"/>
  </r>
  <r>
    <s v="F120"/>
    <x v="4"/>
    <x v="3"/>
    <x v="2"/>
    <s v="CH₄"/>
    <n v="425.91"/>
  </r>
  <r>
    <s v="F200"/>
    <x v="1"/>
    <x v="0"/>
    <x v="2"/>
    <s v="CH₄"/>
    <n v="4620.84"/>
  </r>
  <r>
    <s v="F193"/>
    <x v="1"/>
    <x v="0"/>
    <x v="0"/>
    <s v="N₂O"/>
    <n v="4302.503428"/>
  </r>
  <r>
    <s v="F033"/>
    <x v="0"/>
    <x v="3"/>
    <x v="1"/>
    <s v="CO₂"/>
    <n v="2571.46"/>
  </r>
  <r>
    <s v="F061"/>
    <x v="1"/>
    <x v="0"/>
    <x v="1"/>
    <s v="CO₂"/>
    <n v="968.92"/>
  </r>
  <r>
    <s v="F106"/>
    <x v="3"/>
    <x v="2"/>
    <x v="0"/>
    <s v="N₂O"/>
    <n v="2916.987545"/>
  </r>
  <r>
    <s v="F101"/>
    <x v="3"/>
    <x v="0"/>
    <x v="0"/>
    <s v="CH₄"/>
    <n v="4400.8911360000002"/>
  </r>
  <r>
    <s v="F142"/>
    <x v="0"/>
    <x v="1"/>
    <x v="0"/>
    <s v="CH₄"/>
    <n v="1791.2917809999999"/>
  </r>
  <r>
    <s v="F024"/>
    <x v="4"/>
    <x v="0"/>
    <x v="1"/>
    <s v="CO₂"/>
    <n v="594.47"/>
  </r>
  <r>
    <s v="F187"/>
    <x v="2"/>
    <x v="3"/>
    <x v="2"/>
    <s v="CO₂"/>
    <n v="2602.85"/>
  </r>
  <r>
    <s v="F104"/>
    <x v="4"/>
    <x v="0"/>
    <x v="1"/>
    <s v="N₂O"/>
    <n v="558.53"/>
  </r>
  <r>
    <s v="F046"/>
    <x v="4"/>
    <x v="2"/>
    <x v="2"/>
    <s v="N₂O"/>
    <n v="3004.54"/>
  </r>
  <r>
    <s v="F144"/>
    <x v="2"/>
    <x v="3"/>
    <x v="1"/>
    <s v="CO₂"/>
    <n v="1288.92"/>
  </r>
  <r>
    <s v="F150"/>
    <x v="4"/>
    <x v="0"/>
    <x v="0"/>
    <s v="N₂O"/>
    <n v="4950.7719509999997"/>
  </r>
  <r>
    <s v="F101"/>
    <x v="3"/>
    <x v="3"/>
    <x v="2"/>
    <s v="N₂O"/>
    <n v="3982.02"/>
  </r>
  <r>
    <s v="F029"/>
    <x v="4"/>
    <x v="0"/>
    <x v="2"/>
    <s v="N₂O"/>
    <n v="106.32"/>
  </r>
  <r>
    <s v="F129"/>
    <x v="1"/>
    <x v="3"/>
    <x v="0"/>
    <s v="CH₄"/>
    <n v="1752.0338509999999"/>
  </r>
  <r>
    <s v="F072"/>
    <x v="2"/>
    <x v="1"/>
    <x v="2"/>
    <s v="CO₂"/>
    <n v="2963"/>
  </r>
  <r>
    <s v="F011"/>
    <x v="4"/>
    <x v="1"/>
    <x v="2"/>
    <s v="CH₄"/>
    <n v="2067.13"/>
  </r>
  <r>
    <s v="F098"/>
    <x v="4"/>
    <x v="0"/>
    <x v="2"/>
    <s v="CO₂"/>
    <n v="1493.38"/>
  </r>
  <r>
    <s v="F122"/>
    <x v="4"/>
    <x v="0"/>
    <x v="0"/>
    <s v="N₂O"/>
    <n v="1311.8245979999999"/>
  </r>
  <r>
    <s v="F150"/>
    <x v="4"/>
    <x v="0"/>
    <x v="0"/>
    <s v="CO₂"/>
    <n v="3998.6273169999999"/>
  </r>
  <r>
    <s v="F101"/>
    <x v="3"/>
    <x v="3"/>
    <x v="1"/>
    <s v="CH₄"/>
    <n v="4224.63"/>
  </r>
  <r>
    <s v="F036"/>
    <x v="3"/>
    <x v="3"/>
    <x v="0"/>
    <s v="CO₂"/>
    <n v="2249.1121229999999"/>
  </r>
  <r>
    <s v="F046"/>
    <x v="4"/>
    <x v="2"/>
    <x v="2"/>
    <s v="N₂O"/>
    <n v="1492.82"/>
  </r>
  <r>
    <s v="F183"/>
    <x v="3"/>
    <x v="0"/>
    <x v="0"/>
    <s v="N₂O"/>
    <n v="4652.8755929999998"/>
  </r>
  <r>
    <s v="F045"/>
    <x v="0"/>
    <x v="3"/>
    <x v="1"/>
    <s v="CH₄"/>
    <n v="2725.88"/>
  </r>
  <r>
    <s v="F084"/>
    <x v="3"/>
    <x v="2"/>
    <x v="0"/>
    <s v="N₂O"/>
    <n v="3666.3757099999998"/>
  </r>
  <r>
    <s v="F067"/>
    <x v="1"/>
    <x v="2"/>
    <x v="2"/>
    <s v="CO₂"/>
    <n v="216.52"/>
  </r>
  <r>
    <s v="F058"/>
    <x v="1"/>
    <x v="3"/>
    <x v="1"/>
    <s v="CH₄"/>
    <n v="1898.59"/>
  </r>
  <r>
    <s v="F048"/>
    <x v="0"/>
    <x v="2"/>
    <x v="0"/>
    <s v="CH₄"/>
    <n v="3557.5735020000002"/>
  </r>
  <r>
    <s v="F128"/>
    <x v="2"/>
    <x v="1"/>
    <x v="0"/>
    <s v="CO₂"/>
    <n v="1488.084012"/>
  </r>
  <r>
    <s v="F088"/>
    <x v="0"/>
    <x v="2"/>
    <x v="1"/>
    <s v="CH₄"/>
    <n v="4949.0200000000004"/>
  </r>
  <r>
    <s v="F012"/>
    <x v="3"/>
    <x v="3"/>
    <x v="0"/>
    <s v="CO₂"/>
    <n v="601.16792499999997"/>
  </r>
  <r>
    <s v="F137"/>
    <x v="0"/>
    <x v="2"/>
    <x v="0"/>
    <s v="CO₂"/>
    <n v="4121.8599999999997"/>
  </r>
  <r>
    <s v="F036"/>
    <x v="3"/>
    <x v="1"/>
    <x v="2"/>
    <s v="CO₂"/>
    <n v="2038.67"/>
  </r>
  <r>
    <s v="F149"/>
    <x v="1"/>
    <x v="2"/>
    <x v="1"/>
    <s v="CH₄"/>
    <n v="1823.3"/>
  </r>
  <r>
    <s v="F160"/>
    <x v="4"/>
    <x v="0"/>
    <x v="0"/>
    <s v="CH₄"/>
    <n v="380.59776870000002"/>
  </r>
  <r>
    <s v="F003"/>
    <x v="3"/>
    <x v="1"/>
    <x v="2"/>
    <s v="CO₂"/>
    <n v="3069.63"/>
  </r>
  <r>
    <s v="F089"/>
    <x v="4"/>
    <x v="0"/>
    <x v="2"/>
    <s v="CO₂"/>
    <n v="1532.06"/>
  </r>
  <r>
    <s v="F053"/>
    <x v="0"/>
    <x v="0"/>
    <x v="2"/>
    <s v="CH₄"/>
    <n v="3269.38"/>
  </r>
  <r>
    <s v="F084"/>
    <x v="3"/>
    <x v="0"/>
    <x v="0"/>
    <s v="CH₄"/>
    <n v="2397.750059"/>
  </r>
  <r>
    <s v="F026"/>
    <x v="2"/>
    <x v="3"/>
    <x v="1"/>
    <s v="CH₄"/>
    <n v="1104.3599999999999"/>
  </r>
  <r>
    <s v="F161"/>
    <x v="2"/>
    <x v="0"/>
    <x v="0"/>
    <s v="N₂O"/>
    <n v="5406.2894820000001"/>
  </r>
  <r>
    <s v="F078"/>
    <x v="0"/>
    <x v="0"/>
    <x v="2"/>
    <s v="CO₂"/>
    <n v="2419.31"/>
  </r>
  <r>
    <s v="F096"/>
    <x v="0"/>
    <x v="3"/>
    <x v="0"/>
    <s v="N₂O"/>
    <n v="1984.2661450000001"/>
  </r>
  <r>
    <s v="F162"/>
    <x v="3"/>
    <x v="1"/>
    <x v="2"/>
    <s v="CO₂"/>
    <n v="2554.5100000000002"/>
  </r>
  <r>
    <s v="F147"/>
    <x v="1"/>
    <x v="2"/>
    <x v="1"/>
    <s v="CH₄"/>
    <n v="2087.4"/>
  </r>
  <r>
    <s v="F089"/>
    <x v="4"/>
    <x v="3"/>
    <x v="2"/>
    <s v="CO₂"/>
    <n v="3785.96"/>
  </r>
  <r>
    <s v="F064"/>
    <x v="1"/>
    <x v="2"/>
    <x v="1"/>
    <s v="CO₂"/>
    <n v="4818.79"/>
  </r>
  <r>
    <s v="F046"/>
    <x v="4"/>
    <x v="1"/>
    <x v="1"/>
    <s v="CO₂"/>
    <n v="4888.34"/>
  </r>
  <r>
    <s v="F107"/>
    <x v="2"/>
    <x v="3"/>
    <x v="1"/>
    <s v="CO₂"/>
    <n v="3595.37"/>
  </r>
  <r>
    <s v="F041"/>
    <x v="1"/>
    <x v="3"/>
    <x v="1"/>
    <s v="CH₄"/>
    <n v="4258.79"/>
  </r>
  <r>
    <s v="F110"/>
    <x v="4"/>
    <x v="3"/>
    <x v="2"/>
    <s v="CO₂"/>
    <n v="2679.07"/>
  </r>
  <r>
    <s v="F100"/>
    <x v="0"/>
    <x v="0"/>
    <x v="2"/>
    <s v="N₂O"/>
    <n v="3884.75"/>
  </r>
  <r>
    <s v="F175"/>
    <x v="3"/>
    <x v="3"/>
    <x v="2"/>
    <s v="N₂O"/>
    <n v="3771"/>
  </r>
  <r>
    <s v="F192"/>
    <x v="4"/>
    <x v="0"/>
    <x v="0"/>
    <s v="CH₄"/>
    <n v="3711.3889049999998"/>
  </r>
  <r>
    <s v="F162"/>
    <x v="3"/>
    <x v="3"/>
    <x v="1"/>
    <s v="CO₂"/>
    <n v="506.34"/>
  </r>
  <r>
    <s v="F190"/>
    <x v="0"/>
    <x v="0"/>
    <x v="0"/>
    <s v="CH₄"/>
    <n v="2868.75"/>
  </r>
  <r>
    <s v="F011"/>
    <x v="4"/>
    <x v="1"/>
    <x v="2"/>
    <s v="CO₂"/>
    <n v="4633.6899999999996"/>
  </r>
  <r>
    <s v="F032"/>
    <x v="1"/>
    <x v="2"/>
    <x v="2"/>
    <s v="CO₂"/>
    <n v="822.11"/>
  </r>
  <r>
    <s v="F015"/>
    <x v="4"/>
    <x v="3"/>
    <x v="2"/>
    <s v="N₂O"/>
    <n v="381.04"/>
  </r>
  <r>
    <s v="F152"/>
    <x v="4"/>
    <x v="2"/>
    <x v="1"/>
    <s v="CH₄"/>
    <n v="4854.5"/>
  </r>
  <r>
    <s v="F120"/>
    <x v="4"/>
    <x v="3"/>
    <x v="1"/>
    <s v="CH₄"/>
    <n v="4069.56"/>
  </r>
  <r>
    <s v="F009"/>
    <x v="0"/>
    <x v="0"/>
    <x v="2"/>
    <s v="N₂O"/>
    <n v="4573.76"/>
  </r>
  <r>
    <s v="F038"/>
    <x v="4"/>
    <x v="3"/>
    <x v="2"/>
    <s v="CO₂"/>
    <n v="202.63"/>
  </r>
  <r>
    <s v="F018"/>
    <x v="4"/>
    <x v="3"/>
    <x v="1"/>
    <s v="CH₄"/>
    <n v="948.57"/>
  </r>
  <r>
    <s v="F159"/>
    <x v="0"/>
    <x v="2"/>
    <x v="0"/>
    <s v="N₂O"/>
    <n v="1391.940732"/>
  </r>
  <r>
    <s v="F054"/>
    <x v="3"/>
    <x v="0"/>
    <x v="0"/>
    <s v="CH₄"/>
    <n v="262.76459319999998"/>
  </r>
  <r>
    <s v="F100"/>
    <x v="0"/>
    <x v="2"/>
    <x v="2"/>
    <s v="N₂O"/>
    <n v="1987.36"/>
  </r>
  <r>
    <s v="F112"/>
    <x v="4"/>
    <x v="3"/>
    <x v="1"/>
    <s v="CH₄"/>
    <n v="4710.57"/>
  </r>
  <r>
    <s v="F081"/>
    <x v="1"/>
    <x v="2"/>
    <x v="0"/>
    <s v="CO₂"/>
    <n v="897.12"/>
  </r>
  <r>
    <s v="F175"/>
    <x v="3"/>
    <x v="0"/>
    <x v="2"/>
    <s v="CH₄"/>
    <n v="4466.1000000000004"/>
  </r>
  <r>
    <s v="F173"/>
    <x v="1"/>
    <x v="1"/>
    <x v="2"/>
    <s v="N₂O"/>
    <n v="4306.16"/>
  </r>
  <r>
    <s v="F117"/>
    <x v="2"/>
    <x v="1"/>
    <x v="2"/>
    <s v="N₂O"/>
    <n v="3510.58"/>
  </r>
  <r>
    <s v="F198"/>
    <x v="3"/>
    <x v="1"/>
    <x v="1"/>
    <s v="N₂O"/>
    <n v="1053.8399999999999"/>
  </r>
  <r>
    <s v="F035"/>
    <x v="4"/>
    <x v="1"/>
    <x v="1"/>
    <s v="CO₂"/>
    <n v="1084.81"/>
  </r>
  <r>
    <s v="F148"/>
    <x v="1"/>
    <x v="3"/>
    <x v="1"/>
    <s v="CH₄"/>
    <n v="618.54"/>
  </r>
  <r>
    <s v="F114"/>
    <x v="1"/>
    <x v="1"/>
    <x v="2"/>
    <s v="N₂O"/>
    <n v="3730.83"/>
  </r>
  <r>
    <s v="F112"/>
    <x v="4"/>
    <x v="0"/>
    <x v="0"/>
    <s v="N₂O"/>
    <n v="3608.0164239999999"/>
  </r>
  <r>
    <s v="F072"/>
    <x v="2"/>
    <x v="3"/>
    <x v="1"/>
    <s v="N₂O"/>
    <n v="4037.93"/>
  </r>
  <r>
    <s v="F194"/>
    <x v="3"/>
    <x v="0"/>
    <x v="0"/>
    <s v="N₂O"/>
    <n v="454.38129889999999"/>
  </r>
  <r>
    <s v="F145"/>
    <x v="4"/>
    <x v="3"/>
    <x v="1"/>
    <s v="N₂O"/>
    <n v="3824.73"/>
  </r>
  <r>
    <s v="F014"/>
    <x v="2"/>
    <x v="2"/>
    <x v="0"/>
    <s v="CO₂"/>
    <n v="2188.666952"/>
  </r>
  <r>
    <s v="F182"/>
    <x v="3"/>
    <x v="2"/>
    <x v="1"/>
    <s v="N₂O"/>
    <n v="1638.41"/>
  </r>
  <r>
    <s v="F005"/>
    <x v="4"/>
    <x v="0"/>
    <x v="1"/>
    <s v="CO₂"/>
    <n v="4638.62"/>
  </r>
  <r>
    <s v="F158"/>
    <x v="3"/>
    <x v="1"/>
    <x v="1"/>
    <s v="CO₂"/>
    <n v="2700.91"/>
  </r>
  <r>
    <s v="F057"/>
    <x v="1"/>
    <x v="0"/>
    <x v="1"/>
    <s v="N₂O"/>
    <n v="4888.18"/>
  </r>
  <r>
    <s v="F039"/>
    <x v="2"/>
    <x v="0"/>
    <x v="0"/>
    <s v="CH₄"/>
    <n v="1395.928737"/>
  </r>
  <r>
    <s v="F110"/>
    <x v="4"/>
    <x v="3"/>
    <x v="2"/>
    <s v="N₂O"/>
    <n v="2978"/>
  </r>
  <r>
    <s v="F043"/>
    <x v="0"/>
    <x v="2"/>
    <x v="1"/>
    <s v="CH₄"/>
    <n v="2047.72"/>
  </r>
  <r>
    <s v="F080"/>
    <x v="3"/>
    <x v="2"/>
    <x v="1"/>
    <s v="CO₂"/>
    <n v="2384.92"/>
  </r>
  <r>
    <s v="F126"/>
    <x v="2"/>
    <x v="2"/>
    <x v="0"/>
    <s v="CH₄"/>
    <n v="1560.1904489999999"/>
  </r>
  <r>
    <s v="F077"/>
    <x v="4"/>
    <x v="0"/>
    <x v="1"/>
    <s v="N₂O"/>
    <n v="4290.7299999999996"/>
  </r>
  <r>
    <s v="F130"/>
    <x v="3"/>
    <x v="0"/>
    <x v="0"/>
    <s v="N₂O"/>
    <n v="2521.882044"/>
  </r>
  <r>
    <s v="F154"/>
    <x v="0"/>
    <x v="1"/>
    <x v="2"/>
    <s v="CO₂"/>
    <n v="3941.05"/>
  </r>
  <r>
    <s v="F003"/>
    <x v="3"/>
    <x v="2"/>
    <x v="1"/>
    <s v="N₂O"/>
    <n v="992.87"/>
  </r>
  <r>
    <s v="F162"/>
    <x v="3"/>
    <x v="3"/>
    <x v="1"/>
    <s v="CH₄"/>
    <n v="3998.2"/>
  </r>
  <r>
    <s v="F128"/>
    <x v="2"/>
    <x v="1"/>
    <x v="2"/>
    <s v="N₂O"/>
    <n v="951.15"/>
  </r>
  <r>
    <s v="F146"/>
    <x v="2"/>
    <x v="3"/>
    <x v="0"/>
    <s v="CH₄"/>
    <n v="602.29235949999998"/>
  </r>
  <r>
    <s v="F158"/>
    <x v="3"/>
    <x v="1"/>
    <x v="1"/>
    <s v="CO₂"/>
    <n v="4791.01"/>
  </r>
  <r>
    <s v="F181"/>
    <x v="3"/>
    <x v="2"/>
    <x v="1"/>
    <s v="CO₂"/>
    <n v="2408.38"/>
  </r>
  <r>
    <s v="F166"/>
    <x v="3"/>
    <x v="1"/>
    <x v="0"/>
    <s v="CH₄"/>
    <n v="2703.065008"/>
  </r>
  <r>
    <s v="F003"/>
    <x v="3"/>
    <x v="3"/>
    <x v="2"/>
    <s v="CO₂"/>
    <n v="4204.6899999999996"/>
  </r>
  <r>
    <s v="F106"/>
    <x v="3"/>
    <x v="3"/>
    <x v="0"/>
    <s v="N₂O"/>
    <n v="947.61289599999998"/>
  </r>
  <r>
    <s v="F132"/>
    <x v="4"/>
    <x v="1"/>
    <x v="2"/>
    <s v="CH₄"/>
    <n v="3632.9"/>
  </r>
  <r>
    <s v="F184"/>
    <x v="0"/>
    <x v="0"/>
    <x v="0"/>
    <s v="CO₂"/>
    <n v="3124.8907899999999"/>
  </r>
  <r>
    <s v="F032"/>
    <x v="1"/>
    <x v="3"/>
    <x v="1"/>
    <s v="N₂O"/>
    <n v="4679.05"/>
  </r>
  <r>
    <s v="F168"/>
    <x v="2"/>
    <x v="0"/>
    <x v="0"/>
    <s v="CH₄"/>
    <n v="4154.095757"/>
  </r>
  <r>
    <s v="F145"/>
    <x v="4"/>
    <x v="0"/>
    <x v="1"/>
    <s v="CH₄"/>
    <n v="132.24"/>
  </r>
  <r>
    <s v="F129"/>
    <x v="1"/>
    <x v="3"/>
    <x v="1"/>
    <s v="CO₂"/>
    <n v="3066.65"/>
  </r>
  <r>
    <s v="F155"/>
    <x v="2"/>
    <x v="2"/>
    <x v="0"/>
    <s v="CO₂"/>
    <n v="1342.8827699999999"/>
  </r>
  <r>
    <s v="F056"/>
    <x v="4"/>
    <x v="2"/>
    <x v="1"/>
    <s v="N₂O"/>
    <n v="3919.95"/>
  </r>
  <r>
    <s v="F083"/>
    <x v="2"/>
    <x v="0"/>
    <x v="1"/>
    <s v="N₂O"/>
    <n v="4408.78"/>
  </r>
  <r>
    <s v="F092"/>
    <x v="4"/>
    <x v="3"/>
    <x v="1"/>
    <s v="CO₂"/>
    <n v="4970.6899999999996"/>
  </r>
  <r>
    <s v="F130"/>
    <x v="3"/>
    <x v="0"/>
    <x v="0"/>
    <s v="CO₂"/>
    <n v="1694.1939150000001"/>
  </r>
  <r>
    <s v="F054"/>
    <x v="3"/>
    <x v="3"/>
    <x v="1"/>
    <s v="CO₂"/>
    <n v="4225.8"/>
  </r>
  <r>
    <s v="F161"/>
    <x v="2"/>
    <x v="0"/>
    <x v="1"/>
    <s v="CO₂"/>
    <n v="2933.56"/>
  </r>
  <r>
    <s v="F124"/>
    <x v="3"/>
    <x v="2"/>
    <x v="0"/>
    <s v="CH₄"/>
    <n v="1192.3339940000001"/>
  </r>
  <r>
    <s v="F043"/>
    <x v="0"/>
    <x v="0"/>
    <x v="1"/>
    <s v="N₂O"/>
    <n v="2457.1"/>
  </r>
  <r>
    <s v="F128"/>
    <x v="2"/>
    <x v="1"/>
    <x v="2"/>
    <s v="N₂O"/>
    <n v="3801.93"/>
  </r>
  <r>
    <s v="F115"/>
    <x v="3"/>
    <x v="3"/>
    <x v="2"/>
    <s v="N₂O"/>
    <n v="2334.69"/>
  </r>
  <r>
    <s v="F048"/>
    <x v="0"/>
    <x v="1"/>
    <x v="2"/>
    <s v="CH₄"/>
    <n v="4761.95"/>
  </r>
  <r>
    <s v="F081"/>
    <x v="1"/>
    <x v="3"/>
    <x v="1"/>
    <s v="N₂O"/>
    <n v="4516.03"/>
  </r>
  <r>
    <s v="F076"/>
    <x v="2"/>
    <x v="0"/>
    <x v="0"/>
    <s v="N₂O"/>
    <n v="4645.5949979999996"/>
  </r>
  <r>
    <s v="F032"/>
    <x v="1"/>
    <x v="2"/>
    <x v="2"/>
    <s v="N₂O"/>
    <n v="3245.36"/>
  </r>
  <r>
    <s v="F094"/>
    <x v="3"/>
    <x v="2"/>
    <x v="1"/>
    <s v="CH₄"/>
    <n v="3907.47"/>
  </r>
  <r>
    <s v="F111"/>
    <x v="3"/>
    <x v="1"/>
    <x v="0"/>
    <s v="CH₄"/>
    <n v="1337.8548840000001"/>
  </r>
  <r>
    <s v="F133"/>
    <x v="2"/>
    <x v="2"/>
    <x v="2"/>
    <s v="CH₄"/>
    <n v="3487.09"/>
  </r>
  <r>
    <s v="F040"/>
    <x v="0"/>
    <x v="2"/>
    <x v="0"/>
    <s v="CO₂"/>
    <n v="4959.5938470000001"/>
  </r>
  <r>
    <s v="F072"/>
    <x v="2"/>
    <x v="0"/>
    <x v="2"/>
    <s v="CO₂"/>
    <n v="4294.03"/>
  </r>
  <r>
    <s v="F153"/>
    <x v="3"/>
    <x v="0"/>
    <x v="1"/>
    <s v="CH₄"/>
    <n v="648.78"/>
  </r>
  <r>
    <s v="F153"/>
    <x v="3"/>
    <x v="1"/>
    <x v="1"/>
    <s v="CH₄"/>
    <n v="3771.9"/>
  </r>
  <r>
    <s v="F128"/>
    <x v="2"/>
    <x v="3"/>
    <x v="0"/>
    <s v="N₂O"/>
    <n v="3071.55413"/>
  </r>
  <r>
    <s v="F198"/>
    <x v="3"/>
    <x v="1"/>
    <x v="2"/>
    <s v="N₂O"/>
    <n v="2591.1799999999998"/>
  </r>
  <r>
    <s v="F057"/>
    <x v="1"/>
    <x v="2"/>
    <x v="1"/>
    <s v="CO₂"/>
    <n v="3280.07"/>
  </r>
  <r>
    <s v="F091"/>
    <x v="4"/>
    <x v="3"/>
    <x v="2"/>
    <s v="CO₂"/>
    <n v="632.11"/>
  </r>
  <r>
    <s v="F004"/>
    <x v="0"/>
    <x v="1"/>
    <x v="1"/>
    <s v="CH₄"/>
    <n v="2914.08"/>
  </r>
  <r>
    <s v="F032"/>
    <x v="1"/>
    <x v="3"/>
    <x v="2"/>
    <s v="CH₄"/>
    <n v="637.63"/>
  </r>
  <r>
    <s v="F078"/>
    <x v="0"/>
    <x v="2"/>
    <x v="1"/>
    <s v="N₂O"/>
    <n v="1996.46"/>
  </r>
  <r>
    <s v="F121"/>
    <x v="3"/>
    <x v="2"/>
    <x v="1"/>
    <s v="N₂O"/>
    <n v="1059.26"/>
  </r>
  <r>
    <s v="F057"/>
    <x v="1"/>
    <x v="1"/>
    <x v="0"/>
    <s v="N₂O"/>
    <n v="3555.9372720000001"/>
  </r>
  <r>
    <s v="F127"/>
    <x v="3"/>
    <x v="3"/>
    <x v="1"/>
    <s v="CO₂"/>
    <n v="3698.27"/>
  </r>
  <r>
    <s v="F004"/>
    <x v="0"/>
    <x v="3"/>
    <x v="1"/>
    <s v="CO₂"/>
    <n v="2286.9699999999998"/>
  </r>
  <r>
    <s v="F005"/>
    <x v="4"/>
    <x v="3"/>
    <x v="1"/>
    <s v="N₂O"/>
    <n v="3316.45"/>
  </r>
  <r>
    <s v="F027"/>
    <x v="4"/>
    <x v="2"/>
    <x v="2"/>
    <s v="N₂O"/>
    <n v="1242.96"/>
  </r>
  <r>
    <s v="F121"/>
    <x v="3"/>
    <x v="3"/>
    <x v="2"/>
    <s v="CH₄"/>
    <n v="3792.28"/>
  </r>
  <r>
    <s v="F018"/>
    <x v="4"/>
    <x v="3"/>
    <x v="0"/>
    <s v="CO₂"/>
    <n v="4685.3057760000002"/>
  </r>
  <r>
    <s v="F079"/>
    <x v="2"/>
    <x v="1"/>
    <x v="2"/>
    <s v="N₂O"/>
    <n v="2273.65"/>
  </r>
  <r>
    <s v="F006"/>
    <x v="4"/>
    <x v="2"/>
    <x v="0"/>
    <s v="N₂O"/>
    <n v="3021.59"/>
  </r>
  <r>
    <s v="F133"/>
    <x v="2"/>
    <x v="3"/>
    <x v="2"/>
    <s v="N₂O"/>
    <n v="1312.78"/>
  </r>
  <r>
    <s v="F158"/>
    <x v="3"/>
    <x v="3"/>
    <x v="0"/>
    <s v="CO₂"/>
    <n v="1829.705449"/>
  </r>
  <r>
    <s v="F108"/>
    <x v="3"/>
    <x v="3"/>
    <x v="0"/>
    <s v="CO₂"/>
    <n v="1549.717801"/>
  </r>
  <r>
    <s v="F070"/>
    <x v="2"/>
    <x v="0"/>
    <x v="2"/>
    <s v="CH₄"/>
    <n v="2500.38"/>
  </r>
  <r>
    <s v="F012"/>
    <x v="3"/>
    <x v="1"/>
    <x v="2"/>
    <s v="N₂O"/>
    <n v="1314.88"/>
  </r>
  <r>
    <s v="F009"/>
    <x v="0"/>
    <x v="3"/>
    <x v="2"/>
    <s v="N₂O"/>
    <n v="2425.58"/>
  </r>
  <r>
    <s v="F194"/>
    <x v="3"/>
    <x v="1"/>
    <x v="1"/>
    <s v="CO₂"/>
    <n v="3143.07"/>
  </r>
  <r>
    <s v="F049"/>
    <x v="0"/>
    <x v="3"/>
    <x v="2"/>
    <s v="CO₂"/>
    <n v="3426.65"/>
  </r>
  <r>
    <s v="F198"/>
    <x v="3"/>
    <x v="3"/>
    <x v="0"/>
    <s v="CO₂"/>
    <n v="3334.694031"/>
  </r>
  <r>
    <s v="F054"/>
    <x v="3"/>
    <x v="0"/>
    <x v="2"/>
    <s v="N₂O"/>
    <n v="1554.47"/>
  </r>
  <r>
    <s v="F177"/>
    <x v="3"/>
    <x v="1"/>
    <x v="0"/>
    <s v="N₂O"/>
    <n v="613.2168762"/>
  </r>
  <r>
    <s v="F115"/>
    <x v="3"/>
    <x v="3"/>
    <x v="2"/>
    <s v="N₂O"/>
    <n v="2269.8200000000002"/>
  </r>
  <r>
    <s v="F159"/>
    <x v="0"/>
    <x v="0"/>
    <x v="0"/>
    <s v="N₂O"/>
    <n v="1258.557671"/>
  </r>
  <r>
    <s v="F106"/>
    <x v="3"/>
    <x v="0"/>
    <x v="1"/>
    <s v="CH₄"/>
    <n v="2102.71"/>
  </r>
  <r>
    <s v="F022"/>
    <x v="4"/>
    <x v="1"/>
    <x v="2"/>
    <s v="CO₂"/>
    <n v="1951.99"/>
  </r>
  <r>
    <s v="F010"/>
    <x v="0"/>
    <x v="0"/>
    <x v="0"/>
    <s v="CH₄"/>
    <n v="942.65605679999999"/>
  </r>
  <r>
    <s v="F106"/>
    <x v="3"/>
    <x v="0"/>
    <x v="1"/>
    <s v="N₂O"/>
    <n v="4612.42"/>
  </r>
  <r>
    <s v="F062"/>
    <x v="2"/>
    <x v="2"/>
    <x v="0"/>
    <s v="CO₂"/>
    <n v="5180.6869040000001"/>
  </r>
  <r>
    <s v="F124"/>
    <x v="3"/>
    <x v="2"/>
    <x v="0"/>
    <s v="CH₄"/>
    <n v="3307.6824809999998"/>
  </r>
  <r>
    <s v="F105"/>
    <x v="0"/>
    <x v="0"/>
    <x v="2"/>
    <s v="N₂O"/>
    <n v="4673.95"/>
  </r>
  <r>
    <s v="F083"/>
    <x v="2"/>
    <x v="0"/>
    <x v="2"/>
    <s v="N₂O"/>
    <n v="2977.11"/>
  </r>
  <r>
    <s v="F088"/>
    <x v="0"/>
    <x v="3"/>
    <x v="0"/>
    <s v="CO₂"/>
    <n v="2214.8565199999998"/>
  </r>
  <r>
    <s v="F014"/>
    <x v="2"/>
    <x v="3"/>
    <x v="2"/>
    <s v="CO₂"/>
    <n v="2253.86"/>
  </r>
  <r>
    <s v="F131"/>
    <x v="4"/>
    <x v="3"/>
    <x v="0"/>
    <s v="CH₄"/>
    <n v="2426.7211910000001"/>
  </r>
  <r>
    <s v="F099"/>
    <x v="3"/>
    <x v="1"/>
    <x v="1"/>
    <s v="N₂O"/>
    <n v="2903.42"/>
  </r>
  <r>
    <s v="F067"/>
    <x v="1"/>
    <x v="1"/>
    <x v="0"/>
    <s v="CH₄"/>
    <n v="3101.8439530000001"/>
  </r>
  <r>
    <s v="F050"/>
    <x v="0"/>
    <x v="0"/>
    <x v="0"/>
    <s v="CH₄"/>
    <n v="3483.9279729999998"/>
  </r>
  <r>
    <s v="F005"/>
    <x v="4"/>
    <x v="0"/>
    <x v="2"/>
    <s v="CO₂"/>
    <n v="4798.16"/>
  </r>
  <r>
    <s v="F075"/>
    <x v="3"/>
    <x v="1"/>
    <x v="2"/>
    <s v="CH₄"/>
    <n v="2226.6"/>
  </r>
  <r>
    <s v="F151"/>
    <x v="2"/>
    <x v="2"/>
    <x v="0"/>
    <s v="CO₂"/>
    <n v="2848.953849"/>
  </r>
  <r>
    <s v="F021"/>
    <x v="1"/>
    <x v="0"/>
    <x v="1"/>
    <s v="N₂O"/>
    <n v="751.3"/>
  </r>
  <r>
    <s v="F077"/>
    <x v="4"/>
    <x v="2"/>
    <x v="2"/>
    <s v="CO₂"/>
    <n v="3286.05"/>
  </r>
  <r>
    <s v="F082"/>
    <x v="0"/>
    <x v="1"/>
    <x v="2"/>
    <s v="CO₂"/>
    <n v="1018.05"/>
  </r>
  <r>
    <s v="F003"/>
    <x v="3"/>
    <x v="3"/>
    <x v="1"/>
    <s v="N₂O"/>
    <n v="2978.67"/>
  </r>
  <r>
    <s v="F079"/>
    <x v="2"/>
    <x v="2"/>
    <x v="2"/>
    <s v="CO₂"/>
    <n v="1158.82"/>
  </r>
  <r>
    <s v="F032"/>
    <x v="1"/>
    <x v="0"/>
    <x v="0"/>
    <s v="CH₄"/>
    <n v="4416.2129789999999"/>
  </r>
  <r>
    <s v="F037"/>
    <x v="3"/>
    <x v="1"/>
    <x v="0"/>
    <s v="CH₄"/>
    <n v="1348.0319910000001"/>
  </r>
  <r>
    <s v="F101"/>
    <x v="3"/>
    <x v="3"/>
    <x v="2"/>
    <s v="CH₄"/>
    <n v="2825.42"/>
  </r>
  <r>
    <s v="F152"/>
    <x v="4"/>
    <x v="0"/>
    <x v="0"/>
    <s v="N₂O"/>
    <n v="4051.467787"/>
  </r>
  <r>
    <s v="F093"/>
    <x v="2"/>
    <x v="3"/>
    <x v="2"/>
    <s v="N₂O"/>
    <n v="3797.37"/>
  </r>
  <r>
    <s v="F004"/>
    <x v="0"/>
    <x v="3"/>
    <x v="2"/>
    <s v="N₂O"/>
    <n v="4111.7700000000004"/>
  </r>
  <r>
    <s v="F142"/>
    <x v="0"/>
    <x v="3"/>
    <x v="0"/>
    <s v="CH₄"/>
    <n v="1444.1264490000001"/>
  </r>
  <r>
    <s v="F159"/>
    <x v="0"/>
    <x v="1"/>
    <x v="2"/>
    <s v="CH₄"/>
    <n v="3062.42"/>
  </r>
  <r>
    <s v="F197"/>
    <x v="2"/>
    <x v="3"/>
    <x v="1"/>
    <s v="CH₄"/>
    <n v="1226.9100000000001"/>
  </r>
  <r>
    <s v="F055"/>
    <x v="2"/>
    <x v="1"/>
    <x v="1"/>
    <s v="N₂O"/>
    <n v="1442.19"/>
  </r>
  <r>
    <s v="F200"/>
    <x v="1"/>
    <x v="1"/>
    <x v="1"/>
    <s v="N₂O"/>
    <n v="3767.87"/>
  </r>
  <r>
    <s v="F022"/>
    <x v="4"/>
    <x v="2"/>
    <x v="1"/>
    <s v="N₂O"/>
    <n v="1528.64"/>
  </r>
  <r>
    <s v="F063"/>
    <x v="4"/>
    <x v="2"/>
    <x v="2"/>
    <s v="CO₂"/>
    <n v="438.03"/>
  </r>
  <r>
    <s v="F015"/>
    <x v="4"/>
    <x v="1"/>
    <x v="1"/>
    <s v="CH₄"/>
    <n v="2291.7800000000002"/>
  </r>
  <r>
    <s v="F060"/>
    <x v="4"/>
    <x v="1"/>
    <x v="2"/>
    <s v="CH₄"/>
    <n v="4099.03"/>
  </r>
  <r>
    <s v="F174"/>
    <x v="3"/>
    <x v="2"/>
    <x v="0"/>
    <s v="CH₄"/>
    <n v="2713.3180809999999"/>
  </r>
  <r>
    <s v="F153"/>
    <x v="3"/>
    <x v="1"/>
    <x v="1"/>
    <s v="CO₂"/>
    <n v="769.84"/>
  </r>
  <r>
    <s v="F082"/>
    <x v="0"/>
    <x v="2"/>
    <x v="2"/>
    <s v="CH₄"/>
    <n v="3217.94"/>
  </r>
  <r>
    <s v="F138"/>
    <x v="0"/>
    <x v="2"/>
    <x v="0"/>
    <s v="CO₂"/>
    <n v="3817.749018"/>
  </r>
  <r>
    <s v="F038"/>
    <x v="4"/>
    <x v="3"/>
    <x v="1"/>
    <s v="CH₄"/>
    <n v="3796.86"/>
  </r>
  <r>
    <s v="F177"/>
    <x v="3"/>
    <x v="0"/>
    <x v="2"/>
    <s v="CO₂"/>
    <n v="1722.54"/>
  </r>
  <r>
    <s v="F076"/>
    <x v="2"/>
    <x v="2"/>
    <x v="1"/>
    <s v="N₂O"/>
    <n v="2472.08"/>
  </r>
  <r>
    <s v="F072"/>
    <x v="2"/>
    <x v="3"/>
    <x v="2"/>
    <s v="N₂O"/>
    <n v="3592.6"/>
  </r>
  <r>
    <s v="F126"/>
    <x v="2"/>
    <x v="3"/>
    <x v="2"/>
    <s v="CO₂"/>
    <n v="4482.0600000000004"/>
  </r>
  <r>
    <s v="F151"/>
    <x v="2"/>
    <x v="2"/>
    <x v="0"/>
    <s v="CO₂"/>
    <n v="3888.6305109999998"/>
  </r>
  <r>
    <s v="F160"/>
    <x v="4"/>
    <x v="3"/>
    <x v="0"/>
    <s v="CO₂"/>
    <n v="1035.252371"/>
  </r>
  <r>
    <s v="F018"/>
    <x v="4"/>
    <x v="3"/>
    <x v="1"/>
    <s v="CO₂"/>
    <n v="93.17"/>
  </r>
  <r>
    <s v="F077"/>
    <x v="4"/>
    <x v="0"/>
    <x v="1"/>
    <s v="CO₂"/>
    <n v="489.88"/>
  </r>
  <r>
    <s v="F060"/>
    <x v="4"/>
    <x v="0"/>
    <x v="2"/>
    <s v="N₂O"/>
    <n v="627.29999999999995"/>
  </r>
  <r>
    <s v="F102"/>
    <x v="1"/>
    <x v="2"/>
    <x v="2"/>
    <s v="N₂O"/>
    <n v="4443.8500000000004"/>
  </r>
  <r>
    <s v="F075"/>
    <x v="3"/>
    <x v="0"/>
    <x v="1"/>
    <s v="CO₂"/>
    <n v="2192.52"/>
  </r>
  <r>
    <s v="F194"/>
    <x v="3"/>
    <x v="3"/>
    <x v="0"/>
    <s v="CO₂"/>
    <n v="1166.7681070000001"/>
  </r>
  <r>
    <s v="F151"/>
    <x v="2"/>
    <x v="0"/>
    <x v="0"/>
    <s v="CH₄"/>
    <n v="3803.9616740000001"/>
  </r>
  <r>
    <s v="F121"/>
    <x v="3"/>
    <x v="0"/>
    <x v="1"/>
    <s v="N₂O"/>
    <n v="4902.53"/>
  </r>
  <r>
    <s v="F147"/>
    <x v="1"/>
    <x v="2"/>
    <x v="2"/>
    <s v="N₂O"/>
    <n v="1144.49"/>
  </r>
  <r>
    <s v="F190"/>
    <x v="0"/>
    <x v="1"/>
    <x v="0"/>
    <s v="CO₂"/>
    <n v="4243.1099999999997"/>
  </r>
  <r>
    <s v="F023"/>
    <x v="1"/>
    <x v="0"/>
    <x v="2"/>
    <s v="N₂O"/>
    <n v="2303.31"/>
  </r>
  <r>
    <s v="F027"/>
    <x v="4"/>
    <x v="2"/>
    <x v="1"/>
    <s v="CH₄"/>
    <n v="3192.9"/>
  </r>
  <r>
    <s v="F019"/>
    <x v="0"/>
    <x v="1"/>
    <x v="2"/>
    <s v="CO₂"/>
    <n v="3601.52"/>
  </r>
  <r>
    <s v="F027"/>
    <x v="4"/>
    <x v="1"/>
    <x v="1"/>
    <s v="CO₂"/>
    <n v="4964.3100000000004"/>
  </r>
  <r>
    <s v="F093"/>
    <x v="2"/>
    <x v="2"/>
    <x v="1"/>
    <s v="CO₂"/>
    <n v="2143.7399999999998"/>
  </r>
  <r>
    <s v="F113"/>
    <x v="3"/>
    <x v="1"/>
    <x v="1"/>
    <s v="CO₂"/>
    <n v="563.55999999999995"/>
  </r>
  <r>
    <s v="F027"/>
    <x v="4"/>
    <x v="1"/>
    <x v="0"/>
    <s v="CO₂"/>
    <n v="1541.8649820000001"/>
  </r>
  <r>
    <s v="F091"/>
    <x v="4"/>
    <x v="2"/>
    <x v="1"/>
    <s v="CH₄"/>
    <n v="2191.88"/>
  </r>
  <r>
    <s v="F030"/>
    <x v="0"/>
    <x v="3"/>
    <x v="2"/>
    <s v="CO₂"/>
    <n v="4804.76"/>
  </r>
  <r>
    <s v="F189"/>
    <x v="0"/>
    <x v="1"/>
    <x v="1"/>
    <s v="CH₄"/>
    <n v="4966.99"/>
  </r>
  <r>
    <s v="F127"/>
    <x v="3"/>
    <x v="0"/>
    <x v="2"/>
    <s v="CO₂"/>
    <n v="2346.08"/>
  </r>
  <r>
    <s v="F156"/>
    <x v="2"/>
    <x v="3"/>
    <x v="2"/>
    <s v="CO₂"/>
    <n v="278.14"/>
  </r>
  <r>
    <s v="F124"/>
    <x v="3"/>
    <x v="3"/>
    <x v="2"/>
    <s v="CH₄"/>
    <n v="3551.91"/>
  </r>
  <r>
    <s v="F015"/>
    <x v="4"/>
    <x v="3"/>
    <x v="2"/>
    <s v="CH₄"/>
    <n v="3834.95"/>
  </r>
  <r>
    <s v="F023"/>
    <x v="1"/>
    <x v="1"/>
    <x v="1"/>
    <s v="CH₄"/>
    <n v="4076.77"/>
  </r>
  <r>
    <s v="F108"/>
    <x v="3"/>
    <x v="1"/>
    <x v="1"/>
    <s v="CO₂"/>
    <n v="1402.07"/>
  </r>
  <r>
    <s v="F071"/>
    <x v="4"/>
    <x v="0"/>
    <x v="1"/>
    <s v="CO₂"/>
    <n v="2817.03"/>
  </r>
  <r>
    <s v="F048"/>
    <x v="0"/>
    <x v="3"/>
    <x v="1"/>
    <s v="N₂O"/>
    <n v="4610.1499999999996"/>
  </r>
  <r>
    <s v="F136"/>
    <x v="1"/>
    <x v="2"/>
    <x v="0"/>
    <s v="N₂O"/>
    <n v="1197.675115"/>
  </r>
  <r>
    <s v="F126"/>
    <x v="2"/>
    <x v="2"/>
    <x v="1"/>
    <s v="N₂O"/>
    <n v="2154.8200000000002"/>
  </r>
  <r>
    <s v="F019"/>
    <x v="0"/>
    <x v="2"/>
    <x v="2"/>
    <s v="CO₂"/>
    <n v="1398.72"/>
  </r>
  <r>
    <s v="F106"/>
    <x v="3"/>
    <x v="2"/>
    <x v="1"/>
    <s v="CO₂"/>
    <n v="2433.64"/>
  </r>
  <r>
    <s v="F175"/>
    <x v="3"/>
    <x v="2"/>
    <x v="1"/>
    <s v="CH₄"/>
    <n v="1785.88"/>
  </r>
  <r>
    <s v="F056"/>
    <x v="4"/>
    <x v="0"/>
    <x v="0"/>
    <s v="CH₄"/>
    <n v="4694.8763879999997"/>
  </r>
  <r>
    <s v="F019"/>
    <x v="0"/>
    <x v="0"/>
    <x v="1"/>
    <s v="CH₄"/>
    <n v="3069.11"/>
  </r>
  <r>
    <s v="F029"/>
    <x v="4"/>
    <x v="1"/>
    <x v="1"/>
    <s v="CO₂"/>
    <n v="2819.92"/>
  </r>
  <r>
    <s v="F027"/>
    <x v="4"/>
    <x v="1"/>
    <x v="2"/>
    <s v="N₂O"/>
    <n v="1772.23"/>
  </r>
  <r>
    <s v="F182"/>
    <x v="3"/>
    <x v="0"/>
    <x v="1"/>
    <s v="N₂O"/>
    <n v="2502.25"/>
  </r>
  <r>
    <s v="F162"/>
    <x v="3"/>
    <x v="0"/>
    <x v="0"/>
    <s v="CO₂"/>
    <n v="3851.934953"/>
  </r>
  <r>
    <s v="F085"/>
    <x v="4"/>
    <x v="1"/>
    <x v="2"/>
    <s v="N₂O"/>
    <n v="3031.48"/>
  </r>
  <r>
    <s v="F191"/>
    <x v="0"/>
    <x v="2"/>
    <x v="0"/>
    <s v="N₂O"/>
    <n v="601.62"/>
  </r>
  <r>
    <s v="F086"/>
    <x v="4"/>
    <x v="0"/>
    <x v="2"/>
    <s v="N₂O"/>
    <n v="2060.17"/>
  </r>
  <r>
    <s v="F127"/>
    <x v="3"/>
    <x v="1"/>
    <x v="2"/>
    <s v="CH₄"/>
    <n v="2452.0300000000002"/>
  </r>
  <r>
    <s v="F012"/>
    <x v="3"/>
    <x v="0"/>
    <x v="2"/>
    <s v="CH₄"/>
    <n v="1782.21"/>
  </r>
  <r>
    <s v="F028"/>
    <x v="4"/>
    <x v="2"/>
    <x v="0"/>
    <s v="CO₂"/>
    <n v="103.31"/>
  </r>
  <r>
    <s v="F170"/>
    <x v="2"/>
    <x v="1"/>
    <x v="1"/>
    <s v="CO₂"/>
    <n v="3568.05"/>
  </r>
  <r>
    <s v="F190"/>
    <x v="0"/>
    <x v="2"/>
    <x v="0"/>
    <s v="CO₂"/>
    <n v="2290.64"/>
  </r>
  <r>
    <s v="F046"/>
    <x v="4"/>
    <x v="2"/>
    <x v="1"/>
    <s v="N₂O"/>
    <n v="4937.24"/>
  </r>
  <r>
    <s v="F171"/>
    <x v="4"/>
    <x v="2"/>
    <x v="0"/>
    <s v="CO₂"/>
    <n v="1728.8069439999999"/>
  </r>
  <r>
    <s v="F141"/>
    <x v="1"/>
    <x v="1"/>
    <x v="1"/>
    <s v="CH₄"/>
    <n v="372.7"/>
  </r>
  <r>
    <s v="F126"/>
    <x v="2"/>
    <x v="0"/>
    <x v="1"/>
    <s v="N₂O"/>
    <n v="3677.7"/>
  </r>
  <r>
    <s v="F090"/>
    <x v="2"/>
    <x v="3"/>
    <x v="2"/>
    <s v="CH₄"/>
    <n v="2576.7800000000002"/>
  </r>
  <r>
    <s v="F124"/>
    <x v="3"/>
    <x v="0"/>
    <x v="2"/>
    <s v="CH₄"/>
    <n v="2972.77"/>
  </r>
  <r>
    <s v="F193"/>
    <x v="1"/>
    <x v="2"/>
    <x v="2"/>
    <s v="N₂O"/>
    <n v="3995.86"/>
  </r>
  <r>
    <s v="F196"/>
    <x v="4"/>
    <x v="1"/>
    <x v="1"/>
    <s v="CO₂"/>
    <n v="2798.95"/>
  </r>
  <r>
    <s v="F057"/>
    <x v="1"/>
    <x v="0"/>
    <x v="2"/>
    <s v="CO₂"/>
    <n v="204.44"/>
  </r>
  <r>
    <s v="F138"/>
    <x v="0"/>
    <x v="0"/>
    <x v="1"/>
    <s v="CO₂"/>
    <n v="2646.82"/>
  </r>
  <r>
    <s v="F198"/>
    <x v="3"/>
    <x v="1"/>
    <x v="1"/>
    <s v="CO₂"/>
    <n v="2960.39"/>
  </r>
  <r>
    <s v="F191"/>
    <x v="0"/>
    <x v="1"/>
    <x v="1"/>
    <s v="N₂O"/>
    <n v="1696.88"/>
  </r>
  <r>
    <s v="F165"/>
    <x v="4"/>
    <x v="1"/>
    <x v="0"/>
    <s v="N₂O"/>
    <n v="622.99567999999999"/>
  </r>
  <r>
    <s v="F143"/>
    <x v="1"/>
    <x v="2"/>
    <x v="1"/>
    <s v="N₂O"/>
    <n v="1684.41"/>
  </r>
  <r>
    <s v="F097"/>
    <x v="1"/>
    <x v="3"/>
    <x v="1"/>
    <s v="N₂O"/>
    <n v="3307.16"/>
  </r>
  <r>
    <s v="F120"/>
    <x v="4"/>
    <x v="3"/>
    <x v="0"/>
    <s v="CH₄"/>
    <n v="2731.1669729999999"/>
  </r>
  <r>
    <s v="F025"/>
    <x v="4"/>
    <x v="1"/>
    <x v="2"/>
    <s v="N₂O"/>
    <n v="2861.41"/>
  </r>
  <r>
    <s v="F199"/>
    <x v="0"/>
    <x v="3"/>
    <x v="1"/>
    <s v="CO₂"/>
    <n v="2409.39"/>
  </r>
  <r>
    <s v="F053"/>
    <x v="0"/>
    <x v="1"/>
    <x v="2"/>
    <s v="N₂O"/>
    <n v="1958.41"/>
  </r>
  <r>
    <s v="F193"/>
    <x v="1"/>
    <x v="0"/>
    <x v="2"/>
    <s v="CH₄"/>
    <n v="2816.97"/>
  </r>
  <r>
    <s v="F113"/>
    <x v="3"/>
    <x v="0"/>
    <x v="1"/>
    <s v="N₂O"/>
    <n v="4263.92"/>
  </r>
  <r>
    <s v="F177"/>
    <x v="3"/>
    <x v="3"/>
    <x v="1"/>
    <s v="N₂O"/>
    <n v="1867.58"/>
  </r>
  <r>
    <s v="F042"/>
    <x v="1"/>
    <x v="2"/>
    <x v="0"/>
    <s v="CH₄"/>
    <n v="3447.6118419999998"/>
  </r>
  <r>
    <s v="F084"/>
    <x v="3"/>
    <x v="3"/>
    <x v="0"/>
    <s v="CO₂"/>
    <n v="4785.5801659999997"/>
  </r>
  <r>
    <s v="F097"/>
    <x v="1"/>
    <x v="2"/>
    <x v="1"/>
    <s v="CO₂"/>
    <n v="3739.05"/>
  </r>
  <r>
    <s v="F153"/>
    <x v="3"/>
    <x v="3"/>
    <x v="1"/>
    <s v="CH₄"/>
    <n v="4330.71"/>
  </r>
  <r>
    <s v="F151"/>
    <x v="2"/>
    <x v="1"/>
    <x v="0"/>
    <s v="N₂O"/>
    <n v="1947.4241589999999"/>
  </r>
  <r>
    <s v="F015"/>
    <x v="4"/>
    <x v="2"/>
    <x v="1"/>
    <s v="N₂O"/>
    <n v="2840.62"/>
  </r>
  <r>
    <s v="F199"/>
    <x v="0"/>
    <x v="0"/>
    <x v="2"/>
    <s v="N₂O"/>
    <n v="2415.5100000000002"/>
  </r>
  <r>
    <s v="F156"/>
    <x v="2"/>
    <x v="3"/>
    <x v="0"/>
    <s v="CH₄"/>
    <n v="5161.459492"/>
  </r>
  <r>
    <s v="F009"/>
    <x v="0"/>
    <x v="2"/>
    <x v="1"/>
    <s v="N₂O"/>
    <n v="2359.52"/>
  </r>
  <r>
    <s v="F011"/>
    <x v="4"/>
    <x v="3"/>
    <x v="1"/>
    <s v="CO₂"/>
    <n v="4799.96"/>
  </r>
  <r>
    <s v="F156"/>
    <x v="2"/>
    <x v="3"/>
    <x v="2"/>
    <s v="CH₄"/>
    <n v="152.66999999999999"/>
  </r>
  <r>
    <s v="F187"/>
    <x v="2"/>
    <x v="1"/>
    <x v="0"/>
    <s v="N₂O"/>
    <n v="2461.8885409999998"/>
  </r>
  <r>
    <s v="F007"/>
    <x v="4"/>
    <x v="2"/>
    <x v="1"/>
    <s v="CO₂"/>
    <n v="3223.43"/>
  </r>
  <r>
    <s v="F026"/>
    <x v="2"/>
    <x v="3"/>
    <x v="2"/>
    <s v="CO₂"/>
    <n v="3987.54"/>
  </r>
  <r>
    <s v="F137"/>
    <x v="0"/>
    <x v="2"/>
    <x v="1"/>
    <s v="N₂O"/>
    <n v="2592.73"/>
  </r>
  <r>
    <s v="F121"/>
    <x v="3"/>
    <x v="0"/>
    <x v="2"/>
    <s v="CH₄"/>
    <n v="3770.78"/>
  </r>
  <r>
    <s v="F042"/>
    <x v="1"/>
    <x v="3"/>
    <x v="1"/>
    <s v="CH₄"/>
    <n v="348.87"/>
  </r>
  <r>
    <s v="F003"/>
    <x v="3"/>
    <x v="1"/>
    <x v="1"/>
    <s v="CO₂"/>
    <n v="2278.9499999999998"/>
  </r>
  <r>
    <s v="F063"/>
    <x v="4"/>
    <x v="0"/>
    <x v="2"/>
    <s v="CH₄"/>
    <n v="2550.35"/>
  </r>
  <r>
    <s v="F018"/>
    <x v="4"/>
    <x v="2"/>
    <x v="1"/>
    <s v="CO₂"/>
    <n v="2694.43"/>
  </r>
  <r>
    <s v="F085"/>
    <x v="4"/>
    <x v="1"/>
    <x v="2"/>
    <s v="CH₄"/>
    <n v="3868.63"/>
  </r>
  <r>
    <s v="F181"/>
    <x v="3"/>
    <x v="0"/>
    <x v="0"/>
    <s v="CH₄"/>
    <n v="297.68827140000002"/>
  </r>
  <r>
    <s v="F015"/>
    <x v="4"/>
    <x v="0"/>
    <x v="2"/>
    <s v="N₂O"/>
    <n v="579.69000000000005"/>
  </r>
  <r>
    <s v="F051"/>
    <x v="4"/>
    <x v="0"/>
    <x v="2"/>
    <s v="CH₄"/>
    <n v="1933.86"/>
  </r>
  <r>
    <s v="F136"/>
    <x v="1"/>
    <x v="1"/>
    <x v="2"/>
    <s v="CO₂"/>
    <n v="2753.65"/>
  </r>
  <r>
    <s v="F174"/>
    <x v="3"/>
    <x v="1"/>
    <x v="1"/>
    <s v="CO₂"/>
    <n v="1643.04"/>
  </r>
  <r>
    <s v="F041"/>
    <x v="1"/>
    <x v="1"/>
    <x v="1"/>
    <s v="CO₂"/>
    <n v="4614.76"/>
  </r>
  <r>
    <s v="F066"/>
    <x v="4"/>
    <x v="2"/>
    <x v="2"/>
    <s v="CH₄"/>
    <n v="1222.43"/>
  </r>
  <r>
    <s v="F141"/>
    <x v="1"/>
    <x v="0"/>
    <x v="0"/>
    <s v="N₂O"/>
    <n v="2583.2195620000002"/>
  </r>
  <r>
    <s v="F042"/>
    <x v="1"/>
    <x v="0"/>
    <x v="2"/>
    <s v="CO₂"/>
    <n v="1562.45"/>
  </r>
  <r>
    <s v="F106"/>
    <x v="3"/>
    <x v="3"/>
    <x v="0"/>
    <s v="N₂O"/>
    <n v="3844.335282"/>
  </r>
  <r>
    <s v="F073"/>
    <x v="3"/>
    <x v="2"/>
    <x v="0"/>
    <s v="CH₄"/>
    <n v="695.19"/>
  </r>
  <r>
    <s v="F165"/>
    <x v="4"/>
    <x v="3"/>
    <x v="2"/>
    <s v="CO₂"/>
    <n v="4607.08"/>
  </r>
  <r>
    <s v="F197"/>
    <x v="2"/>
    <x v="1"/>
    <x v="0"/>
    <s v="CH₄"/>
    <n v="2391.3231030000002"/>
  </r>
  <r>
    <s v="F110"/>
    <x v="4"/>
    <x v="1"/>
    <x v="1"/>
    <s v="CO₂"/>
    <n v="4313.43"/>
  </r>
  <r>
    <s v="F018"/>
    <x v="4"/>
    <x v="1"/>
    <x v="1"/>
    <s v="CH₄"/>
    <n v="1094.0999999999999"/>
  </r>
  <r>
    <s v="F067"/>
    <x v="1"/>
    <x v="1"/>
    <x v="0"/>
    <s v="CH₄"/>
    <n v="5193.7170610000003"/>
  </r>
  <r>
    <s v="F066"/>
    <x v="4"/>
    <x v="1"/>
    <x v="2"/>
    <s v="N₂O"/>
    <n v="3352.59"/>
  </r>
  <r>
    <s v="F028"/>
    <x v="4"/>
    <x v="2"/>
    <x v="0"/>
    <s v="CH₄"/>
    <n v="3888.52"/>
  </r>
  <r>
    <s v="F184"/>
    <x v="0"/>
    <x v="2"/>
    <x v="2"/>
    <s v="CO₂"/>
    <n v="3140.95"/>
  </r>
  <r>
    <s v="F182"/>
    <x v="3"/>
    <x v="1"/>
    <x v="0"/>
    <s v="N₂O"/>
    <n v="1260.773817"/>
  </r>
  <r>
    <s v="F151"/>
    <x v="2"/>
    <x v="2"/>
    <x v="1"/>
    <s v="N₂O"/>
    <n v="416.29"/>
  </r>
  <r>
    <s v="F083"/>
    <x v="2"/>
    <x v="0"/>
    <x v="1"/>
    <s v="CO₂"/>
    <n v="96.09"/>
  </r>
  <r>
    <s v="F125"/>
    <x v="1"/>
    <x v="2"/>
    <x v="2"/>
    <s v="CO₂"/>
    <n v="1224.1099999999999"/>
  </r>
  <r>
    <s v="F017"/>
    <x v="2"/>
    <x v="3"/>
    <x v="1"/>
    <s v="CO₂"/>
    <n v="3899.81"/>
  </r>
  <r>
    <s v="F199"/>
    <x v="0"/>
    <x v="1"/>
    <x v="2"/>
    <s v="CO₂"/>
    <n v="1065.82"/>
  </r>
  <r>
    <s v="F154"/>
    <x v="0"/>
    <x v="3"/>
    <x v="2"/>
    <s v="CO₂"/>
    <n v="4448.1899999999996"/>
  </r>
  <r>
    <s v="F133"/>
    <x v="2"/>
    <x v="2"/>
    <x v="0"/>
    <s v="N₂O"/>
    <n v="2211.0873019999999"/>
  </r>
  <r>
    <s v="F156"/>
    <x v="2"/>
    <x v="2"/>
    <x v="0"/>
    <s v="N₂O"/>
    <n v="3199.4069009999998"/>
  </r>
  <r>
    <s v="F189"/>
    <x v="0"/>
    <x v="3"/>
    <x v="1"/>
    <s v="N₂O"/>
    <n v="2263.6999999999998"/>
  </r>
  <r>
    <s v="F008"/>
    <x v="3"/>
    <x v="1"/>
    <x v="1"/>
    <s v="CO₂"/>
    <n v="4326.03"/>
  </r>
  <r>
    <s v="F058"/>
    <x v="1"/>
    <x v="3"/>
    <x v="0"/>
    <s v="N₂O"/>
    <n v="4352.7373250000001"/>
  </r>
  <r>
    <s v="F137"/>
    <x v="0"/>
    <x v="1"/>
    <x v="0"/>
    <s v="CO₂"/>
    <n v="4294.79"/>
  </r>
  <r>
    <s v="F183"/>
    <x v="3"/>
    <x v="2"/>
    <x v="1"/>
    <s v="CO₂"/>
    <n v="2678.48"/>
  </r>
  <r>
    <s v="F086"/>
    <x v="4"/>
    <x v="0"/>
    <x v="1"/>
    <s v="CO₂"/>
    <n v="2267.79"/>
  </r>
  <r>
    <s v="F071"/>
    <x v="4"/>
    <x v="0"/>
    <x v="1"/>
    <s v="N₂O"/>
    <n v="2496.0100000000002"/>
  </r>
  <r>
    <s v="F107"/>
    <x v="2"/>
    <x v="1"/>
    <x v="1"/>
    <s v="CO₂"/>
    <n v="4601.71"/>
  </r>
  <r>
    <s v="F105"/>
    <x v="0"/>
    <x v="3"/>
    <x v="2"/>
    <s v="N₂O"/>
    <n v="2739.77"/>
  </r>
  <r>
    <s v="F127"/>
    <x v="3"/>
    <x v="2"/>
    <x v="0"/>
    <s v="CH₄"/>
    <n v="1410.4"/>
  </r>
  <r>
    <s v="F170"/>
    <x v="2"/>
    <x v="0"/>
    <x v="0"/>
    <s v="N₂O"/>
    <n v="2563.0937389999999"/>
  </r>
  <r>
    <s v="F094"/>
    <x v="3"/>
    <x v="2"/>
    <x v="1"/>
    <s v="N₂O"/>
    <n v="886.98"/>
  </r>
  <r>
    <s v="F086"/>
    <x v="4"/>
    <x v="2"/>
    <x v="1"/>
    <s v="CO₂"/>
    <n v="4317.26"/>
  </r>
  <r>
    <s v="F181"/>
    <x v="3"/>
    <x v="1"/>
    <x v="2"/>
    <s v="CO₂"/>
    <n v="1597.82"/>
  </r>
  <r>
    <s v="F195"/>
    <x v="1"/>
    <x v="0"/>
    <x v="1"/>
    <s v="CH₄"/>
    <n v="3825.5"/>
  </r>
  <r>
    <s v="F067"/>
    <x v="1"/>
    <x v="0"/>
    <x v="0"/>
    <s v="CH₄"/>
    <n v="3766.3401309999999"/>
  </r>
  <r>
    <s v="F087"/>
    <x v="4"/>
    <x v="1"/>
    <x v="0"/>
    <s v="CO₂"/>
    <n v="4885.6576480000003"/>
  </r>
  <r>
    <s v="F139"/>
    <x v="0"/>
    <x v="2"/>
    <x v="0"/>
    <s v="N₂O"/>
    <n v="2013.053784"/>
  </r>
  <r>
    <s v="F161"/>
    <x v="2"/>
    <x v="3"/>
    <x v="0"/>
    <s v="N₂O"/>
    <n v="2140.4226189999999"/>
  </r>
  <r>
    <s v="F200"/>
    <x v="1"/>
    <x v="1"/>
    <x v="2"/>
    <s v="CH₄"/>
    <n v="707.7"/>
  </r>
  <r>
    <s v="F182"/>
    <x v="3"/>
    <x v="2"/>
    <x v="2"/>
    <s v="N₂O"/>
    <n v="1703.95"/>
  </r>
  <r>
    <s v="F187"/>
    <x v="2"/>
    <x v="0"/>
    <x v="2"/>
    <s v="CH₄"/>
    <n v="3023.57"/>
  </r>
  <r>
    <s v="F021"/>
    <x v="1"/>
    <x v="2"/>
    <x v="2"/>
    <s v="N₂O"/>
    <n v="2101.7199999999998"/>
  </r>
  <r>
    <s v="F013"/>
    <x v="2"/>
    <x v="3"/>
    <x v="1"/>
    <s v="CO₂"/>
    <n v="72.97"/>
  </r>
  <r>
    <s v="F018"/>
    <x v="4"/>
    <x v="3"/>
    <x v="2"/>
    <s v="CH₄"/>
    <n v="1271.98"/>
  </r>
  <r>
    <s v="F129"/>
    <x v="1"/>
    <x v="0"/>
    <x v="1"/>
    <s v="CH₄"/>
    <n v="1645.13"/>
  </r>
  <r>
    <s v="F129"/>
    <x v="1"/>
    <x v="0"/>
    <x v="1"/>
    <s v="CO₂"/>
    <n v="1271.48"/>
  </r>
  <r>
    <s v="F047"/>
    <x v="0"/>
    <x v="2"/>
    <x v="2"/>
    <s v="CO₂"/>
    <n v="1183.23"/>
  </r>
  <r>
    <s v="F113"/>
    <x v="3"/>
    <x v="1"/>
    <x v="0"/>
    <s v="CH₄"/>
    <n v="3135.2882399999999"/>
  </r>
  <r>
    <s v="F148"/>
    <x v="1"/>
    <x v="2"/>
    <x v="1"/>
    <s v="CO₂"/>
    <n v="2647.47"/>
  </r>
  <r>
    <s v="F052"/>
    <x v="3"/>
    <x v="1"/>
    <x v="1"/>
    <s v="CO₂"/>
    <n v="1670.25"/>
  </r>
  <r>
    <s v="F046"/>
    <x v="4"/>
    <x v="1"/>
    <x v="0"/>
    <s v="CO₂"/>
    <n v="3796.74"/>
  </r>
  <r>
    <s v="F014"/>
    <x v="2"/>
    <x v="0"/>
    <x v="1"/>
    <s v="CO₂"/>
    <n v="2430.6999999999998"/>
  </r>
  <r>
    <s v="F082"/>
    <x v="0"/>
    <x v="0"/>
    <x v="0"/>
    <s v="CH₄"/>
    <n v="4664.5184390000004"/>
  </r>
  <r>
    <s v="F181"/>
    <x v="3"/>
    <x v="0"/>
    <x v="1"/>
    <s v="CH₄"/>
    <n v="2563.5500000000002"/>
  </r>
  <r>
    <s v="F103"/>
    <x v="4"/>
    <x v="1"/>
    <x v="1"/>
    <s v="N₂O"/>
    <n v="2866.4"/>
  </r>
  <r>
    <s v="F194"/>
    <x v="3"/>
    <x v="3"/>
    <x v="1"/>
    <s v="CH₄"/>
    <n v="4646.07"/>
  </r>
  <r>
    <s v="F086"/>
    <x v="4"/>
    <x v="2"/>
    <x v="0"/>
    <s v="CH₄"/>
    <n v="858.75894459999995"/>
  </r>
  <r>
    <s v="F124"/>
    <x v="3"/>
    <x v="3"/>
    <x v="1"/>
    <s v="CH₄"/>
    <n v="2645.6"/>
  </r>
  <r>
    <s v="F096"/>
    <x v="0"/>
    <x v="2"/>
    <x v="0"/>
    <s v="CH₄"/>
    <n v="4396.4497890000002"/>
  </r>
  <r>
    <s v="F077"/>
    <x v="4"/>
    <x v="0"/>
    <x v="0"/>
    <s v="CO₂"/>
    <n v="2468.89"/>
  </r>
  <r>
    <s v="F184"/>
    <x v="0"/>
    <x v="1"/>
    <x v="1"/>
    <s v="N₂O"/>
    <n v="3901.9"/>
  </r>
  <r>
    <s v="F147"/>
    <x v="1"/>
    <x v="2"/>
    <x v="0"/>
    <s v="N₂O"/>
    <n v="2711.0032080000001"/>
  </r>
  <r>
    <s v="F064"/>
    <x v="1"/>
    <x v="1"/>
    <x v="0"/>
    <s v="N₂O"/>
    <n v="1971.3"/>
  </r>
  <r>
    <s v="F003"/>
    <x v="3"/>
    <x v="1"/>
    <x v="1"/>
    <s v="N₂O"/>
    <n v="4296.74"/>
  </r>
  <r>
    <s v="F193"/>
    <x v="1"/>
    <x v="2"/>
    <x v="2"/>
    <s v="N₂O"/>
    <n v="3792.89"/>
  </r>
  <r>
    <s v="F127"/>
    <x v="3"/>
    <x v="3"/>
    <x v="2"/>
    <s v="CO₂"/>
    <n v="1486.21"/>
  </r>
  <r>
    <s v="F180"/>
    <x v="2"/>
    <x v="3"/>
    <x v="2"/>
    <s v="CO₂"/>
    <n v="2653.12"/>
  </r>
  <r>
    <s v="F098"/>
    <x v="4"/>
    <x v="2"/>
    <x v="1"/>
    <s v="CO₂"/>
    <n v="4329.05"/>
  </r>
  <r>
    <s v="F066"/>
    <x v="4"/>
    <x v="1"/>
    <x v="0"/>
    <s v="CH₄"/>
    <n v="3438.4822770000001"/>
  </r>
  <r>
    <s v="F105"/>
    <x v="0"/>
    <x v="3"/>
    <x v="0"/>
    <s v="N₂O"/>
    <n v="4297.0303940000003"/>
  </r>
  <r>
    <s v="F150"/>
    <x v="4"/>
    <x v="3"/>
    <x v="0"/>
    <s v="CH₄"/>
    <n v="1748.1880329999999"/>
  </r>
  <r>
    <s v="F035"/>
    <x v="4"/>
    <x v="3"/>
    <x v="0"/>
    <s v="CO₂"/>
    <n v="2629.36"/>
  </r>
  <r>
    <s v="F048"/>
    <x v="0"/>
    <x v="1"/>
    <x v="0"/>
    <s v="CH₄"/>
    <n v="4350.9599639999997"/>
  </r>
  <r>
    <s v="F155"/>
    <x v="2"/>
    <x v="3"/>
    <x v="1"/>
    <s v="CH₄"/>
    <n v="400"/>
  </r>
  <r>
    <s v="F006"/>
    <x v="4"/>
    <x v="2"/>
    <x v="2"/>
    <s v="CO₂"/>
    <n v="4737.45"/>
  </r>
  <r>
    <s v="F188"/>
    <x v="3"/>
    <x v="2"/>
    <x v="2"/>
    <s v="N₂O"/>
    <n v="2400.9"/>
  </r>
  <r>
    <s v="F068"/>
    <x v="0"/>
    <x v="3"/>
    <x v="1"/>
    <s v="CH₄"/>
    <n v="3887.35"/>
  </r>
  <r>
    <s v="F104"/>
    <x v="4"/>
    <x v="1"/>
    <x v="1"/>
    <s v="CH₄"/>
    <n v="3231.03"/>
  </r>
  <r>
    <s v="F063"/>
    <x v="4"/>
    <x v="3"/>
    <x v="2"/>
    <s v="N₂O"/>
    <n v="1139.33"/>
  </r>
  <r>
    <s v="F170"/>
    <x v="2"/>
    <x v="3"/>
    <x v="1"/>
    <s v="CO₂"/>
    <n v="4799"/>
  </r>
  <r>
    <s v="F079"/>
    <x v="2"/>
    <x v="0"/>
    <x v="1"/>
    <s v="N₂O"/>
    <n v="3657.83"/>
  </r>
  <r>
    <s v="F142"/>
    <x v="0"/>
    <x v="2"/>
    <x v="0"/>
    <s v="CH₄"/>
    <n v="2571.4593089999998"/>
  </r>
  <r>
    <s v="F195"/>
    <x v="1"/>
    <x v="0"/>
    <x v="1"/>
    <s v="N₂O"/>
    <n v="3338"/>
  </r>
  <r>
    <s v="F099"/>
    <x v="3"/>
    <x v="1"/>
    <x v="2"/>
    <s v="N₂O"/>
    <n v="4623.8100000000004"/>
  </r>
  <r>
    <s v="F156"/>
    <x v="2"/>
    <x v="1"/>
    <x v="2"/>
    <s v="CO₂"/>
    <n v="3591.86"/>
  </r>
  <r>
    <s v="F143"/>
    <x v="1"/>
    <x v="0"/>
    <x v="0"/>
    <s v="CO₂"/>
    <n v="2370.4460279999998"/>
  </r>
  <r>
    <s v="F197"/>
    <x v="2"/>
    <x v="3"/>
    <x v="0"/>
    <s v="CH₄"/>
    <n v="3703.0568629999998"/>
  </r>
  <r>
    <s v="F088"/>
    <x v="0"/>
    <x v="3"/>
    <x v="1"/>
    <s v="CO₂"/>
    <n v="2135.3200000000002"/>
  </r>
  <r>
    <s v="F138"/>
    <x v="0"/>
    <x v="2"/>
    <x v="0"/>
    <s v="CO₂"/>
    <n v="4016.4773869999999"/>
  </r>
  <r>
    <s v="F049"/>
    <x v="0"/>
    <x v="0"/>
    <x v="2"/>
    <s v="N₂O"/>
    <n v="2536.5"/>
  </r>
  <r>
    <s v="F068"/>
    <x v="0"/>
    <x v="1"/>
    <x v="1"/>
    <s v="CO₂"/>
    <n v="4254.34"/>
  </r>
  <r>
    <s v="F016"/>
    <x v="2"/>
    <x v="3"/>
    <x v="1"/>
    <s v="CO₂"/>
    <n v="1897.31"/>
  </r>
  <r>
    <s v="F016"/>
    <x v="2"/>
    <x v="0"/>
    <x v="1"/>
    <s v="CO₂"/>
    <n v="4286.67"/>
  </r>
  <r>
    <s v="F059"/>
    <x v="2"/>
    <x v="0"/>
    <x v="2"/>
    <s v="CO₂"/>
    <n v="2709.88"/>
  </r>
  <r>
    <s v="F022"/>
    <x v="4"/>
    <x v="1"/>
    <x v="2"/>
    <s v="CO₂"/>
    <n v="4482.51"/>
  </r>
  <r>
    <s v="F103"/>
    <x v="4"/>
    <x v="3"/>
    <x v="2"/>
    <s v="N₂O"/>
    <n v="4156"/>
  </r>
  <r>
    <s v="F005"/>
    <x v="4"/>
    <x v="3"/>
    <x v="0"/>
    <s v="CH₄"/>
    <n v="2731.8927560000002"/>
  </r>
  <r>
    <s v="F011"/>
    <x v="4"/>
    <x v="0"/>
    <x v="0"/>
    <s v="N₂O"/>
    <n v="84.4"/>
  </r>
  <r>
    <s v="F109"/>
    <x v="0"/>
    <x v="3"/>
    <x v="1"/>
    <s v="CO₂"/>
    <n v="84.55"/>
  </r>
  <r>
    <s v="F072"/>
    <x v="2"/>
    <x v="2"/>
    <x v="1"/>
    <s v="CH₄"/>
    <n v="3865.97"/>
  </r>
  <r>
    <s v="F181"/>
    <x v="3"/>
    <x v="1"/>
    <x v="2"/>
    <s v="N₂O"/>
    <n v="4994.79"/>
  </r>
  <r>
    <s v="F056"/>
    <x v="4"/>
    <x v="0"/>
    <x v="0"/>
    <s v="N₂O"/>
    <n v="4341.6706560000002"/>
  </r>
  <r>
    <s v="F010"/>
    <x v="0"/>
    <x v="3"/>
    <x v="2"/>
    <s v="CH₄"/>
    <n v="4845.8500000000004"/>
  </r>
  <r>
    <s v="F023"/>
    <x v="1"/>
    <x v="2"/>
    <x v="1"/>
    <s v="CO₂"/>
    <n v="695.8"/>
  </r>
  <r>
    <s v="F167"/>
    <x v="2"/>
    <x v="2"/>
    <x v="0"/>
    <s v="N₂O"/>
    <n v="2429.7024150000002"/>
  </r>
  <r>
    <s v="F196"/>
    <x v="4"/>
    <x v="2"/>
    <x v="2"/>
    <s v="CH₄"/>
    <n v="3517.31"/>
  </r>
  <r>
    <s v="F012"/>
    <x v="3"/>
    <x v="2"/>
    <x v="2"/>
    <s v="CH₄"/>
    <n v="2893"/>
  </r>
  <r>
    <s v="F141"/>
    <x v="1"/>
    <x v="1"/>
    <x v="1"/>
    <s v="CH₄"/>
    <n v="4115.76"/>
  </r>
  <r>
    <s v="F088"/>
    <x v="0"/>
    <x v="3"/>
    <x v="2"/>
    <s v="CO₂"/>
    <n v="1917.42"/>
  </r>
  <r>
    <s v="F014"/>
    <x v="2"/>
    <x v="3"/>
    <x v="2"/>
    <s v="CH₄"/>
    <n v="1203.1300000000001"/>
  </r>
  <r>
    <s v="F028"/>
    <x v="4"/>
    <x v="3"/>
    <x v="1"/>
    <s v="CH₄"/>
    <n v="3085.38"/>
  </r>
  <r>
    <s v="F115"/>
    <x v="3"/>
    <x v="3"/>
    <x v="1"/>
    <s v="N₂O"/>
    <n v="1942.8"/>
  </r>
  <r>
    <s v="F148"/>
    <x v="1"/>
    <x v="1"/>
    <x v="1"/>
    <s v="CH₄"/>
    <n v="3632.78"/>
  </r>
  <r>
    <s v="F042"/>
    <x v="1"/>
    <x v="2"/>
    <x v="1"/>
    <s v="CO₂"/>
    <n v="4435.1000000000004"/>
  </r>
  <r>
    <s v="F129"/>
    <x v="1"/>
    <x v="1"/>
    <x v="1"/>
    <s v="N₂O"/>
    <n v="3104.04"/>
  </r>
  <r>
    <s v="F140"/>
    <x v="4"/>
    <x v="1"/>
    <x v="1"/>
    <s v="N₂O"/>
    <n v="1562.42"/>
  </r>
  <r>
    <s v="F083"/>
    <x v="2"/>
    <x v="2"/>
    <x v="0"/>
    <s v="CO₂"/>
    <n v="3968.0176780000002"/>
  </r>
  <r>
    <s v="F073"/>
    <x v="3"/>
    <x v="2"/>
    <x v="2"/>
    <s v="CH₄"/>
    <n v="3813.14"/>
  </r>
  <r>
    <s v="F003"/>
    <x v="3"/>
    <x v="0"/>
    <x v="1"/>
    <s v="CH₄"/>
    <n v="1512.54"/>
  </r>
  <r>
    <s v="F162"/>
    <x v="3"/>
    <x v="1"/>
    <x v="0"/>
    <s v="N₂O"/>
    <n v="4044.946097"/>
  </r>
  <r>
    <s v="F150"/>
    <x v="4"/>
    <x v="3"/>
    <x v="1"/>
    <s v="CO₂"/>
    <n v="193.32"/>
  </r>
  <r>
    <s v="F112"/>
    <x v="4"/>
    <x v="2"/>
    <x v="2"/>
    <s v="N₂O"/>
    <n v="2881.41"/>
  </r>
  <r>
    <s v="F120"/>
    <x v="4"/>
    <x v="1"/>
    <x v="2"/>
    <s v="CO₂"/>
    <n v="1949.55"/>
  </r>
  <r>
    <s v="F155"/>
    <x v="2"/>
    <x v="0"/>
    <x v="2"/>
    <s v="N₂O"/>
    <n v="2729.42"/>
  </r>
  <r>
    <s v="F171"/>
    <x v="4"/>
    <x v="3"/>
    <x v="1"/>
    <s v="CH₄"/>
    <n v="4965.24"/>
  </r>
  <r>
    <s v="F013"/>
    <x v="2"/>
    <x v="3"/>
    <x v="1"/>
    <s v="N₂O"/>
    <n v="968.64"/>
  </r>
  <r>
    <s v="F019"/>
    <x v="0"/>
    <x v="2"/>
    <x v="2"/>
    <s v="CH₄"/>
    <n v="2778.34"/>
  </r>
  <r>
    <s v="F068"/>
    <x v="0"/>
    <x v="1"/>
    <x v="2"/>
    <s v="CH₄"/>
    <n v="901.71"/>
  </r>
  <r>
    <s v="F134"/>
    <x v="3"/>
    <x v="3"/>
    <x v="1"/>
    <s v="CH₄"/>
    <n v="4031.94"/>
  </r>
  <r>
    <s v="F148"/>
    <x v="1"/>
    <x v="0"/>
    <x v="2"/>
    <s v="N₂O"/>
    <n v="3868.62"/>
  </r>
  <r>
    <s v="F081"/>
    <x v="1"/>
    <x v="3"/>
    <x v="1"/>
    <s v="N₂O"/>
    <n v="2670.34"/>
  </r>
  <r>
    <s v="F182"/>
    <x v="3"/>
    <x v="1"/>
    <x v="2"/>
    <s v="CH₄"/>
    <n v="4061.97"/>
  </r>
  <r>
    <s v="F024"/>
    <x v="4"/>
    <x v="2"/>
    <x v="1"/>
    <s v="CO₂"/>
    <n v="279.14"/>
  </r>
  <r>
    <s v="F055"/>
    <x v="2"/>
    <x v="2"/>
    <x v="0"/>
    <s v="N₂O"/>
    <n v="936.92034809999996"/>
  </r>
  <r>
    <s v="F056"/>
    <x v="4"/>
    <x v="0"/>
    <x v="0"/>
    <s v="N₂O"/>
    <n v="1890.569927"/>
  </r>
  <r>
    <s v="F191"/>
    <x v="0"/>
    <x v="1"/>
    <x v="0"/>
    <s v="CH₄"/>
    <n v="4697.92"/>
  </r>
  <r>
    <s v="F175"/>
    <x v="3"/>
    <x v="3"/>
    <x v="2"/>
    <s v="N₂O"/>
    <n v="3192.85"/>
  </r>
  <r>
    <s v="F038"/>
    <x v="4"/>
    <x v="1"/>
    <x v="0"/>
    <s v="CH₄"/>
    <n v="3010.17"/>
  </r>
  <r>
    <s v="F075"/>
    <x v="3"/>
    <x v="2"/>
    <x v="0"/>
    <s v="N₂O"/>
    <n v="4348.8599999999997"/>
  </r>
  <r>
    <s v="F023"/>
    <x v="1"/>
    <x v="0"/>
    <x v="0"/>
    <s v="CH₄"/>
    <n v="4115.1509260000003"/>
  </r>
  <r>
    <s v="F142"/>
    <x v="0"/>
    <x v="0"/>
    <x v="2"/>
    <s v="CO₂"/>
    <n v="4352.3"/>
  </r>
  <r>
    <s v="F012"/>
    <x v="3"/>
    <x v="1"/>
    <x v="0"/>
    <s v="CO₂"/>
    <n v="3591.3304600000001"/>
  </r>
  <r>
    <s v="F193"/>
    <x v="1"/>
    <x v="0"/>
    <x v="2"/>
    <s v="CO₂"/>
    <n v="3260.39"/>
  </r>
  <r>
    <s v="F022"/>
    <x v="4"/>
    <x v="2"/>
    <x v="1"/>
    <s v="N₂O"/>
    <n v="1083.03"/>
  </r>
  <r>
    <s v="F013"/>
    <x v="2"/>
    <x v="1"/>
    <x v="2"/>
    <s v="CH₄"/>
    <n v="2051.69"/>
  </r>
  <r>
    <s v="F101"/>
    <x v="3"/>
    <x v="2"/>
    <x v="2"/>
    <s v="CH₄"/>
    <n v="2402.8200000000002"/>
  </r>
  <r>
    <s v="F055"/>
    <x v="2"/>
    <x v="1"/>
    <x v="0"/>
    <s v="CH₄"/>
    <n v="1465.512424"/>
  </r>
  <r>
    <s v="F072"/>
    <x v="2"/>
    <x v="0"/>
    <x v="0"/>
    <s v="CH₄"/>
    <n v="4841.5442560000001"/>
  </r>
  <r>
    <s v="F080"/>
    <x v="3"/>
    <x v="3"/>
    <x v="2"/>
    <s v="CH₄"/>
    <n v="3187.8"/>
  </r>
  <r>
    <s v="F072"/>
    <x v="2"/>
    <x v="3"/>
    <x v="2"/>
    <s v="N₂O"/>
    <n v="4547.92"/>
  </r>
  <r>
    <s v="F081"/>
    <x v="1"/>
    <x v="1"/>
    <x v="0"/>
    <s v="CH₄"/>
    <n v="4751.75"/>
  </r>
  <r>
    <s v="F008"/>
    <x v="3"/>
    <x v="1"/>
    <x v="2"/>
    <s v="CH₄"/>
    <n v="3218.33"/>
  </r>
  <r>
    <s v="F154"/>
    <x v="0"/>
    <x v="2"/>
    <x v="1"/>
    <s v="N₂O"/>
    <n v="107.49"/>
  </r>
  <r>
    <s v="F033"/>
    <x v="0"/>
    <x v="0"/>
    <x v="2"/>
    <s v="CO₂"/>
    <n v="4162.1899999999996"/>
  </r>
  <r>
    <s v="F185"/>
    <x v="0"/>
    <x v="1"/>
    <x v="1"/>
    <s v="CH₄"/>
    <n v="1795.35"/>
  </r>
  <r>
    <s v="F177"/>
    <x v="3"/>
    <x v="1"/>
    <x v="1"/>
    <s v="N₂O"/>
    <n v="930.97"/>
  </r>
  <r>
    <s v="F083"/>
    <x v="2"/>
    <x v="2"/>
    <x v="0"/>
    <s v="CH₄"/>
    <n v="1962.973495"/>
  </r>
  <r>
    <s v="F098"/>
    <x v="4"/>
    <x v="2"/>
    <x v="1"/>
    <s v="CH₄"/>
    <n v="4615.88"/>
  </r>
  <r>
    <s v="F118"/>
    <x v="0"/>
    <x v="3"/>
    <x v="2"/>
    <s v="CO₂"/>
    <n v="1530.83"/>
  </r>
  <r>
    <s v="F122"/>
    <x v="4"/>
    <x v="2"/>
    <x v="0"/>
    <s v="CH₄"/>
    <n v="2440.987615"/>
  </r>
  <r>
    <s v="F089"/>
    <x v="4"/>
    <x v="0"/>
    <x v="2"/>
    <s v="N₂O"/>
    <n v="1674.72"/>
  </r>
  <r>
    <s v="F198"/>
    <x v="3"/>
    <x v="1"/>
    <x v="2"/>
    <s v="CO₂"/>
    <n v="3245.74"/>
  </r>
  <r>
    <s v="F165"/>
    <x v="4"/>
    <x v="0"/>
    <x v="2"/>
    <s v="CO₂"/>
    <n v="3114.72"/>
  </r>
  <r>
    <s v="F108"/>
    <x v="3"/>
    <x v="1"/>
    <x v="1"/>
    <s v="CO₂"/>
    <n v="2078.6799999999998"/>
  </r>
  <r>
    <s v="F062"/>
    <x v="2"/>
    <x v="0"/>
    <x v="2"/>
    <s v="CO₂"/>
    <n v="2458.83"/>
  </r>
  <r>
    <s v="F007"/>
    <x v="4"/>
    <x v="2"/>
    <x v="1"/>
    <s v="CO₂"/>
    <n v="3902.33"/>
  </r>
  <r>
    <s v="F023"/>
    <x v="1"/>
    <x v="2"/>
    <x v="0"/>
    <s v="CH₄"/>
    <n v="3436.6858299999999"/>
  </r>
  <r>
    <s v="F116"/>
    <x v="2"/>
    <x v="2"/>
    <x v="2"/>
    <s v="N₂O"/>
    <n v="3373.97"/>
  </r>
  <r>
    <s v="F067"/>
    <x v="1"/>
    <x v="0"/>
    <x v="1"/>
    <s v="CO₂"/>
    <n v="2524.3200000000002"/>
  </r>
  <r>
    <s v="F190"/>
    <x v="0"/>
    <x v="1"/>
    <x v="2"/>
    <s v="N₂O"/>
    <n v="4152.62"/>
  </r>
  <r>
    <s v="F033"/>
    <x v="0"/>
    <x v="1"/>
    <x v="0"/>
    <s v="CO₂"/>
    <n v="5429.1162919999997"/>
  </r>
  <r>
    <s v="F147"/>
    <x v="1"/>
    <x v="2"/>
    <x v="0"/>
    <s v="N₂O"/>
    <n v="4835.4238480000004"/>
  </r>
  <r>
    <s v="F108"/>
    <x v="3"/>
    <x v="2"/>
    <x v="2"/>
    <s v="CO₂"/>
    <n v="783.3"/>
  </r>
  <r>
    <s v="F131"/>
    <x v="4"/>
    <x v="0"/>
    <x v="2"/>
    <s v="N₂O"/>
    <n v="4038.18"/>
  </r>
  <r>
    <s v="F156"/>
    <x v="2"/>
    <x v="1"/>
    <x v="0"/>
    <s v="CH₄"/>
    <n v="4925.5299789999999"/>
  </r>
  <r>
    <s v="F090"/>
    <x v="2"/>
    <x v="2"/>
    <x v="0"/>
    <s v="CH₄"/>
    <n v="2926.74557"/>
  </r>
  <r>
    <s v="F001"/>
    <x v="1"/>
    <x v="0"/>
    <x v="2"/>
    <s v="CO₂"/>
    <n v="1931.14"/>
  </r>
  <r>
    <s v="F126"/>
    <x v="2"/>
    <x v="1"/>
    <x v="0"/>
    <s v="N₂O"/>
    <n v="3586.9128329999999"/>
  </r>
  <r>
    <s v="F188"/>
    <x v="3"/>
    <x v="3"/>
    <x v="1"/>
    <s v="CO₂"/>
    <n v="2192.19"/>
  </r>
  <r>
    <s v="F173"/>
    <x v="1"/>
    <x v="3"/>
    <x v="2"/>
    <s v="CO₂"/>
    <n v="3113.98"/>
  </r>
  <r>
    <s v="F155"/>
    <x v="2"/>
    <x v="3"/>
    <x v="0"/>
    <s v="CH₄"/>
    <n v="4943.0830340000002"/>
  </r>
  <r>
    <s v="F165"/>
    <x v="4"/>
    <x v="0"/>
    <x v="1"/>
    <s v="CO₂"/>
    <n v="4608.99"/>
  </r>
  <r>
    <s v="F012"/>
    <x v="3"/>
    <x v="1"/>
    <x v="2"/>
    <s v="CO₂"/>
    <n v="548.27"/>
  </r>
  <r>
    <s v="F024"/>
    <x v="4"/>
    <x v="0"/>
    <x v="0"/>
    <s v="CH₄"/>
    <n v="2949.1193939999998"/>
  </r>
  <r>
    <s v="F005"/>
    <x v="4"/>
    <x v="3"/>
    <x v="0"/>
    <s v="N₂O"/>
    <n v="2617.0703119999998"/>
  </r>
  <r>
    <s v="F176"/>
    <x v="4"/>
    <x v="3"/>
    <x v="1"/>
    <s v="CO₂"/>
    <n v="4990.76"/>
  </r>
  <r>
    <s v="F200"/>
    <x v="1"/>
    <x v="3"/>
    <x v="2"/>
    <s v="CO₂"/>
    <n v="922.25"/>
  </r>
  <r>
    <s v="F097"/>
    <x v="1"/>
    <x v="2"/>
    <x v="1"/>
    <s v="CO₂"/>
    <n v="1919.35"/>
  </r>
  <r>
    <s v="F130"/>
    <x v="3"/>
    <x v="3"/>
    <x v="0"/>
    <s v="N₂O"/>
    <n v="3296.9829679999998"/>
  </r>
  <r>
    <s v="F031"/>
    <x v="3"/>
    <x v="1"/>
    <x v="2"/>
    <s v="N₂O"/>
    <n v="3879.07"/>
  </r>
  <r>
    <s v="F154"/>
    <x v="0"/>
    <x v="2"/>
    <x v="0"/>
    <s v="CO₂"/>
    <n v="3326.9593620000001"/>
  </r>
  <r>
    <s v="F152"/>
    <x v="4"/>
    <x v="1"/>
    <x v="0"/>
    <s v="CO₂"/>
    <n v="2620.3764460000002"/>
  </r>
  <r>
    <s v="F082"/>
    <x v="0"/>
    <x v="2"/>
    <x v="2"/>
    <s v="CH₄"/>
    <n v="3511.53"/>
  </r>
  <r>
    <s v="F150"/>
    <x v="4"/>
    <x v="0"/>
    <x v="2"/>
    <s v="CO₂"/>
    <n v="402.68"/>
  </r>
  <r>
    <s v="F168"/>
    <x v="2"/>
    <x v="3"/>
    <x v="1"/>
    <s v="CH₄"/>
    <n v="3834.83"/>
  </r>
  <r>
    <s v="F028"/>
    <x v="4"/>
    <x v="1"/>
    <x v="1"/>
    <s v="CO₂"/>
    <n v="2705.01"/>
  </r>
  <r>
    <s v="F149"/>
    <x v="1"/>
    <x v="1"/>
    <x v="1"/>
    <s v="CO₂"/>
    <n v="2242.38"/>
  </r>
  <r>
    <s v="F026"/>
    <x v="2"/>
    <x v="3"/>
    <x v="0"/>
    <s v="CO₂"/>
    <n v="1860.7437640000001"/>
  </r>
  <r>
    <s v="F172"/>
    <x v="4"/>
    <x v="0"/>
    <x v="2"/>
    <s v="N₂O"/>
    <n v="2978.15"/>
  </r>
  <r>
    <s v="F051"/>
    <x v="4"/>
    <x v="2"/>
    <x v="2"/>
    <s v="CH₄"/>
    <n v="1338.04"/>
  </r>
  <r>
    <s v="F056"/>
    <x v="4"/>
    <x v="3"/>
    <x v="2"/>
    <s v="N₂O"/>
    <n v="2538.44"/>
  </r>
  <r>
    <s v="F049"/>
    <x v="0"/>
    <x v="1"/>
    <x v="2"/>
    <s v="N₂O"/>
    <n v="1644.11"/>
  </r>
  <r>
    <s v="F109"/>
    <x v="0"/>
    <x v="1"/>
    <x v="1"/>
    <s v="CO₂"/>
    <n v="3858.7"/>
  </r>
  <r>
    <s v="F131"/>
    <x v="4"/>
    <x v="3"/>
    <x v="2"/>
    <s v="N₂O"/>
    <n v="2079.69"/>
  </r>
  <r>
    <s v="F186"/>
    <x v="4"/>
    <x v="0"/>
    <x v="2"/>
    <s v="CO₂"/>
    <n v="439.97"/>
  </r>
  <r>
    <s v="F111"/>
    <x v="3"/>
    <x v="2"/>
    <x v="2"/>
    <s v="CH₄"/>
    <n v="1486"/>
  </r>
  <r>
    <s v="F138"/>
    <x v="0"/>
    <x v="2"/>
    <x v="0"/>
    <s v="N₂O"/>
    <n v="396.69632039999999"/>
  </r>
  <r>
    <s v="F081"/>
    <x v="1"/>
    <x v="1"/>
    <x v="0"/>
    <s v="CO₂"/>
    <n v="1724.46"/>
  </r>
  <r>
    <s v="F186"/>
    <x v="4"/>
    <x v="2"/>
    <x v="2"/>
    <s v="CO₂"/>
    <n v="3569.77"/>
  </r>
  <r>
    <s v="F149"/>
    <x v="1"/>
    <x v="0"/>
    <x v="1"/>
    <s v="CH₄"/>
    <n v="1244.99"/>
  </r>
  <r>
    <s v="F119"/>
    <x v="2"/>
    <x v="1"/>
    <x v="0"/>
    <s v="CH₄"/>
    <n v="4645.6365770000002"/>
  </r>
  <r>
    <s v="F061"/>
    <x v="1"/>
    <x v="0"/>
    <x v="0"/>
    <s v="N₂O"/>
    <n v="3635.37"/>
  </r>
  <r>
    <s v="F193"/>
    <x v="1"/>
    <x v="1"/>
    <x v="0"/>
    <s v="N₂O"/>
    <n v="4563.1180219999997"/>
  </r>
  <r>
    <s v="F090"/>
    <x v="2"/>
    <x v="0"/>
    <x v="0"/>
    <s v="CO₂"/>
    <n v="1337.435551"/>
  </r>
  <r>
    <s v="F070"/>
    <x v="2"/>
    <x v="2"/>
    <x v="0"/>
    <s v="N₂O"/>
    <n v="527.43320610000001"/>
  </r>
  <r>
    <s v="F076"/>
    <x v="2"/>
    <x v="3"/>
    <x v="1"/>
    <s v="CH₄"/>
    <n v="1979.48"/>
  </r>
  <r>
    <s v="F127"/>
    <x v="3"/>
    <x v="2"/>
    <x v="0"/>
    <s v="CO₂"/>
    <n v="2025.95"/>
  </r>
  <r>
    <s v="F090"/>
    <x v="2"/>
    <x v="1"/>
    <x v="2"/>
    <s v="CO₂"/>
    <n v="4195.17"/>
  </r>
  <r>
    <s v="F053"/>
    <x v="0"/>
    <x v="0"/>
    <x v="2"/>
    <s v="N₂O"/>
    <n v="2104.08"/>
  </r>
  <r>
    <s v="F008"/>
    <x v="3"/>
    <x v="0"/>
    <x v="2"/>
    <s v="CO₂"/>
    <n v="4229.93"/>
  </r>
  <r>
    <s v="F083"/>
    <x v="2"/>
    <x v="0"/>
    <x v="1"/>
    <s v="CO₂"/>
    <n v="3136.15"/>
  </r>
  <r>
    <s v="F200"/>
    <x v="1"/>
    <x v="3"/>
    <x v="0"/>
    <s v="N₂O"/>
    <n v="1959.3291340000001"/>
  </r>
  <r>
    <s v="F047"/>
    <x v="0"/>
    <x v="0"/>
    <x v="0"/>
    <s v="N₂O"/>
    <n v="1221.953049"/>
  </r>
  <r>
    <s v="F176"/>
    <x v="4"/>
    <x v="1"/>
    <x v="2"/>
    <s v="CH₄"/>
    <n v="300.75"/>
  </r>
  <r>
    <s v="F018"/>
    <x v="4"/>
    <x v="2"/>
    <x v="2"/>
    <s v="N₂O"/>
    <n v="4099.18"/>
  </r>
  <r>
    <s v="F198"/>
    <x v="3"/>
    <x v="1"/>
    <x v="1"/>
    <s v="CH₄"/>
    <n v="104.53"/>
  </r>
  <r>
    <s v="F185"/>
    <x v="0"/>
    <x v="3"/>
    <x v="1"/>
    <s v="N₂O"/>
    <n v="2781"/>
  </r>
  <r>
    <s v="F090"/>
    <x v="2"/>
    <x v="2"/>
    <x v="0"/>
    <s v="N₂O"/>
    <n v="3597.303453"/>
  </r>
  <r>
    <s v="F052"/>
    <x v="3"/>
    <x v="2"/>
    <x v="2"/>
    <s v="N₂O"/>
    <n v="2055.7399999999998"/>
  </r>
  <r>
    <s v="F034"/>
    <x v="4"/>
    <x v="2"/>
    <x v="1"/>
    <s v="CH₄"/>
    <n v="437.58"/>
  </r>
  <r>
    <s v="F035"/>
    <x v="4"/>
    <x v="1"/>
    <x v="2"/>
    <s v="CH₄"/>
    <n v="3087.52"/>
  </r>
  <r>
    <s v="F076"/>
    <x v="2"/>
    <x v="1"/>
    <x v="0"/>
    <s v="CH₄"/>
    <n v="2226.371185"/>
  </r>
  <r>
    <s v="F105"/>
    <x v="0"/>
    <x v="0"/>
    <x v="2"/>
    <s v="CH₄"/>
    <n v="769.29"/>
  </r>
  <r>
    <s v="F065"/>
    <x v="1"/>
    <x v="2"/>
    <x v="2"/>
    <s v="N₂O"/>
    <n v="3008.89"/>
  </r>
  <r>
    <s v="F089"/>
    <x v="4"/>
    <x v="3"/>
    <x v="0"/>
    <s v="CH₄"/>
    <n v="1802.2968639999999"/>
  </r>
  <r>
    <s v="F089"/>
    <x v="4"/>
    <x v="3"/>
    <x v="2"/>
    <s v="CH₄"/>
    <n v="3707.94"/>
  </r>
  <r>
    <s v="F143"/>
    <x v="1"/>
    <x v="1"/>
    <x v="0"/>
    <s v="CH₄"/>
    <n v="3134.2444770000002"/>
  </r>
  <r>
    <s v="F025"/>
    <x v="4"/>
    <x v="2"/>
    <x v="2"/>
    <s v="CO₂"/>
    <n v="1671.05"/>
  </r>
  <r>
    <s v="F037"/>
    <x v="3"/>
    <x v="0"/>
    <x v="0"/>
    <s v="CO₂"/>
    <n v="456.60088710000002"/>
  </r>
  <r>
    <s v="F156"/>
    <x v="2"/>
    <x v="0"/>
    <x v="1"/>
    <s v="CH₄"/>
    <n v="4237.93"/>
  </r>
  <r>
    <s v="F058"/>
    <x v="1"/>
    <x v="2"/>
    <x v="0"/>
    <s v="N₂O"/>
    <n v="4750.1918850000002"/>
  </r>
  <r>
    <s v="F013"/>
    <x v="2"/>
    <x v="2"/>
    <x v="2"/>
    <s v="CH₄"/>
    <n v="3912.43"/>
  </r>
  <r>
    <s v="F198"/>
    <x v="3"/>
    <x v="2"/>
    <x v="1"/>
    <s v="CO₂"/>
    <n v="349.13"/>
  </r>
  <r>
    <s v="F194"/>
    <x v="3"/>
    <x v="1"/>
    <x v="2"/>
    <s v="N₂O"/>
    <n v="3133.74"/>
  </r>
  <r>
    <s v="F198"/>
    <x v="3"/>
    <x v="3"/>
    <x v="2"/>
    <s v="CH₄"/>
    <n v="228.22"/>
  </r>
  <r>
    <s v="F028"/>
    <x v="4"/>
    <x v="0"/>
    <x v="2"/>
    <s v="CO₂"/>
    <n v="1437.79"/>
  </r>
  <r>
    <s v="F059"/>
    <x v="2"/>
    <x v="3"/>
    <x v="2"/>
    <s v="N₂O"/>
    <n v="3734.66"/>
  </r>
  <r>
    <s v="F166"/>
    <x v="3"/>
    <x v="1"/>
    <x v="2"/>
    <s v="CO₂"/>
    <n v="923.68"/>
  </r>
  <r>
    <s v="F177"/>
    <x v="3"/>
    <x v="3"/>
    <x v="2"/>
    <s v="N₂O"/>
    <n v="1962.58"/>
  </r>
  <r>
    <s v="F011"/>
    <x v="4"/>
    <x v="0"/>
    <x v="1"/>
    <s v="CO₂"/>
    <n v="690.6"/>
  </r>
  <r>
    <s v="F004"/>
    <x v="0"/>
    <x v="3"/>
    <x v="0"/>
    <s v="CH₄"/>
    <n v="1785.8245850000001"/>
  </r>
  <r>
    <s v="F120"/>
    <x v="4"/>
    <x v="2"/>
    <x v="2"/>
    <s v="N₂O"/>
    <n v="4949.3"/>
  </r>
  <r>
    <s v="F176"/>
    <x v="4"/>
    <x v="2"/>
    <x v="0"/>
    <s v="CH₄"/>
    <n v="3153.3403969999999"/>
  </r>
  <r>
    <s v="F072"/>
    <x v="2"/>
    <x v="3"/>
    <x v="1"/>
    <s v="CO₂"/>
    <n v="919.35"/>
  </r>
  <r>
    <s v="F028"/>
    <x v="4"/>
    <x v="3"/>
    <x v="1"/>
    <s v="CO₂"/>
    <n v="2465.21"/>
  </r>
  <r>
    <s v="F168"/>
    <x v="2"/>
    <x v="2"/>
    <x v="1"/>
    <s v="CH₄"/>
    <n v="2956.74"/>
  </r>
  <r>
    <s v="F053"/>
    <x v="0"/>
    <x v="3"/>
    <x v="0"/>
    <s v="CH₄"/>
    <n v="1174.629844"/>
  </r>
  <r>
    <s v="F125"/>
    <x v="1"/>
    <x v="3"/>
    <x v="1"/>
    <s v="N₂O"/>
    <n v="1574.82"/>
  </r>
  <r>
    <s v="F031"/>
    <x v="3"/>
    <x v="0"/>
    <x v="0"/>
    <s v="CH₄"/>
    <n v="922.32219610000004"/>
  </r>
  <r>
    <s v="F086"/>
    <x v="4"/>
    <x v="2"/>
    <x v="0"/>
    <s v="CH₄"/>
    <n v="842.92266970000003"/>
  </r>
  <r>
    <s v="F064"/>
    <x v="1"/>
    <x v="0"/>
    <x v="1"/>
    <s v="CH₄"/>
    <n v="3132.1"/>
  </r>
  <r>
    <s v="F041"/>
    <x v="1"/>
    <x v="1"/>
    <x v="0"/>
    <s v="CH₄"/>
    <n v="3613.5009599999998"/>
  </r>
  <r>
    <s v="F030"/>
    <x v="0"/>
    <x v="3"/>
    <x v="0"/>
    <s v="N₂O"/>
    <n v="1968.5236090000001"/>
  </r>
  <r>
    <s v="F138"/>
    <x v="0"/>
    <x v="2"/>
    <x v="1"/>
    <s v="CH₄"/>
    <n v="70.83"/>
  </r>
  <r>
    <s v="F138"/>
    <x v="0"/>
    <x v="1"/>
    <x v="1"/>
    <s v="CO₂"/>
    <n v="1698.04"/>
  </r>
  <r>
    <s v="F122"/>
    <x v="4"/>
    <x v="2"/>
    <x v="2"/>
    <s v="CH₄"/>
    <n v="4151.2"/>
  </r>
  <r>
    <s v="F174"/>
    <x v="3"/>
    <x v="3"/>
    <x v="2"/>
    <s v="CO₂"/>
    <n v="4411.01"/>
  </r>
  <r>
    <s v="F159"/>
    <x v="0"/>
    <x v="1"/>
    <x v="2"/>
    <s v="CO₂"/>
    <n v="284.04000000000002"/>
  </r>
  <r>
    <s v="F150"/>
    <x v="4"/>
    <x v="0"/>
    <x v="0"/>
    <s v="N₂O"/>
    <n v="3725.8493830000002"/>
  </r>
  <r>
    <s v="F136"/>
    <x v="1"/>
    <x v="1"/>
    <x v="2"/>
    <s v="N₂O"/>
    <n v="324.83999999999997"/>
  </r>
  <r>
    <s v="F087"/>
    <x v="4"/>
    <x v="1"/>
    <x v="2"/>
    <s v="N₂O"/>
    <n v="574.69000000000005"/>
  </r>
  <r>
    <s v="F123"/>
    <x v="1"/>
    <x v="3"/>
    <x v="0"/>
    <s v="N₂O"/>
    <n v="3034.3254080000002"/>
  </r>
  <r>
    <s v="F128"/>
    <x v="2"/>
    <x v="3"/>
    <x v="2"/>
    <s v="N₂O"/>
    <n v="169.73"/>
  </r>
  <r>
    <s v="F155"/>
    <x v="2"/>
    <x v="1"/>
    <x v="1"/>
    <s v="N₂O"/>
    <n v="1309.6199999999999"/>
  </r>
  <r>
    <s v="F095"/>
    <x v="2"/>
    <x v="0"/>
    <x v="2"/>
    <s v="N₂O"/>
    <n v="2624.96"/>
  </r>
  <r>
    <s v="F152"/>
    <x v="4"/>
    <x v="0"/>
    <x v="1"/>
    <s v="CO₂"/>
    <n v="1753.99"/>
  </r>
  <r>
    <s v="F048"/>
    <x v="0"/>
    <x v="1"/>
    <x v="0"/>
    <s v="CH₄"/>
    <n v="4506.350676"/>
  </r>
  <r>
    <s v="F195"/>
    <x v="1"/>
    <x v="1"/>
    <x v="0"/>
    <s v="N₂O"/>
    <n v="1399.9373109999999"/>
  </r>
  <r>
    <s v="F054"/>
    <x v="3"/>
    <x v="2"/>
    <x v="0"/>
    <s v="CO₂"/>
    <n v="3722.0575220000001"/>
  </r>
  <r>
    <s v="F172"/>
    <x v="4"/>
    <x v="2"/>
    <x v="0"/>
    <s v="N₂O"/>
    <n v="4854.660578"/>
  </r>
  <r>
    <s v="F055"/>
    <x v="2"/>
    <x v="1"/>
    <x v="0"/>
    <s v="N₂O"/>
    <n v="3995.7127209999999"/>
  </r>
  <r>
    <s v="F043"/>
    <x v="0"/>
    <x v="2"/>
    <x v="0"/>
    <s v="CH₄"/>
    <n v="1233.9262349999999"/>
  </r>
  <r>
    <s v="F033"/>
    <x v="0"/>
    <x v="2"/>
    <x v="1"/>
    <s v="CO₂"/>
    <n v="2802.78"/>
  </r>
  <r>
    <s v="F105"/>
    <x v="0"/>
    <x v="0"/>
    <x v="1"/>
    <s v="CO₂"/>
    <n v="2330.0300000000002"/>
  </r>
  <r>
    <s v="F165"/>
    <x v="4"/>
    <x v="0"/>
    <x v="2"/>
    <s v="N₂O"/>
    <n v="4895.2700000000004"/>
  </r>
  <r>
    <s v="F175"/>
    <x v="3"/>
    <x v="1"/>
    <x v="1"/>
    <s v="N₂O"/>
    <n v="804.58"/>
  </r>
  <r>
    <s v="F024"/>
    <x v="4"/>
    <x v="1"/>
    <x v="0"/>
    <s v="CH₄"/>
    <n v="5233.9546099999998"/>
  </r>
  <r>
    <s v="F200"/>
    <x v="1"/>
    <x v="2"/>
    <x v="1"/>
    <s v="CH₄"/>
    <n v="2997.09"/>
  </r>
  <r>
    <s v="F157"/>
    <x v="0"/>
    <x v="0"/>
    <x v="0"/>
    <s v="CH₄"/>
    <n v="964.92144989999997"/>
  </r>
  <r>
    <s v="F011"/>
    <x v="4"/>
    <x v="0"/>
    <x v="0"/>
    <s v="N₂O"/>
    <n v="3145.31"/>
  </r>
  <r>
    <s v="F120"/>
    <x v="4"/>
    <x v="1"/>
    <x v="2"/>
    <s v="CO₂"/>
    <n v="2135.2800000000002"/>
  </r>
  <r>
    <s v="F143"/>
    <x v="1"/>
    <x v="3"/>
    <x v="0"/>
    <s v="N₂O"/>
    <n v="4359.5105709999998"/>
  </r>
  <r>
    <s v="F127"/>
    <x v="3"/>
    <x v="2"/>
    <x v="1"/>
    <s v="CO₂"/>
    <n v="4094.25"/>
  </r>
  <r>
    <s v="F043"/>
    <x v="0"/>
    <x v="3"/>
    <x v="0"/>
    <s v="CO₂"/>
    <n v="1200.6229960000001"/>
  </r>
  <r>
    <s v="F117"/>
    <x v="2"/>
    <x v="2"/>
    <x v="0"/>
    <s v="N₂O"/>
    <n v="2599.9448320000001"/>
  </r>
  <r>
    <s v="F187"/>
    <x v="2"/>
    <x v="3"/>
    <x v="1"/>
    <s v="CH₄"/>
    <n v="3672.52"/>
  </r>
  <r>
    <s v="F029"/>
    <x v="4"/>
    <x v="2"/>
    <x v="2"/>
    <s v="N₂O"/>
    <n v="787.76"/>
  </r>
  <r>
    <s v="F195"/>
    <x v="1"/>
    <x v="0"/>
    <x v="1"/>
    <s v="CH₄"/>
    <n v="4418.3"/>
  </r>
  <r>
    <s v="F164"/>
    <x v="0"/>
    <x v="2"/>
    <x v="2"/>
    <s v="N₂O"/>
    <n v="1918.45"/>
  </r>
  <r>
    <s v="F094"/>
    <x v="3"/>
    <x v="2"/>
    <x v="2"/>
    <s v="CH₄"/>
    <n v="4411.78"/>
  </r>
  <r>
    <s v="F154"/>
    <x v="0"/>
    <x v="2"/>
    <x v="0"/>
    <s v="CH₄"/>
    <n v="755.83986930000003"/>
  </r>
  <r>
    <s v="F109"/>
    <x v="0"/>
    <x v="1"/>
    <x v="0"/>
    <s v="CH₄"/>
    <n v="868.5117434"/>
  </r>
  <r>
    <s v="F079"/>
    <x v="2"/>
    <x v="3"/>
    <x v="1"/>
    <s v="CH₄"/>
    <n v="3296.99"/>
  </r>
  <r>
    <s v="F108"/>
    <x v="3"/>
    <x v="3"/>
    <x v="2"/>
    <s v="N₂O"/>
    <n v="4240.42"/>
  </r>
  <r>
    <s v="F020"/>
    <x v="2"/>
    <x v="1"/>
    <x v="0"/>
    <s v="CH₄"/>
    <n v="1409.821359"/>
  </r>
  <r>
    <s v="F174"/>
    <x v="3"/>
    <x v="3"/>
    <x v="1"/>
    <s v="CH₄"/>
    <n v="3970.76"/>
  </r>
  <r>
    <s v="F031"/>
    <x v="3"/>
    <x v="0"/>
    <x v="2"/>
    <s v="CO₂"/>
    <n v="549.77"/>
  </r>
  <r>
    <s v="F045"/>
    <x v="0"/>
    <x v="1"/>
    <x v="1"/>
    <s v="CH₄"/>
    <n v="104.29"/>
  </r>
  <r>
    <s v="F189"/>
    <x v="0"/>
    <x v="1"/>
    <x v="1"/>
    <s v="CH₄"/>
    <n v="1468.86"/>
  </r>
  <r>
    <s v="F177"/>
    <x v="3"/>
    <x v="1"/>
    <x v="1"/>
    <s v="CO₂"/>
    <n v="2876.13"/>
  </r>
  <r>
    <s v="F195"/>
    <x v="1"/>
    <x v="1"/>
    <x v="2"/>
    <s v="N₂O"/>
    <n v="1825.34"/>
  </r>
  <r>
    <s v="F148"/>
    <x v="1"/>
    <x v="2"/>
    <x v="1"/>
    <s v="CO₂"/>
    <n v="3246.39"/>
  </r>
  <r>
    <s v="F060"/>
    <x v="4"/>
    <x v="0"/>
    <x v="2"/>
    <s v="CH₄"/>
    <n v="1846.98"/>
  </r>
  <r>
    <s v="F047"/>
    <x v="0"/>
    <x v="2"/>
    <x v="1"/>
    <s v="N₂O"/>
    <n v="4193.53"/>
  </r>
  <r>
    <s v="F081"/>
    <x v="1"/>
    <x v="3"/>
    <x v="2"/>
    <s v="CH₄"/>
    <n v="1402.57"/>
  </r>
  <r>
    <s v="F126"/>
    <x v="2"/>
    <x v="0"/>
    <x v="0"/>
    <s v="CH₄"/>
    <n v="2860.1475580000001"/>
  </r>
  <r>
    <s v="F103"/>
    <x v="4"/>
    <x v="1"/>
    <x v="2"/>
    <s v="CO₂"/>
    <n v="1019.13"/>
  </r>
  <r>
    <s v="F075"/>
    <x v="3"/>
    <x v="0"/>
    <x v="2"/>
    <s v="CO₂"/>
    <n v="3886.16"/>
  </r>
  <r>
    <s v="F053"/>
    <x v="0"/>
    <x v="3"/>
    <x v="0"/>
    <s v="CO₂"/>
    <n v="2913.9286999999999"/>
  </r>
  <r>
    <s v="F194"/>
    <x v="3"/>
    <x v="0"/>
    <x v="1"/>
    <s v="CH₄"/>
    <n v="4929.24"/>
  </r>
  <r>
    <s v="F121"/>
    <x v="3"/>
    <x v="1"/>
    <x v="1"/>
    <s v="CH₄"/>
    <n v="197.22"/>
  </r>
  <r>
    <s v="F117"/>
    <x v="2"/>
    <x v="3"/>
    <x v="2"/>
    <s v="CH₄"/>
    <n v="3407.21"/>
  </r>
  <r>
    <s v="F164"/>
    <x v="0"/>
    <x v="1"/>
    <x v="2"/>
    <s v="N₂O"/>
    <n v="538.5"/>
  </r>
  <r>
    <s v="F046"/>
    <x v="4"/>
    <x v="1"/>
    <x v="2"/>
    <s v="CH₄"/>
    <n v="4976.37"/>
  </r>
  <r>
    <s v="F167"/>
    <x v="2"/>
    <x v="0"/>
    <x v="1"/>
    <s v="N₂O"/>
    <n v="1334.36"/>
  </r>
  <r>
    <s v="F185"/>
    <x v="0"/>
    <x v="2"/>
    <x v="1"/>
    <s v="CH₄"/>
    <n v="2641.31"/>
  </r>
  <r>
    <s v="F029"/>
    <x v="4"/>
    <x v="1"/>
    <x v="0"/>
    <s v="N₂O"/>
    <n v="3466.627704"/>
  </r>
  <r>
    <s v="F192"/>
    <x v="4"/>
    <x v="0"/>
    <x v="1"/>
    <s v="N₂O"/>
    <n v="4682.5600000000004"/>
  </r>
  <r>
    <s v="F067"/>
    <x v="1"/>
    <x v="1"/>
    <x v="1"/>
    <s v="N₂O"/>
    <n v="272.64"/>
  </r>
  <r>
    <s v="F128"/>
    <x v="2"/>
    <x v="2"/>
    <x v="1"/>
    <s v="N₂O"/>
    <n v="4584.96"/>
  </r>
  <r>
    <s v="F004"/>
    <x v="0"/>
    <x v="2"/>
    <x v="1"/>
    <s v="CO₂"/>
    <n v="3965.06"/>
  </r>
  <r>
    <s v="F097"/>
    <x v="1"/>
    <x v="0"/>
    <x v="0"/>
    <s v="N₂O"/>
    <n v="1855.0036909999999"/>
  </r>
  <r>
    <s v="F026"/>
    <x v="2"/>
    <x v="3"/>
    <x v="0"/>
    <s v="CH₄"/>
    <n v="1170.4913859999999"/>
  </r>
  <r>
    <s v="F037"/>
    <x v="3"/>
    <x v="2"/>
    <x v="1"/>
    <s v="CH₄"/>
    <n v="2881.56"/>
  </r>
  <r>
    <s v="F086"/>
    <x v="4"/>
    <x v="3"/>
    <x v="1"/>
    <s v="N₂O"/>
    <n v="4820.21"/>
  </r>
  <r>
    <s v="F174"/>
    <x v="3"/>
    <x v="0"/>
    <x v="1"/>
    <s v="CO₂"/>
    <n v="2635.84"/>
  </r>
  <r>
    <s v="F153"/>
    <x v="3"/>
    <x v="3"/>
    <x v="2"/>
    <s v="CO₂"/>
    <n v="3933.16"/>
  </r>
  <r>
    <s v="F101"/>
    <x v="3"/>
    <x v="2"/>
    <x v="1"/>
    <s v="N₂O"/>
    <n v="425.14"/>
  </r>
  <r>
    <s v="F070"/>
    <x v="2"/>
    <x v="2"/>
    <x v="2"/>
    <s v="N₂O"/>
    <n v="3494.61"/>
  </r>
  <r>
    <s v="F160"/>
    <x v="4"/>
    <x v="2"/>
    <x v="0"/>
    <s v="CH₄"/>
    <n v="3199.7601610000002"/>
  </r>
  <r>
    <s v="F043"/>
    <x v="0"/>
    <x v="0"/>
    <x v="1"/>
    <s v="CO₂"/>
    <n v="290.08999999999997"/>
  </r>
  <r>
    <s v="F109"/>
    <x v="0"/>
    <x v="2"/>
    <x v="2"/>
    <s v="CO₂"/>
    <n v="1123.56"/>
  </r>
  <r>
    <s v="F080"/>
    <x v="3"/>
    <x v="0"/>
    <x v="2"/>
    <s v="CH₄"/>
    <n v="1109.47"/>
  </r>
  <r>
    <s v="F002"/>
    <x v="4"/>
    <x v="3"/>
    <x v="0"/>
    <s v="CH₄"/>
    <n v="1044.9244289999999"/>
  </r>
  <r>
    <s v="F198"/>
    <x v="3"/>
    <x v="1"/>
    <x v="0"/>
    <s v="CO₂"/>
    <n v="5387.6739100000004"/>
  </r>
  <r>
    <s v="F125"/>
    <x v="1"/>
    <x v="1"/>
    <x v="0"/>
    <s v="CH₄"/>
    <n v="3244.167426"/>
  </r>
  <r>
    <s v="F053"/>
    <x v="0"/>
    <x v="3"/>
    <x v="1"/>
    <s v="CO₂"/>
    <n v="3954.01"/>
  </r>
  <r>
    <s v="F168"/>
    <x v="2"/>
    <x v="3"/>
    <x v="1"/>
    <s v="N₂O"/>
    <n v="1475.99"/>
  </r>
  <r>
    <s v="F092"/>
    <x v="4"/>
    <x v="3"/>
    <x v="0"/>
    <s v="N₂O"/>
    <n v="4669.976944"/>
  </r>
  <r>
    <s v="F114"/>
    <x v="1"/>
    <x v="1"/>
    <x v="0"/>
    <s v="CO₂"/>
    <n v="502.5731907"/>
  </r>
  <r>
    <s v="F109"/>
    <x v="0"/>
    <x v="0"/>
    <x v="1"/>
    <s v="CH₄"/>
    <n v="2663.13"/>
  </r>
  <r>
    <s v="F075"/>
    <x v="3"/>
    <x v="1"/>
    <x v="1"/>
    <s v="CO₂"/>
    <n v="3327.22"/>
  </r>
  <r>
    <s v="F123"/>
    <x v="1"/>
    <x v="2"/>
    <x v="1"/>
    <s v="CH₄"/>
    <n v="441.04"/>
  </r>
  <r>
    <s v="F104"/>
    <x v="4"/>
    <x v="1"/>
    <x v="0"/>
    <s v="CH₄"/>
    <n v="1466.4726929999999"/>
  </r>
  <r>
    <s v="F027"/>
    <x v="4"/>
    <x v="3"/>
    <x v="0"/>
    <s v="CH₄"/>
    <n v="5076.0106109999997"/>
  </r>
  <r>
    <s v="F005"/>
    <x v="4"/>
    <x v="3"/>
    <x v="2"/>
    <s v="CH₄"/>
    <n v="3971.86"/>
  </r>
  <r>
    <s v="F003"/>
    <x v="3"/>
    <x v="2"/>
    <x v="2"/>
    <s v="CH₄"/>
    <n v="3120.88"/>
  </r>
  <r>
    <s v="F153"/>
    <x v="3"/>
    <x v="2"/>
    <x v="1"/>
    <s v="CO₂"/>
    <n v="3407.69"/>
  </r>
  <r>
    <s v="F054"/>
    <x v="3"/>
    <x v="0"/>
    <x v="0"/>
    <s v="CH₄"/>
    <n v="4867.8938900000003"/>
  </r>
  <r>
    <s v="F012"/>
    <x v="3"/>
    <x v="1"/>
    <x v="1"/>
    <s v="CO₂"/>
    <n v="1080.8399999999999"/>
  </r>
  <r>
    <s v="F170"/>
    <x v="2"/>
    <x v="2"/>
    <x v="0"/>
    <s v="N₂O"/>
    <n v="1196.416798"/>
  </r>
  <r>
    <s v="F111"/>
    <x v="3"/>
    <x v="3"/>
    <x v="1"/>
    <s v="CO₂"/>
    <n v="2634.83"/>
  </r>
  <r>
    <s v="F098"/>
    <x v="4"/>
    <x v="2"/>
    <x v="0"/>
    <s v="CH₄"/>
    <n v="3396.5836939999999"/>
  </r>
  <r>
    <s v="F110"/>
    <x v="4"/>
    <x v="1"/>
    <x v="1"/>
    <s v="CO₂"/>
    <n v="4067.32"/>
  </r>
  <r>
    <s v="F043"/>
    <x v="0"/>
    <x v="1"/>
    <x v="0"/>
    <s v="CH₄"/>
    <n v="1241.4128969999999"/>
  </r>
  <r>
    <s v="F175"/>
    <x v="3"/>
    <x v="2"/>
    <x v="1"/>
    <s v="N₂O"/>
    <n v="3737.92"/>
  </r>
  <r>
    <s v="F181"/>
    <x v="3"/>
    <x v="3"/>
    <x v="0"/>
    <s v="N₂O"/>
    <n v="443.26562319999999"/>
  </r>
  <r>
    <s v="F004"/>
    <x v="0"/>
    <x v="1"/>
    <x v="1"/>
    <s v="N₂O"/>
    <n v="179.8"/>
  </r>
  <r>
    <s v="F039"/>
    <x v="2"/>
    <x v="1"/>
    <x v="0"/>
    <s v="CO₂"/>
    <n v="253.07943309999999"/>
  </r>
  <r>
    <s v="F074"/>
    <x v="1"/>
    <x v="0"/>
    <x v="2"/>
    <s v="N₂O"/>
    <n v="584.44000000000005"/>
  </r>
  <r>
    <s v="F063"/>
    <x v="4"/>
    <x v="0"/>
    <x v="0"/>
    <s v="CH₄"/>
    <n v="858.27154150000001"/>
  </r>
  <r>
    <s v="F104"/>
    <x v="4"/>
    <x v="1"/>
    <x v="2"/>
    <s v="CO₂"/>
    <n v="220.63"/>
  </r>
  <r>
    <s v="F019"/>
    <x v="0"/>
    <x v="1"/>
    <x v="1"/>
    <s v="N₂O"/>
    <n v="4665.38"/>
  </r>
  <r>
    <s v="F189"/>
    <x v="0"/>
    <x v="1"/>
    <x v="1"/>
    <s v="CO₂"/>
    <n v="3677.45"/>
  </r>
  <r>
    <s v="F107"/>
    <x v="2"/>
    <x v="1"/>
    <x v="2"/>
    <s v="CH₄"/>
    <n v="3434.59"/>
  </r>
  <r>
    <s v="F166"/>
    <x v="3"/>
    <x v="3"/>
    <x v="0"/>
    <s v="N₂O"/>
    <n v="1175.5930510000001"/>
  </r>
  <r>
    <s v="F094"/>
    <x v="3"/>
    <x v="3"/>
    <x v="0"/>
    <s v="CO₂"/>
    <n v="5155.3973189999997"/>
  </r>
  <r>
    <s v="F169"/>
    <x v="2"/>
    <x v="3"/>
    <x v="1"/>
    <s v="CH₄"/>
    <n v="4426.07"/>
  </r>
  <r>
    <s v="F090"/>
    <x v="2"/>
    <x v="0"/>
    <x v="1"/>
    <s v="N₂O"/>
    <n v="4487.54"/>
  </r>
  <r>
    <s v="F040"/>
    <x v="0"/>
    <x v="1"/>
    <x v="2"/>
    <s v="CO₂"/>
    <n v="844.07"/>
  </r>
  <r>
    <s v="F132"/>
    <x v="4"/>
    <x v="3"/>
    <x v="2"/>
    <s v="N₂O"/>
    <n v="808.96"/>
  </r>
  <r>
    <s v="F042"/>
    <x v="1"/>
    <x v="2"/>
    <x v="0"/>
    <s v="CH₄"/>
    <n v="4896.916663"/>
  </r>
  <r>
    <s v="F149"/>
    <x v="1"/>
    <x v="0"/>
    <x v="0"/>
    <s v="CH₄"/>
    <n v="191.17"/>
  </r>
  <r>
    <s v="F062"/>
    <x v="2"/>
    <x v="3"/>
    <x v="1"/>
    <s v="CH₄"/>
    <n v="1697.2"/>
  </r>
  <r>
    <s v="F182"/>
    <x v="3"/>
    <x v="0"/>
    <x v="0"/>
    <s v="N₂O"/>
    <n v="4105.0089230000003"/>
  </r>
  <r>
    <s v="F126"/>
    <x v="2"/>
    <x v="1"/>
    <x v="2"/>
    <s v="CH₄"/>
    <n v="4095.94"/>
  </r>
  <r>
    <s v="F127"/>
    <x v="3"/>
    <x v="0"/>
    <x v="1"/>
    <s v="N₂O"/>
    <n v="1094.42"/>
  </r>
  <r>
    <s v="F112"/>
    <x v="4"/>
    <x v="3"/>
    <x v="0"/>
    <s v="CO₂"/>
    <n v="2501.4700050000001"/>
  </r>
  <r>
    <s v="F114"/>
    <x v="1"/>
    <x v="3"/>
    <x v="1"/>
    <s v="N₂O"/>
    <n v="1137.71"/>
  </r>
  <r>
    <s v="F152"/>
    <x v="4"/>
    <x v="2"/>
    <x v="2"/>
    <s v="CO₂"/>
    <n v="2685.34"/>
  </r>
  <r>
    <s v="F066"/>
    <x v="4"/>
    <x v="1"/>
    <x v="1"/>
    <s v="N₂O"/>
    <n v="3561.14"/>
  </r>
  <r>
    <s v="F173"/>
    <x v="1"/>
    <x v="2"/>
    <x v="0"/>
    <s v="CH₄"/>
    <n v="135.56644890000001"/>
  </r>
  <r>
    <s v="F129"/>
    <x v="1"/>
    <x v="0"/>
    <x v="2"/>
    <s v="CO₂"/>
    <n v="651.62"/>
  </r>
  <r>
    <s v="F003"/>
    <x v="3"/>
    <x v="3"/>
    <x v="0"/>
    <s v="CH₄"/>
    <n v="243.88"/>
  </r>
  <r>
    <s v="F013"/>
    <x v="2"/>
    <x v="3"/>
    <x v="2"/>
    <s v="N₂O"/>
    <n v="2204.12"/>
  </r>
  <r>
    <s v="F186"/>
    <x v="4"/>
    <x v="3"/>
    <x v="0"/>
    <s v="N₂O"/>
    <n v="4031.3117550000002"/>
  </r>
  <r>
    <s v="F017"/>
    <x v="2"/>
    <x v="0"/>
    <x v="1"/>
    <s v="N₂O"/>
    <n v="1311.25"/>
  </r>
  <r>
    <s v="F036"/>
    <x v="3"/>
    <x v="0"/>
    <x v="0"/>
    <s v="CH₄"/>
    <n v="496.00451520000001"/>
  </r>
  <r>
    <s v="F070"/>
    <x v="2"/>
    <x v="0"/>
    <x v="1"/>
    <s v="CH₄"/>
    <n v="3182.6"/>
  </r>
  <r>
    <s v="F200"/>
    <x v="1"/>
    <x v="2"/>
    <x v="1"/>
    <s v="CO₂"/>
    <n v="1935.31"/>
  </r>
  <r>
    <s v="F054"/>
    <x v="3"/>
    <x v="3"/>
    <x v="0"/>
    <s v="CH₄"/>
    <n v="4354.07557"/>
  </r>
  <r>
    <s v="F006"/>
    <x v="4"/>
    <x v="1"/>
    <x v="2"/>
    <s v="CO₂"/>
    <n v="4545.6899999999996"/>
  </r>
  <r>
    <s v="F007"/>
    <x v="4"/>
    <x v="1"/>
    <x v="2"/>
    <s v="CH₄"/>
    <n v="1019.91"/>
  </r>
  <r>
    <s v="F117"/>
    <x v="2"/>
    <x v="3"/>
    <x v="0"/>
    <s v="N₂O"/>
    <n v="3313.0768830000002"/>
  </r>
  <r>
    <s v="F115"/>
    <x v="3"/>
    <x v="3"/>
    <x v="2"/>
    <s v="N₂O"/>
    <n v="2988.27"/>
  </r>
  <r>
    <s v="F118"/>
    <x v="0"/>
    <x v="3"/>
    <x v="0"/>
    <s v="N₂O"/>
    <n v="4688.4712579999996"/>
  </r>
  <r>
    <s v="F197"/>
    <x v="2"/>
    <x v="3"/>
    <x v="0"/>
    <s v="N₂O"/>
    <n v="4159.3606559999998"/>
  </r>
  <r>
    <s v="F118"/>
    <x v="0"/>
    <x v="1"/>
    <x v="1"/>
    <s v="N₂O"/>
    <n v="3142.22"/>
  </r>
  <r>
    <s v="F147"/>
    <x v="1"/>
    <x v="3"/>
    <x v="0"/>
    <s v="CO₂"/>
    <n v="4654.5582059999997"/>
  </r>
  <r>
    <s v="F197"/>
    <x v="2"/>
    <x v="1"/>
    <x v="0"/>
    <s v="CO₂"/>
    <n v="348.73387589999999"/>
  </r>
  <r>
    <s v="F041"/>
    <x v="1"/>
    <x v="2"/>
    <x v="1"/>
    <s v="CO₂"/>
    <n v="4243.12"/>
  </r>
  <r>
    <s v="F175"/>
    <x v="3"/>
    <x v="0"/>
    <x v="1"/>
    <s v="N₂O"/>
    <n v="4673.26"/>
  </r>
  <r>
    <s v="F063"/>
    <x v="4"/>
    <x v="0"/>
    <x v="2"/>
    <s v="CH₄"/>
    <n v="1127.24"/>
  </r>
  <r>
    <s v="F035"/>
    <x v="4"/>
    <x v="3"/>
    <x v="0"/>
    <s v="N₂O"/>
    <n v="884.52"/>
  </r>
  <r>
    <s v="F167"/>
    <x v="2"/>
    <x v="3"/>
    <x v="0"/>
    <s v="N₂O"/>
    <n v="692.69108289999997"/>
  </r>
  <r>
    <s v="F095"/>
    <x v="2"/>
    <x v="0"/>
    <x v="0"/>
    <s v="CO₂"/>
    <n v="1097.7746549999999"/>
  </r>
  <r>
    <s v="F005"/>
    <x v="4"/>
    <x v="0"/>
    <x v="0"/>
    <s v="CO₂"/>
    <n v="3601.7124260000001"/>
  </r>
  <r>
    <s v="F125"/>
    <x v="1"/>
    <x v="2"/>
    <x v="1"/>
    <s v="CO₂"/>
    <n v="4661.5"/>
  </r>
  <r>
    <s v="F153"/>
    <x v="3"/>
    <x v="2"/>
    <x v="1"/>
    <s v="CH₄"/>
    <n v="4163.95"/>
  </r>
  <r>
    <s v="F166"/>
    <x v="3"/>
    <x v="2"/>
    <x v="1"/>
    <s v="CO₂"/>
    <n v="2018.59"/>
  </r>
  <r>
    <s v="F145"/>
    <x v="4"/>
    <x v="1"/>
    <x v="2"/>
    <s v="CH₄"/>
    <n v="1373.09"/>
  </r>
  <r>
    <s v="F056"/>
    <x v="4"/>
    <x v="1"/>
    <x v="1"/>
    <s v="CH₄"/>
    <n v="1419.59"/>
  </r>
  <r>
    <s v="F002"/>
    <x v="4"/>
    <x v="3"/>
    <x v="1"/>
    <s v="N₂O"/>
    <n v="3946.93"/>
  </r>
  <r>
    <s v="F137"/>
    <x v="0"/>
    <x v="3"/>
    <x v="1"/>
    <s v="N₂O"/>
    <n v="685.73"/>
  </r>
  <r>
    <s v="F184"/>
    <x v="0"/>
    <x v="0"/>
    <x v="1"/>
    <s v="CH₄"/>
    <n v="4879.25"/>
  </r>
  <r>
    <s v="F077"/>
    <x v="4"/>
    <x v="0"/>
    <x v="0"/>
    <s v="CH₄"/>
    <n v="3667.49"/>
  </r>
  <r>
    <s v="F171"/>
    <x v="4"/>
    <x v="1"/>
    <x v="2"/>
    <s v="CO₂"/>
    <n v="1085.32"/>
  </r>
  <r>
    <s v="F004"/>
    <x v="0"/>
    <x v="2"/>
    <x v="1"/>
    <s v="CH₄"/>
    <n v="4510.42"/>
  </r>
  <r>
    <s v="F196"/>
    <x v="4"/>
    <x v="3"/>
    <x v="1"/>
    <s v="N₂O"/>
    <n v="499.33"/>
  </r>
  <r>
    <s v="F096"/>
    <x v="0"/>
    <x v="0"/>
    <x v="0"/>
    <s v="CO₂"/>
    <n v="1951.9222400000001"/>
  </r>
  <r>
    <s v="F071"/>
    <x v="4"/>
    <x v="2"/>
    <x v="0"/>
    <s v="CO₂"/>
    <n v="1473.5947920000001"/>
  </r>
  <r>
    <s v="F078"/>
    <x v="0"/>
    <x v="1"/>
    <x v="1"/>
    <s v="CO₂"/>
    <n v="3545.05"/>
  </r>
  <r>
    <s v="F099"/>
    <x v="3"/>
    <x v="3"/>
    <x v="2"/>
    <s v="N₂O"/>
    <n v="84.78"/>
  </r>
  <r>
    <s v="F031"/>
    <x v="3"/>
    <x v="2"/>
    <x v="2"/>
    <s v="CH₄"/>
    <n v="1941.65"/>
  </r>
  <r>
    <s v="F136"/>
    <x v="1"/>
    <x v="3"/>
    <x v="1"/>
    <s v="CH₄"/>
    <n v="2646.36"/>
  </r>
  <r>
    <s v="F108"/>
    <x v="3"/>
    <x v="2"/>
    <x v="0"/>
    <s v="N₂O"/>
    <n v="1257.0845320000001"/>
  </r>
  <r>
    <s v="F008"/>
    <x v="3"/>
    <x v="1"/>
    <x v="1"/>
    <s v="CH₄"/>
    <n v="4445.1499999999996"/>
  </r>
  <r>
    <s v="F196"/>
    <x v="4"/>
    <x v="1"/>
    <x v="2"/>
    <s v="CO₂"/>
    <n v="3717.99"/>
  </r>
  <r>
    <s v="F029"/>
    <x v="4"/>
    <x v="2"/>
    <x v="0"/>
    <s v="N₂O"/>
    <n v="4588.6389289999997"/>
  </r>
  <r>
    <s v="F157"/>
    <x v="0"/>
    <x v="0"/>
    <x v="0"/>
    <s v="CH₄"/>
    <n v="1806.876945"/>
  </r>
  <r>
    <s v="F059"/>
    <x v="2"/>
    <x v="0"/>
    <x v="0"/>
    <s v="CO₂"/>
    <n v="1893.445913"/>
  </r>
  <r>
    <s v="F193"/>
    <x v="1"/>
    <x v="2"/>
    <x v="2"/>
    <s v="CO₂"/>
    <n v="2906.15"/>
  </r>
  <r>
    <s v="F117"/>
    <x v="2"/>
    <x v="2"/>
    <x v="0"/>
    <s v="CH₄"/>
    <n v="4352.6233110000003"/>
  </r>
  <r>
    <s v="F166"/>
    <x v="3"/>
    <x v="0"/>
    <x v="1"/>
    <s v="CH₄"/>
    <n v="750.01"/>
  </r>
  <r>
    <s v="F191"/>
    <x v="0"/>
    <x v="1"/>
    <x v="2"/>
    <s v="CO₂"/>
    <n v="1435.13"/>
  </r>
  <r>
    <s v="F098"/>
    <x v="4"/>
    <x v="1"/>
    <x v="1"/>
    <s v="N₂O"/>
    <n v="3346.28"/>
  </r>
  <r>
    <s v="F162"/>
    <x v="3"/>
    <x v="0"/>
    <x v="0"/>
    <s v="CO₂"/>
    <n v="3975.6861549999999"/>
  </r>
  <r>
    <s v="F068"/>
    <x v="0"/>
    <x v="2"/>
    <x v="1"/>
    <s v="N₂O"/>
    <n v="3453.13"/>
  </r>
  <r>
    <s v="F149"/>
    <x v="1"/>
    <x v="3"/>
    <x v="0"/>
    <s v="N₂O"/>
    <n v="626.03"/>
  </r>
  <r>
    <s v="F028"/>
    <x v="4"/>
    <x v="1"/>
    <x v="1"/>
    <s v="CO₂"/>
    <n v="3255.93"/>
  </r>
  <r>
    <s v="F179"/>
    <x v="1"/>
    <x v="0"/>
    <x v="2"/>
    <s v="N₂O"/>
    <n v="4437.74"/>
  </r>
  <r>
    <s v="F103"/>
    <x v="4"/>
    <x v="2"/>
    <x v="2"/>
    <s v="CH₄"/>
    <n v="1531"/>
  </r>
  <r>
    <s v="F155"/>
    <x v="2"/>
    <x v="0"/>
    <x v="2"/>
    <s v="N₂O"/>
    <n v="3938.07"/>
  </r>
  <r>
    <s v="F009"/>
    <x v="0"/>
    <x v="1"/>
    <x v="1"/>
    <s v="CH₄"/>
    <n v="1999.93"/>
  </r>
  <r>
    <s v="F165"/>
    <x v="4"/>
    <x v="1"/>
    <x v="0"/>
    <s v="CO₂"/>
    <n v="379.85075039999998"/>
  </r>
  <r>
    <s v="F173"/>
    <x v="1"/>
    <x v="1"/>
    <x v="0"/>
    <s v="N₂O"/>
    <n v="4069.5413589999998"/>
  </r>
  <r>
    <s v="F170"/>
    <x v="2"/>
    <x v="3"/>
    <x v="2"/>
    <s v="CO₂"/>
    <n v="2664.95"/>
  </r>
  <r>
    <s v="F038"/>
    <x v="4"/>
    <x v="3"/>
    <x v="0"/>
    <s v="CO₂"/>
    <n v="1975.28"/>
  </r>
  <r>
    <s v="F013"/>
    <x v="2"/>
    <x v="0"/>
    <x v="1"/>
    <s v="N₂O"/>
    <n v="4697.13"/>
  </r>
  <r>
    <s v="F160"/>
    <x v="4"/>
    <x v="1"/>
    <x v="1"/>
    <s v="CO₂"/>
    <n v="2932.94"/>
  </r>
  <r>
    <s v="F076"/>
    <x v="2"/>
    <x v="0"/>
    <x v="2"/>
    <s v="CO₂"/>
    <n v="1869.13"/>
  </r>
  <r>
    <s v="F193"/>
    <x v="1"/>
    <x v="0"/>
    <x v="1"/>
    <s v="CO₂"/>
    <n v="3433.46"/>
  </r>
  <r>
    <s v="F119"/>
    <x v="2"/>
    <x v="2"/>
    <x v="1"/>
    <s v="CH₄"/>
    <n v="3234.84"/>
  </r>
  <r>
    <s v="F104"/>
    <x v="4"/>
    <x v="0"/>
    <x v="1"/>
    <s v="N₂O"/>
    <n v="2947.36"/>
  </r>
  <r>
    <s v="F160"/>
    <x v="4"/>
    <x v="3"/>
    <x v="0"/>
    <s v="N₂O"/>
    <n v="4189.4613179999997"/>
  </r>
  <r>
    <s v="F104"/>
    <x v="4"/>
    <x v="0"/>
    <x v="1"/>
    <s v="CO₂"/>
    <n v="4346.51"/>
  </r>
  <r>
    <s v="F148"/>
    <x v="1"/>
    <x v="3"/>
    <x v="1"/>
    <s v="CO₂"/>
    <n v="1356.94"/>
  </r>
  <r>
    <s v="F051"/>
    <x v="4"/>
    <x v="0"/>
    <x v="2"/>
    <s v="CH₄"/>
    <n v="50.06"/>
  </r>
  <r>
    <s v="F067"/>
    <x v="1"/>
    <x v="1"/>
    <x v="2"/>
    <s v="CO₂"/>
    <n v="3795.55"/>
  </r>
  <r>
    <s v="F074"/>
    <x v="1"/>
    <x v="3"/>
    <x v="0"/>
    <s v="CH₄"/>
    <n v="4134.2097940000003"/>
  </r>
  <r>
    <s v="F165"/>
    <x v="4"/>
    <x v="3"/>
    <x v="0"/>
    <s v="N₂O"/>
    <n v="2597.355055"/>
  </r>
  <r>
    <s v="F179"/>
    <x v="1"/>
    <x v="0"/>
    <x v="1"/>
    <s v="N₂O"/>
    <n v="2151.91"/>
  </r>
  <r>
    <s v="F113"/>
    <x v="3"/>
    <x v="3"/>
    <x v="1"/>
    <s v="CH₄"/>
    <n v="3338.56"/>
  </r>
  <r>
    <s v="F028"/>
    <x v="4"/>
    <x v="2"/>
    <x v="0"/>
    <s v="CO₂"/>
    <n v="284.86"/>
  </r>
  <r>
    <s v="F095"/>
    <x v="2"/>
    <x v="3"/>
    <x v="1"/>
    <s v="CO₂"/>
    <n v="4418.62"/>
  </r>
  <r>
    <s v="F020"/>
    <x v="2"/>
    <x v="2"/>
    <x v="1"/>
    <s v="N₂O"/>
    <n v="1452.21"/>
  </r>
  <r>
    <s v="F194"/>
    <x v="3"/>
    <x v="2"/>
    <x v="2"/>
    <s v="CO₂"/>
    <n v="1001.43"/>
  </r>
  <r>
    <s v="F028"/>
    <x v="4"/>
    <x v="0"/>
    <x v="2"/>
    <s v="CO₂"/>
    <n v="3280.78"/>
  </r>
  <r>
    <s v="F040"/>
    <x v="0"/>
    <x v="0"/>
    <x v="1"/>
    <s v="N₂O"/>
    <n v="2429.6"/>
  </r>
  <r>
    <s v="F054"/>
    <x v="3"/>
    <x v="1"/>
    <x v="0"/>
    <s v="CH₄"/>
    <n v="4025.991227"/>
  </r>
  <r>
    <s v="F040"/>
    <x v="0"/>
    <x v="1"/>
    <x v="1"/>
    <s v="CO₂"/>
    <n v="1880.25"/>
  </r>
  <r>
    <s v="F183"/>
    <x v="3"/>
    <x v="2"/>
    <x v="2"/>
    <s v="CO₂"/>
    <n v="3107.51"/>
  </r>
  <r>
    <s v="F018"/>
    <x v="4"/>
    <x v="2"/>
    <x v="0"/>
    <s v="CO₂"/>
    <n v="1430.937486"/>
  </r>
  <r>
    <s v="F102"/>
    <x v="1"/>
    <x v="3"/>
    <x v="2"/>
    <s v="CO₂"/>
    <n v="4735.9399999999996"/>
  </r>
  <r>
    <s v="F154"/>
    <x v="0"/>
    <x v="0"/>
    <x v="2"/>
    <s v="CO₂"/>
    <n v="419.21"/>
  </r>
  <r>
    <s v="F094"/>
    <x v="3"/>
    <x v="3"/>
    <x v="0"/>
    <s v="N₂O"/>
    <n v="3952.788094"/>
  </r>
  <r>
    <s v="F001"/>
    <x v="1"/>
    <x v="0"/>
    <x v="2"/>
    <s v="CH₄"/>
    <n v="2905.28"/>
  </r>
  <r>
    <s v="F108"/>
    <x v="3"/>
    <x v="1"/>
    <x v="2"/>
    <s v="N₂O"/>
    <n v="2595.02"/>
  </r>
  <r>
    <s v="F071"/>
    <x v="4"/>
    <x v="3"/>
    <x v="0"/>
    <s v="CO₂"/>
    <n v="4395.4888259999998"/>
  </r>
  <r>
    <s v="F022"/>
    <x v="4"/>
    <x v="2"/>
    <x v="1"/>
    <s v="N₂O"/>
    <n v="969.03"/>
  </r>
  <r>
    <s v="F119"/>
    <x v="2"/>
    <x v="3"/>
    <x v="1"/>
    <s v="CO₂"/>
    <n v="4736.7"/>
  </r>
  <r>
    <s v="F190"/>
    <x v="0"/>
    <x v="0"/>
    <x v="0"/>
    <s v="CO₂"/>
    <n v="3116.27"/>
  </r>
  <r>
    <s v="F171"/>
    <x v="4"/>
    <x v="3"/>
    <x v="2"/>
    <s v="CO₂"/>
    <n v="3048.92"/>
  </r>
  <r>
    <s v="F084"/>
    <x v="3"/>
    <x v="3"/>
    <x v="0"/>
    <s v="CO₂"/>
    <n v="4792.2007899999999"/>
  </r>
  <r>
    <s v="F117"/>
    <x v="2"/>
    <x v="3"/>
    <x v="1"/>
    <s v="CO₂"/>
    <n v="1851.08"/>
  </r>
  <r>
    <s v="F039"/>
    <x v="2"/>
    <x v="3"/>
    <x v="1"/>
    <s v="CH₄"/>
    <n v="331.53"/>
  </r>
  <r>
    <s v="F138"/>
    <x v="0"/>
    <x v="1"/>
    <x v="2"/>
    <s v="N₂O"/>
    <n v="2756.07"/>
  </r>
  <r>
    <s v="F114"/>
    <x v="1"/>
    <x v="1"/>
    <x v="0"/>
    <s v="CO₂"/>
    <n v="1185.144685"/>
  </r>
  <r>
    <s v="F104"/>
    <x v="4"/>
    <x v="1"/>
    <x v="1"/>
    <s v="CO₂"/>
    <n v="770.82"/>
  </r>
  <r>
    <s v="F045"/>
    <x v="0"/>
    <x v="0"/>
    <x v="1"/>
    <s v="N₂O"/>
    <n v="1735.38"/>
  </r>
  <r>
    <s v="F105"/>
    <x v="0"/>
    <x v="0"/>
    <x v="0"/>
    <s v="CO₂"/>
    <n v="2191.312218"/>
  </r>
  <r>
    <s v="F189"/>
    <x v="0"/>
    <x v="1"/>
    <x v="2"/>
    <s v="CO₂"/>
    <n v="759.32"/>
  </r>
  <r>
    <s v="F146"/>
    <x v="2"/>
    <x v="2"/>
    <x v="1"/>
    <s v="CO₂"/>
    <n v="1954.05"/>
  </r>
  <r>
    <s v="F006"/>
    <x v="4"/>
    <x v="3"/>
    <x v="0"/>
    <s v="CO₂"/>
    <n v="4153"/>
  </r>
  <r>
    <s v="F019"/>
    <x v="0"/>
    <x v="2"/>
    <x v="0"/>
    <s v="CO₂"/>
    <n v="3571.7574920000002"/>
  </r>
  <r>
    <s v="F147"/>
    <x v="1"/>
    <x v="0"/>
    <x v="2"/>
    <s v="N₂O"/>
    <n v="3705.85"/>
  </r>
  <r>
    <s v="F069"/>
    <x v="4"/>
    <x v="1"/>
    <x v="1"/>
    <s v="CO₂"/>
    <n v="4393.54"/>
  </r>
  <r>
    <s v="F089"/>
    <x v="4"/>
    <x v="0"/>
    <x v="0"/>
    <s v="N₂O"/>
    <n v="1303.2390740000001"/>
  </r>
  <r>
    <s v="F060"/>
    <x v="4"/>
    <x v="0"/>
    <x v="2"/>
    <s v="CO₂"/>
    <n v="1709.14"/>
  </r>
  <r>
    <s v="F006"/>
    <x v="4"/>
    <x v="3"/>
    <x v="0"/>
    <s v="CO₂"/>
    <n v="4816.54"/>
  </r>
  <r>
    <s v="F132"/>
    <x v="4"/>
    <x v="2"/>
    <x v="0"/>
    <s v="N₂O"/>
    <n v="4237.9135159999996"/>
  </r>
  <r>
    <s v="F013"/>
    <x v="2"/>
    <x v="3"/>
    <x v="1"/>
    <s v="N₂O"/>
    <n v="2911.32"/>
  </r>
  <r>
    <s v="F133"/>
    <x v="2"/>
    <x v="1"/>
    <x v="1"/>
    <s v="CH₄"/>
    <n v="1512.18"/>
  </r>
  <r>
    <s v="F158"/>
    <x v="3"/>
    <x v="3"/>
    <x v="2"/>
    <s v="CO₂"/>
    <n v="2308.83"/>
  </r>
  <r>
    <s v="F006"/>
    <x v="4"/>
    <x v="0"/>
    <x v="2"/>
    <s v="CO₂"/>
    <n v="4743.8500000000004"/>
  </r>
  <r>
    <s v="F028"/>
    <x v="4"/>
    <x v="2"/>
    <x v="0"/>
    <s v="N₂O"/>
    <n v="3863.8"/>
  </r>
  <r>
    <s v="F149"/>
    <x v="1"/>
    <x v="3"/>
    <x v="1"/>
    <s v="CH₄"/>
    <n v="1928.39"/>
  </r>
  <r>
    <s v="F128"/>
    <x v="2"/>
    <x v="2"/>
    <x v="2"/>
    <s v="N₂O"/>
    <n v="2001.66"/>
  </r>
  <r>
    <s v="F034"/>
    <x v="4"/>
    <x v="2"/>
    <x v="1"/>
    <s v="CH₄"/>
    <n v="1031.08"/>
  </r>
  <r>
    <s v="F200"/>
    <x v="1"/>
    <x v="3"/>
    <x v="1"/>
    <s v="CH₄"/>
    <n v="4637.72"/>
  </r>
  <r>
    <s v="F153"/>
    <x v="3"/>
    <x v="3"/>
    <x v="1"/>
    <s v="CO₂"/>
    <n v="2119.1"/>
  </r>
  <r>
    <s v="F185"/>
    <x v="0"/>
    <x v="0"/>
    <x v="0"/>
    <s v="CH₄"/>
    <n v="672.58975539999994"/>
  </r>
  <r>
    <s v="F092"/>
    <x v="4"/>
    <x v="0"/>
    <x v="0"/>
    <s v="CO₂"/>
    <n v="1187.166129"/>
  </r>
  <r>
    <s v="F126"/>
    <x v="2"/>
    <x v="1"/>
    <x v="1"/>
    <s v="CO₂"/>
    <n v="3253.86"/>
  </r>
  <r>
    <s v="F079"/>
    <x v="2"/>
    <x v="2"/>
    <x v="1"/>
    <s v="CH₄"/>
    <n v="276.16000000000003"/>
  </r>
  <r>
    <s v="F087"/>
    <x v="4"/>
    <x v="3"/>
    <x v="0"/>
    <s v="CO₂"/>
    <n v="1988.313803"/>
  </r>
  <r>
    <s v="F190"/>
    <x v="0"/>
    <x v="1"/>
    <x v="2"/>
    <s v="CH₄"/>
    <n v="1459.49"/>
  </r>
  <r>
    <s v="F152"/>
    <x v="4"/>
    <x v="1"/>
    <x v="1"/>
    <s v="CO₂"/>
    <n v="4054.68"/>
  </r>
  <r>
    <s v="F002"/>
    <x v="4"/>
    <x v="1"/>
    <x v="1"/>
    <s v="N₂O"/>
    <n v="270.88"/>
  </r>
  <r>
    <s v="F101"/>
    <x v="3"/>
    <x v="0"/>
    <x v="1"/>
    <s v="CH₄"/>
    <n v="1234.77"/>
  </r>
  <r>
    <s v="F088"/>
    <x v="0"/>
    <x v="2"/>
    <x v="1"/>
    <s v="CO₂"/>
    <n v="4028.89"/>
  </r>
  <r>
    <s v="F108"/>
    <x v="3"/>
    <x v="2"/>
    <x v="0"/>
    <s v="CO₂"/>
    <n v="4303.8535140000004"/>
  </r>
  <r>
    <s v="F122"/>
    <x v="4"/>
    <x v="3"/>
    <x v="1"/>
    <s v="N₂O"/>
    <n v="2941.43"/>
  </r>
  <r>
    <s v="F130"/>
    <x v="3"/>
    <x v="0"/>
    <x v="1"/>
    <s v="N₂O"/>
    <n v="125.18"/>
  </r>
  <r>
    <s v="F171"/>
    <x v="4"/>
    <x v="3"/>
    <x v="1"/>
    <s v="CO₂"/>
    <n v="2302.58"/>
  </r>
  <r>
    <s v="F154"/>
    <x v="0"/>
    <x v="2"/>
    <x v="1"/>
    <s v="CH₄"/>
    <n v="365.22"/>
  </r>
  <r>
    <s v="F167"/>
    <x v="2"/>
    <x v="3"/>
    <x v="2"/>
    <s v="N₂O"/>
    <n v="93.15"/>
  </r>
  <r>
    <s v="F001"/>
    <x v="1"/>
    <x v="1"/>
    <x v="2"/>
    <s v="CO₂"/>
    <n v="807.86"/>
  </r>
  <r>
    <s v="F058"/>
    <x v="1"/>
    <x v="0"/>
    <x v="2"/>
    <s v="N₂O"/>
    <n v="3779.13"/>
  </r>
  <r>
    <s v="F080"/>
    <x v="3"/>
    <x v="1"/>
    <x v="0"/>
    <s v="CH₄"/>
    <n v="4998.3865500000002"/>
  </r>
  <r>
    <s v="F107"/>
    <x v="2"/>
    <x v="3"/>
    <x v="1"/>
    <s v="N₂O"/>
    <n v="2268.11"/>
  </r>
  <r>
    <s v="F003"/>
    <x v="3"/>
    <x v="0"/>
    <x v="1"/>
    <s v="N₂O"/>
    <n v="1247.71"/>
  </r>
  <r>
    <s v="F114"/>
    <x v="1"/>
    <x v="3"/>
    <x v="2"/>
    <s v="N₂O"/>
    <n v="2941.25"/>
  </r>
  <r>
    <s v="F032"/>
    <x v="1"/>
    <x v="1"/>
    <x v="2"/>
    <s v="N₂O"/>
    <n v="1210.07"/>
  </r>
  <r>
    <s v="F153"/>
    <x v="3"/>
    <x v="3"/>
    <x v="2"/>
    <s v="CO₂"/>
    <n v="4451"/>
  </r>
  <r>
    <s v="F090"/>
    <x v="2"/>
    <x v="2"/>
    <x v="2"/>
    <s v="N₂O"/>
    <n v="867.35"/>
  </r>
  <r>
    <s v="F063"/>
    <x v="4"/>
    <x v="2"/>
    <x v="1"/>
    <s v="CH₄"/>
    <n v="3856.1"/>
  </r>
  <r>
    <s v="F025"/>
    <x v="4"/>
    <x v="3"/>
    <x v="2"/>
    <s v="CH₄"/>
    <n v="1963.47"/>
  </r>
  <r>
    <s v="F106"/>
    <x v="3"/>
    <x v="1"/>
    <x v="1"/>
    <s v="CH₄"/>
    <n v="4776.8"/>
  </r>
  <r>
    <s v="F171"/>
    <x v="4"/>
    <x v="2"/>
    <x v="1"/>
    <s v="N₂O"/>
    <n v="1736.71"/>
  </r>
  <r>
    <s v="F181"/>
    <x v="3"/>
    <x v="0"/>
    <x v="1"/>
    <s v="CO₂"/>
    <n v="4367.4799999999996"/>
  </r>
  <r>
    <s v="F083"/>
    <x v="2"/>
    <x v="2"/>
    <x v="2"/>
    <s v="CO₂"/>
    <n v="700.15"/>
  </r>
  <r>
    <s v="F149"/>
    <x v="1"/>
    <x v="3"/>
    <x v="2"/>
    <s v="CO₂"/>
    <n v="4667.1400000000003"/>
  </r>
  <r>
    <s v="F118"/>
    <x v="0"/>
    <x v="3"/>
    <x v="0"/>
    <s v="N₂O"/>
    <n v="2262.4267799999998"/>
  </r>
  <r>
    <s v="F096"/>
    <x v="0"/>
    <x v="1"/>
    <x v="2"/>
    <s v="CH₄"/>
    <n v="4898.1499999999996"/>
  </r>
  <r>
    <s v="F094"/>
    <x v="3"/>
    <x v="1"/>
    <x v="1"/>
    <s v="CO₂"/>
    <n v="2735.09"/>
  </r>
  <r>
    <s v="F137"/>
    <x v="0"/>
    <x v="1"/>
    <x v="2"/>
    <s v="CO₂"/>
    <n v="129.43"/>
  </r>
  <r>
    <s v="F058"/>
    <x v="1"/>
    <x v="3"/>
    <x v="2"/>
    <s v="CO₂"/>
    <n v="556.38"/>
  </r>
  <r>
    <s v="F190"/>
    <x v="0"/>
    <x v="2"/>
    <x v="1"/>
    <s v="CH₄"/>
    <n v="358.08"/>
  </r>
  <r>
    <s v="F193"/>
    <x v="1"/>
    <x v="3"/>
    <x v="0"/>
    <s v="N₂O"/>
    <n v="5236.8358760000001"/>
  </r>
  <r>
    <s v="F049"/>
    <x v="0"/>
    <x v="3"/>
    <x v="2"/>
    <s v="N₂O"/>
    <n v="2820.63"/>
  </r>
  <r>
    <s v="F194"/>
    <x v="3"/>
    <x v="3"/>
    <x v="0"/>
    <s v="CO₂"/>
    <n v="1652.6301820000001"/>
  </r>
  <r>
    <s v="F080"/>
    <x v="3"/>
    <x v="3"/>
    <x v="0"/>
    <s v="CO₂"/>
    <n v="4298.4759350000004"/>
  </r>
  <r>
    <s v="F102"/>
    <x v="1"/>
    <x v="3"/>
    <x v="1"/>
    <s v="CH₄"/>
    <n v="2188.52"/>
  </r>
  <r>
    <s v="F009"/>
    <x v="0"/>
    <x v="0"/>
    <x v="2"/>
    <s v="CO₂"/>
    <n v="228.37"/>
  </r>
  <r>
    <s v="F102"/>
    <x v="1"/>
    <x v="3"/>
    <x v="0"/>
    <s v="CH₄"/>
    <n v="3425.06"/>
  </r>
  <r>
    <s v="F156"/>
    <x v="2"/>
    <x v="3"/>
    <x v="2"/>
    <s v="N₂O"/>
    <n v="3780.56"/>
  </r>
  <r>
    <s v="F152"/>
    <x v="4"/>
    <x v="1"/>
    <x v="2"/>
    <s v="N₂O"/>
    <n v="1026.45"/>
  </r>
  <r>
    <s v="F086"/>
    <x v="4"/>
    <x v="0"/>
    <x v="0"/>
    <s v="CO₂"/>
    <n v="1973.1370979999999"/>
  </r>
  <r>
    <s v="F058"/>
    <x v="1"/>
    <x v="1"/>
    <x v="0"/>
    <s v="CO₂"/>
    <n v="3828.4128340000002"/>
  </r>
  <r>
    <s v="F032"/>
    <x v="1"/>
    <x v="2"/>
    <x v="2"/>
    <s v="CH₄"/>
    <n v="3883.26"/>
  </r>
  <r>
    <s v="F186"/>
    <x v="4"/>
    <x v="0"/>
    <x v="0"/>
    <s v="CO₂"/>
    <n v="4934.9743390000003"/>
  </r>
  <r>
    <s v="F090"/>
    <x v="2"/>
    <x v="1"/>
    <x v="1"/>
    <s v="N₂O"/>
    <n v="336.58"/>
  </r>
  <r>
    <s v="F052"/>
    <x v="3"/>
    <x v="1"/>
    <x v="2"/>
    <s v="CH₄"/>
    <n v="3817.85"/>
  </r>
  <r>
    <s v="F027"/>
    <x v="4"/>
    <x v="1"/>
    <x v="2"/>
    <s v="CO₂"/>
    <n v="1089.25"/>
  </r>
  <r>
    <s v="F097"/>
    <x v="1"/>
    <x v="2"/>
    <x v="0"/>
    <s v="CH₄"/>
    <n v="316.07829400000003"/>
  </r>
  <r>
    <s v="F173"/>
    <x v="1"/>
    <x v="1"/>
    <x v="1"/>
    <s v="CO₂"/>
    <n v="2112.3200000000002"/>
  </r>
  <r>
    <s v="F093"/>
    <x v="2"/>
    <x v="2"/>
    <x v="0"/>
    <s v="CH₄"/>
    <n v="892.44"/>
  </r>
  <r>
    <s v="F097"/>
    <x v="1"/>
    <x v="1"/>
    <x v="1"/>
    <s v="CH₄"/>
    <n v="1569.2"/>
  </r>
  <r>
    <s v="F050"/>
    <x v="0"/>
    <x v="3"/>
    <x v="0"/>
    <s v="CO₂"/>
    <n v="1407.4467239999999"/>
  </r>
  <r>
    <s v="F196"/>
    <x v="4"/>
    <x v="1"/>
    <x v="0"/>
    <s v="N₂O"/>
    <n v="4401.5937169999997"/>
  </r>
  <r>
    <s v="F148"/>
    <x v="1"/>
    <x v="3"/>
    <x v="2"/>
    <s v="CH₄"/>
    <n v="4331.4399999999996"/>
  </r>
  <r>
    <s v="F050"/>
    <x v="0"/>
    <x v="2"/>
    <x v="1"/>
    <s v="CO₂"/>
    <n v="191.28"/>
  </r>
  <r>
    <s v="F115"/>
    <x v="3"/>
    <x v="0"/>
    <x v="1"/>
    <s v="CH₄"/>
    <n v="3002.77"/>
  </r>
  <r>
    <s v="F017"/>
    <x v="2"/>
    <x v="0"/>
    <x v="2"/>
    <s v="N₂O"/>
    <n v="2511.59"/>
  </r>
  <r>
    <s v="F048"/>
    <x v="0"/>
    <x v="2"/>
    <x v="0"/>
    <s v="CO₂"/>
    <n v="2282.1801989999999"/>
  </r>
  <r>
    <s v="F119"/>
    <x v="2"/>
    <x v="0"/>
    <x v="2"/>
    <s v="CH₄"/>
    <n v="4726.1099999999997"/>
  </r>
  <r>
    <s v="F054"/>
    <x v="3"/>
    <x v="1"/>
    <x v="1"/>
    <s v="N₂O"/>
    <n v="252.05"/>
  </r>
  <r>
    <s v="F027"/>
    <x v="4"/>
    <x v="2"/>
    <x v="2"/>
    <s v="N₂O"/>
    <n v="3693.42"/>
  </r>
  <r>
    <s v="F160"/>
    <x v="4"/>
    <x v="1"/>
    <x v="0"/>
    <s v="CH₄"/>
    <n v="2670.5293769999998"/>
  </r>
  <r>
    <s v="F102"/>
    <x v="1"/>
    <x v="1"/>
    <x v="2"/>
    <s v="CO₂"/>
    <n v="1186.4000000000001"/>
  </r>
  <r>
    <s v="F175"/>
    <x v="3"/>
    <x v="2"/>
    <x v="0"/>
    <s v="CH₄"/>
    <n v="1201.0995809999999"/>
  </r>
  <r>
    <s v="F058"/>
    <x v="1"/>
    <x v="0"/>
    <x v="0"/>
    <s v="CH₄"/>
    <n v="1093.3917960000001"/>
  </r>
  <r>
    <s v="F188"/>
    <x v="3"/>
    <x v="1"/>
    <x v="1"/>
    <s v="N₂O"/>
    <n v="4636.55"/>
  </r>
  <r>
    <s v="F132"/>
    <x v="4"/>
    <x v="0"/>
    <x v="0"/>
    <s v="CO₂"/>
    <n v="1840.534678"/>
  </r>
  <r>
    <s v="F188"/>
    <x v="3"/>
    <x v="2"/>
    <x v="1"/>
    <s v="CO₂"/>
    <n v="1036.07"/>
  </r>
  <r>
    <s v="F147"/>
    <x v="1"/>
    <x v="1"/>
    <x v="0"/>
    <s v="CO₂"/>
    <n v="390.78143080000001"/>
  </r>
  <r>
    <s v="F154"/>
    <x v="0"/>
    <x v="2"/>
    <x v="2"/>
    <s v="CH₄"/>
    <n v="4126.71"/>
  </r>
  <r>
    <s v="F036"/>
    <x v="3"/>
    <x v="2"/>
    <x v="2"/>
    <s v="CH₄"/>
    <n v="4171.8100000000004"/>
  </r>
  <r>
    <s v="F164"/>
    <x v="0"/>
    <x v="0"/>
    <x v="1"/>
    <s v="N₂O"/>
    <n v="3571.47"/>
  </r>
  <r>
    <s v="F195"/>
    <x v="1"/>
    <x v="3"/>
    <x v="2"/>
    <s v="CH₄"/>
    <n v="1961.65"/>
  </r>
  <r>
    <s v="F085"/>
    <x v="4"/>
    <x v="3"/>
    <x v="1"/>
    <s v="CH₄"/>
    <n v="3905.64"/>
  </r>
  <r>
    <s v="F122"/>
    <x v="4"/>
    <x v="1"/>
    <x v="0"/>
    <s v="CO₂"/>
    <n v="2192.9713040000001"/>
  </r>
  <r>
    <s v="F129"/>
    <x v="1"/>
    <x v="2"/>
    <x v="1"/>
    <s v="CO₂"/>
    <n v="369.5"/>
  </r>
  <r>
    <s v="F097"/>
    <x v="1"/>
    <x v="1"/>
    <x v="1"/>
    <s v="CO₂"/>
    <n v="2277.1799999999998"/>
  </r>
  <r>
    <s v="F109"/>
    <x v="0"/>
    <x v="0"/>
    <x v="1"/>
    <s v="CH₄"/>
    <n v="4278.8900000000003"/>
  </r>
  <r>
    <s v="F028"/>
    <x v="4"/>
    <x v="1"/>
    <x v="1"/>
    <s v="CO₂"/>
    <n v="3665.62"/>
  </r>
  <r>
    <s v="F130"/>
    <x v="3"/>
    <x v="1"/>
    <x v="0"/>
    <s v="CO₂"/>
    <n v="4127.2296200000001"/>
  </r>
  <r>
    <s v="F173"/>
    <x v="1"/>
    <x v="2"/>
    <x v="1"/>
    <s v="N₂O"/>
    <n v="1251.29"/>
  </r>
  <r>
    <s v="F146"/>
    <x v="2"/>
    <x v="1"/>
    <x v="2"/>
    <s v="CO₂"/>
    <n v="3935.94"/>
  </r>
  <r>
    <s v="F060"/>
    <x v="4"/>
    <x v="3"/>
    <x v="2"/>
    <s v="CO₂"/>
    <n v="1012.81"/>
  </r>
  <r>
    <s v="F117"/>
    <x v="2"/>
    <x v="2"/>
    <x v="2"/>
    <s v="CO₂"/>
    <n v="817.03"/>
  </r>
  <r>
    <s v="F001"/>
    <x v="1"/>
    <x v="1"/>
    <x v="2"/>
    <s v="CO₂"/>
    <n v="4733.58"/>
  </r>
  <r>
    <s v="F131"/>
    <x v="4"/>
    <x v="2"/>
    <x v="1"/>
    <s v="CH₄"/>
    <n v="4851.63"/>
  </r>
  <r>
    <s v="F122"/>
    <x v="4"/>
    <x v="3"/>
    <x v="2"/>
    <s v="CH₄"/>
    <n v="2889.59"/>
  </r>
  <r>
    <s v="F007"/>
    <x v="4"/>
    <x v="3"/>
    <x v="1"/>
    <s v="CH₄"/>
    <n v="2545.79"/>
  </r>
  <r>
    <s v="F080"/>
    <x v="3"/>
    <x v="2"/>
    <x v="0"/>
    <s v="N₂O"/>
    <n v="3857.3744120000001"/>
  </r>
  <r>
    <s v="F025"/>
    <x v="4"/>
    <x v="0"/>
    <x v="0"/>
    <s v="CH₄"/>
    <n v="1399.1880410000001"/>
  </r>
  <r>
    <s v="F099"/>
    <x v="3"/>
    <x v="0"/>
    <x v="2"/>
    <s v="CH₄"/>
    <n v="1563.76"/>
  </r>
  <r>
    <s v="F119"/>
    <x v="2"/>
    <x v="1"/>
    <x v="1"/>
    <s v="CH₄"/>
    <n v="2518.31"/>
  </r>
  <r>
    <s v="F019"/>
    <x v="0"/>
    <x v="2"/>
    <x v="1"/>
    <s v="CO₂"/>
    <n v="4134.78"/>
  </r>
  <r>
    <s v="F112"/>
    <x v="4"/>
    <x v="0"/>
    <x v="2"/>
    <s v="CH₄"/>
    <n v="2532.84"/>
  </r>
  <r>
    <s v="F064"/>
    <x v="1"/>
    <x v="0"/>
    <x v="1"/>
    <s v="CH₄"/>
    <n v="2192.7800000000002"/>
  </r>
  <r>
    <s v="F055"/>
    <x v="2"/>
    <x v="2"/>
    <x v="2"/>
    <s v="N₂O"/>
    <n v="2433.0700000000002"/>
  </r>
  <r>
    <s v="F076"/>
    <x v="2"/>
    <x v="0"/>
    <x v="2"/>
    <s v="CH₄"/>
    <n v="3760.84"/>
  </r>
  <r>
    <s v="F077"/>
    <x v="4"/>
    <x v="0"/>
    <x v="0"/>
    <s v="CH₄"/>
    <n v="3726.94"/>
  </r>
  <r>
    <s v="F110"/>
    <x v="4"/>
    <x v="0"/>
    <x v="1"/>
    <s v="CH₄"/>
    <n v="3670.96"/>
  </r>
  <r>
    <s v="F078"/>
    <x v="0"/>
    <x v="1"/>
    <x v="0"/>
    <s v="CH₄"/>
    <n v="1821.13"/>
  </r>
  <r>
    <s v="F177"/>
    <x v="3"/>
    <x v="2"/>
    <x v="2"/>
    <s v="CH₄"/>
    <n v="231.16"/>
  </r>
  <r>
    <s v="F010"/>
    <x v="0"/>
    <x v="1"/>
    <x v="0"/>
    <s v="CO₂"/>
    <n v="1503.886974"/>
  </r>
  <r>
    <s v="F056"/>
    <x v="4"/>
    <x v="2"/>
    <x v="2"/>
    <s v="N₂O"/>
    <n v="1448.62"/>
  </r>
  <r>
    <s v="F027"/>
    <x v="4"/>
    <x v="1"/>
    <x v="1"/>
    <s v="CH₄"/>
    <n v="3712.48"/>
  </r>
  <r>
    <s v="F073"/>
    <x v="3"/>
    <x v="2"/>
    <x v="2"/>
    <s v="CH₄"/>
    <n v="4843.3"/>
  </r>
  <r>
    <s v="F062"/>
    <x v="2"/>
    <x v="2"/>
    <x v="1"/>
    <s v="CO₂"/>
    <n v="2038.87"/>
  </r>
  <r>
    <s v="F119"/>
    <x v="2"/>
    <x v="0"/>
    <x v="2"/>
    <s v="N₂O"/>
    <n v="501.53"/>
  </r>
  <r>
    <s v="F009"/>
    <x v="0"/>
    <x v="3"/>
    <x v="1"/>
    <s v="N₂O"/>
    <n v="2494.41"/>
  </r>
  <r>
    <s v="F039"/>
    <x v="2"/>
    <x v="0"/>
    <x v="1"/>
    <s v="N₂O"/>
    <n v="3410.79"/>
  </r>
  <r>
    <s v="F161"/>
    <x v="2"/>
    <x v="0"/>
    <x v="0"/>
    <s v="CO₂"/>
    <n v="4596.0482240000001"/>
  </r>
  <r>
    <s v="F038"/>
    <x v="4"/>
    <x v="0"/>
    <x v="2"/>
    <s v="N₂O"/>
    <n v="2175.48"/>
  </r>
  <r>
    <s v="F122"/>
    <x v="4"/>
    <x v="0"/>
    <x v="2"/>
    <s v="CH₄"/>
    <n v="4410.9799999999996"/>
  </r>
  <r>
    <s v="F190"/>
    <x v="0"/>
    <x v="0"/>
    <x v="0"/>
    <s v="CO₂"/>
    <n v="4785.2299999999996"/>
  </r>
  <r>
    <s v="F030"/>
    <x v="0"/>
    <x v="2"/>
    <x v="2"/>
    <s v="CO₂"/>
    <n v="3604.55"/>
  </r>
  <r>
    <s v="F041"/>
    <x v="1"/>
    <x v="1"/>
    <x v="2"/>
    <s v="CO₂"/>
    <n v="3470.96"/>
  </r>
  <r>
    <s v="F131"/>
    <x v="4"/>
    <x v="2"/>
    <x v="1"/>
    <s v="CH₄"/>
    <n v="3506.46"/>
  </r>
  <r>
    <s v="F004"/>
    <x v="0"/>
    <x v="1"/>
    <x v="0"/>
    <s v="N₂O"/>
    <n v="2058.1298219999999"/>
  </r>
  <r>
    <s v="F048"/>
    <x v="0"/>
    <x v="3"/>
    <x v="2"/>
    <s v="N₂O"/>
    <n v="1643.92"/>
  </r>
  <r>
    <s v="F188"/>
    <x v="3"/>
    <x v="2"/>
    <x v="2"/>
    <s v="CH₄"/>
    <n v="2080.0300000000002"/>
  </r>
  <r>
    <s v="F105"/>
    <x v="0"/>
    <x v="0"/>
    <x v="1"/>
    <s v="N₂O"/>
    <n v="2465.4499999999998"/>
  </r>
  <r>
    <s v="F126"/>
    <x v="2"/>
    <x v="1"/>
    <x v="1"/>
    <s v="N₂O"/>
    <n v="2931.16"/>
  </r>
  <r>
    <s v="F199"/>
    <x v="0"/>
    <x v="2"/>
    <x v="2"/>
    <s v="N₂O"/>
    <n v="1925.79"/>
  </r>
  <r>
    <s v="F135"/>
    <x v="3"/>
    <x v="0"/>
    <x v="1"/>
    <s v="N₂O"/>
    <n v="1331.9"/>
  </r>
  <r>
    <s v="F106"/>
    <x v="3"/>
    <x v="0"/>
    <x v="0"/>
    <s v="CO₂"/>
    <n v="3932.2339569999999"/>
  </r>
  <r>
    <s v="F106"/>
    <x v="3"/>
    <x v="1"/>
    <x v="2"/>
    <s v="N₂O"/>
    <n v="1414.52"/>
  </r>
  <r>
    <s v="F057"/>
    <x v="1"/>
    <x v="1"/>
    <x v="0"/>
    <s v="N₂O"/>
    <n v="3472.6851879999999"/>
  </r>
  <r>
    <s v="F011"/>
    <x v="4"/>
    <x v="3"/>
    <x v="2"/>
    <s v="N₂O"/>
    <n v="1357.85"/>
  </r>
  <r>
    <s v="F085"/>
    <x v="4"/>
    <x v="0"/>
    <x v="2"/>
    <s v="CH₄"/>
    <n v="347.5"/>
  </r>
  <r>
    <s v="F165"/>
    <x v="4"/>
    <x v="1"/>
    <x v="0"/>
    <s v="N₂O"/>
    <n v="4534.231914"/>
  </r>
  <r>
    <s v="F122"/>
    <x v="4"/>
    <x v="3"/>
    <x v="1"/>
    <s v="CH₄"/>
    <n v="3600.52"/>
  </r>
  <r>
    <s v="F130"/>
    <x v="3"/>
    <x v="3"/>
    <x v="2"/>
    <s v="N₂O"/>
    <n v="4875.1000000000004"/>
  </r>
  <r>
    <s v="F144"/>
    <x v="2"/>
    <x v="0"/>
    <x v="0"/>
    <s v="CH₄"/>
    <n v="1708.84"/>
  </r>
  <r>
    <s v="F183"/>
    <x v="3"/>
    <x v="3"/>
    <x v="2"/>
    <s v="CH₄"/>
    <n v="126.6"/>
  </r>
  <r>
    <s v="F077"/>
    <x v="4"/>
    <x v="2"/>
    <x v="2"/>
    <s v="N₂O"/>
    <n v="1749.03"/>
  </r>
  <r>
    <s v="F024"/>
    <x v="4"/>
    <x v="0"/>
    <x v="0"/>
    <s v="N₂O"/>
    <n v="2617.5188039999998"/>
  </r>
  <r>
    <s v="F191"/>
    <x v="0"/>
    <x v="1"/>
    <x v="0"/>
    <s v="CH₄"/>
    <n v="351.56"/>
  </r>
  <r>
    <s v="F029"/>
    <x v="4"/>
    <x v="3"/>
    <x v="2"/>
    <s v="CH₄"/>
    <n v="1743.41"/>
  </r>
  <r>
    <s v="F097"/>
    <x v="1"/>
    <x v="3"/>
    <x v="0"/>
    <s v="N₂O"/>
    <n v="4857.8723879999998"/>
  </r>
  <r>
    <s v="F066"/>
    <x v="4"/>
    <x v="3"/>
    <x v="1"/>
    <s v="N₂O"/>
    <n v="2816.93"/>
  </r>
  <r>
    <s v="F121"/>
    <x v="3"/>
    <x v="1"/>
    <x v="1"/>
    <s v="CO₂"/>
    <n v="2641.98"/>
  </r>
  <r>
    <s v="F014"/>
    <x v="2"/>
    <x v="3"/>
    <x v="1"/>
    <s v="CO₂"/>
    <n v="2924.31"/>
  </r>
  <r>
    <s v="F131"/>
    <x v="4"/>
    <x v="1"/>
    <x v="0"/>
    <s v="CO₂"/>
    <n v="2885.090361"/>
  </r>
  <r>
    <s v="F013"/>
    <x v="2"/>
    <x v="3"/>
    <x v="2"/>
    <s v="N₂O"/>
    <n v="4563.34"/>
  </r>
  <r>
    <s v="F024"/>
    <x v="4"/>
    <x v="0"/>
    <x v="1"/>
    <s v="CO₂"/>
    <n v="3703.75"/>
  </r>
  <r>
    <s v="F192"/>
    <x v="4"/>
    <x v="1"/>
    <x v="2"/>
    <s v="CH₄"/>
    <n v="3328.72"/>
  </r>
  <r>
    <s v="F151"/>
    <x v="2"/>
    <x v="2"/>
    <x v="2"/>
    <s v="CH₄"/>
    <n v="4650.1400000000003"/>
  </r>
  <r>
    <s v="F106"/>
    <x v="3"/>
    <x v="0"/>
    <x v="0"/>
    <s v="CH₄"/>
    <n v="1410.901711"/>
  </r>
  <r>
    <s v="F016"/>
    <x v="2"/>
    <x v="1"/>
    <x v="1"/>
    <s v="CH₄"/>
    <n v="802.15"/>
  </r>
  <r>
    <s v="F179"/>
    <x v="1"/>
    <x v="3"/>
    <x v="1"/>
    <s v="CO₂"/>
    <n v="3338.5"/>
  </r>
  <r>
    <s v="F192"/>
    <x v="4"/>
    <x v="2"/>
    <x v="2"/>
    <s v="N₂O"/>
    <n v="1108.8800000000001"/>
  </r>
  <r>
    <s v="F136"/>
    <x v="1"/>
    <x v="1"/>
    <x v="1"/>
    <s v="N₂O"/>
    <n v="350.22"/>
  </r>
  <r>
    <s v="F110"/>
    <x v="4"/>
    <x v="1"/>
    <x v="1"/>
    <s v="CO₂"/>
    <n v="1884.68"/>
  </r>
  <r>
    <s v="F055"/>
    <x v="2"/>
    <x v="1"/>
    <x v="0"/>
    <s v="CH₄"/>
    <n v="2634.7603020000001"/>
  </r>
  <r>
    <s v="F004"/>
    <x v="0"/>
    <x v="1"/>
    <x v="1"/>
    <s v="CH₄"/>
    <n v="1677.52"/>
  </r>
  <r>
    <s v="F059"/>
    <x v="2"/>
    <x v="0"/>
    <x v="2"/>
    <s v="CH₄"/>
    <n v="2395.0100000000002"/>
  </r>
  <r>
    <s v="F118"/>
    <x v="0"/>
    <x v="2"/>
    <x v="0"/>
    <s v="CO₂"/>
    <n v="2603.0123579999999"/>
  </r>
  <r>
    <s v="F027"/>
    <x v="4"/>
    <x v="1"/>
    <x v="0"/>
    <s v="CO₂"/>
    <n v="1656.443522"/>
  </r>
  <r>
    <s v="F061"/>
    <x v="1"/>
    <x v="2"/>
    <x v="0"/>
    <s v="CH₄"/>
    <n v="274.58999999999997"/>
  </r>
  <r>
    <s v="F159"/>
    <x v="0"/>
    <x v="0"/>
    <x v="0"/>
    <s v="CH₄"/>
    <n v="1298.2818199999999"/>
  </r>
  <r>
    <s v="F070"/>
    <x v="2"/>
    <x v="3"/>
    <x v="2"/>
    <s v="CO₂"/>
    <n v="814.66"/>
  </r>
  <r>
    <s v="F023"/>
    <x v="1"/>
    <x v="2"/>
    <x v="1"/>
    <s v="CH₄"/>
    <n v="4037.11"/>
  </r>
  <r>
    <s v="F125"/>
    <x v="1"/>
    <x v="2"/>
    <x v="0"/>
    <s v="CO₂"/>
    <n v="1604.8106110000001"/>
  </r>
  <r>
    <s v="F182"/>
    <x v="3"/>
    <x v="2"/>
    <x v="1"/>
    <s v="N₂O"/>
    <n v="2667.56"/>
  </r>
  <r>
    <s v="F173"/>
    <x v="1"/>
    <x v="1"/>
    <x v="1"/>
    <s v="CH₄"/>
    <n v="1194.52"/>
  </r>
  <r>
    <s v="F147"/>
    <x v="1"/>
    <x v="0"/>
    <x v="2"/>
    <s v="CH₄"/>
    <n v="4059.51"/>
  </r>
  <r>
    <s v="F110"/>
    <x v="4"/>
    <x v="2"/>
    <x v="1"/>
    <s v="CO₂"/>
    <n v="1051.4000000000001"/>
  </r>
  <r>
    <s v="F097"/>
    <x v="1"/>
    <x v="1"/>
    <x v="0"/>
    <s v="N₂O"/>
    <n v="1810.544091"/>
  </r>
  <r>
    <s v="F106"/>
    <x v="3"/>
    <x v="3"/>
    <x v="1"/>
    <s v="N₂O"/>
    <n v="2916.42"/>
  </r>
  <r>
    <s v="F087"/>
    <x v="4"/>
    <x v="3"/>
    <x v="2"/>
    <s v="CO₂"/>
    <n v="3852.61"/>
  </r>
  <r>
    <s v="F113"/>
    <x v="3"/>
    <x v="3"/>
    <x v="2"/>
    <s v="CH₄"/>
    <n v="4795.1400000000003"/>
  </r>
  <r>
    <s v="F147"/>
    <x v="1"/>
    <x v="2"/>
    <x v="2"/>
    <s v="CO₂"/>
    <n v="1445.25"/>
  </r>
  <r>
    <s v="F071"/>
    <x v="4"/>
    <x v="1"/>
    <x v="2"/>
    <s v="CO₂"/>
    <n v="869.01"/>
  </r>
  <r>
    <s v="F058"/>
    <x v="1"/>
    <x v="2"/>
    <x v="2"/>
    <s v="CO₂"/>
    <n v="4077.29"/>
  </r>
  <r>
    <s v="F092"/>
    <x v="4"/>
    <x v="0"/>
    <x v="1"/>
    <s v="CH₄"/>
    <n v="2770.18"/>
  </r>
  <r>
    <s v="F009"/>
    <x v="0"/>
    <x v="3"/>
    <x v="0"/>
    <s v="CH₄"/>
    <n v="2004.6969160000001"/>
  </r>
  <r>
    <s v="F147"/>
    <x v="1"/>
    <x v="3"/>
    <x v="2"/>
    <s v="CO₂"/>
    <n v="4717.47"/>
  </r>
  <r>
    <s v="F099"/>
    <x v="3"/>
    <x v="1"/>
    <x v="0"/>
    <s v="CH₄"/>
    <n v="1392.4758690000001"/>
  </r>
  <r>
    <s v="F169"/>
    <x v="2"/>
    <x v="2"/>
    <x v="0"/>
    <s v="CO₂"/>
    <n v="2563.3257619999999"/>
  </r>
  <r>
    <s v="F125"/>
    <x v="1"/>
    <x v="3"/>
    <x v="0"/>
    <s v="CO₂"/>
    <n v="503.85614070000003"/>
  </r>
  <r>
    <s v="F113"/>
    <x v="3"/>
    <x v="0"/>
    <x v="2"/>
    <s v="N₂O"/>
    <n v="897.2"/>
  </r>
  <r>
    <s v="F192"/>
    <x v="4"/>
    <x v="2"/>
    <x v="1"/>
    <s v="CO₂"/>
    <n v="2988.56"/>
  </r>
  <r>
    <s v="F135"/>
    <x v="3"/>
    <x v="3"/>
    <x v="0"/>
    <s v="CO₂"/>
    <n v="1067.2256460000001"/>
  </r>
  <r>
    <s v="F014"/>
    <x v="2"/>
    <x v="3"/>
    <x v="0"/>
    <s v="CH₄"/>
    <n v="2128.8839579999999"/>
  </r>
  <r>
    <s v="F083"/>
    <x v="2"/>
    <x v="1"/>
    <x v="2"/>
    <s v="CO₂"/>
    <n v="569.36"/>
  </r>
  <r>
    <s v="F010"/>
    <x v="0"/>
    <x v="0"/>
    <x v="1"/>
    <s v="CO₂"/>
    <n v="2763.46"/>
  </r>
  <r>
    <s v="F026"/>
    <x v="2"/>
    <x v="1"/>
    <x v="0"/>
    <s v="CH₄"/>
    <n v="889.01334210000005"/>
  </r>
  <r>
    <s v="F114"/>
    <x v="1"/>
    <x v="3"/>
    <x v="0"/>
    <s v="N₂O"/>
    <n v="565.20370019999996"/>
  </r>
  <r>
    <s v="F159"/>
    <x v="0"/>
    <x v="3"/>
    <x v="2"/>
    <s v="CO₂"/>
    <n v="4475.2700000000004"/>
  </r>
  <r>
    <s v="F147"/>
    <x v="1"/>
    <x v="1"/>
    <x v="1"/>
    <s v="CH₄"/>
    <n v="3884.64"/>
  </r>
  <r>
    <s v="F159"/>
    <x v="0"/>
    <x v="3"/>
    <x v="0"/>
    <s v="CO₂"/>
    <n v="1548.146784"/>
  </r>
  <r>
    <s v="F119"/>
    <x v="2"/>
    <x v="2"/>
    <x v="1"/>
    <s v="CH₄"/>
    <n v="1310.02"/>
  </r>
  <r>
    <s v="F080"/>
    <x v="3"/>
    <x v="1"/>
    <x v="1"/>
    <s v="N₂O"/>
    <n v="1833.43"/>
  </r>
  <r>
    <s v="F075"/>
    <x v="3"/>
    <x v="1"/>
    <x v="1"/>
    <s v="CO₂"/>
    <n v="1039.8399999999999"/>
  </r>
  <r>
    <s v="F064"/>
    <x v="1"/>
    <x v="1"/>
    <x v="2"/>
    <s v="CO₂"/>
    <n v="3297.47"/>
  </r>
  <r>
    <s v="F012"/>
    <x v="3"/>
    <x v="1"/>
    <x v="1"/>
    <s v="CH₄"/>
    <n v="3091.2"/>
  </r>
  <r>
    <s v="F035"/>
    <x v="4"/>
    <x v="3"/>
    <x v="2"/>
    <s v="CO₂"/>
    <n v="301.86"/>
  </r>
  <r>
    <s v="F112"/>
    <x v="4"/>
    <x v="2"/>
    <x v="1"/>
    <s v="N₂O"/>
    <n v="4171.41"/>
  </r>
  <r>
    <s v="F179"/>
    <x v="1"/>
    <x v="3"/>
    <x v="1"/>
    <s v="CH₄"/>
    <n v="4337.95"/>
  </r>
  <r>
    <s v="F171"/>
    <x v="4"/>
    <x v="3"/>
    <x v="0"/>
    <s v="N₂O"/>
    <n v="3830.1000909999998"/>
  </r>
  <r>
    <s v="F022"/>
    <x v="4"/>
    <x v="0"/>
    <x v="2"/>
    <s v="N₂O"/>
    <n v="3808.17"/>
  </r>
  <r>
    <s v="F090"/>
    <x v="2"/>
    <x v="0"/>
    <x v="1"/>
    <s v="CH₄"/>
    <n v="3167.4"/>
  </r>
  <r>
    <s v="F139"/>
    <x v="0"/>
    <x v="1"/>
    <x v="0"/>
    <s v="CO₂"/>
    <n v="742.10983380000005"/>
  </r>
  <r>
    <s v="F043"/>
    <x v="0"/>
    <x v="3"/>
    <x v="1"/>
    <s v="CO₂"/>
    <n v="4632.6400000000003"/>
  </r>
  <r>
    <s v="F158"/>
    <x v="3"/>
    <x v="1"/>
    <x v="1"/>
    <s v="CH₄"/>
    <n v="1268.8"/>
  </r>
  <r>
    <s v="F171"/>
    <x v="4"/>
    <x v="0"/>
    <x v="2"/>
    <s v="CO₂"/>
    <n v="3546.58"/>
  </r>
  <r>
    <s v="F153"/>
    <x v="3"/>
    <x v="2"/>
    <x v="2"/>
    <s v="CH₄"/>
    <n v="1609.6"/>
  </r>
  <r>
    <s v="F040"/>
    <x v="0"/>
    <x v="3"/>
    <x v="0"/>
    <s v="CO₂"/>
    <n v="3630.7097180000001"/>
  </r>
  <r>
    <s v="F098"/>
    <x v="4"/>
    <x v="3"/>
    <x v="1"/>
    <s v="CH₄"/>
    <n v="999.48"/>
  </r>
  <r>
    <s v="F014"/>
    <x v="2"/>
    <x v="1"/>
    <x v="1"/>
    <s v="CO₂"/>
    <n v="4553.04"/>
  </r>
  <r>
    <s v="F028"/>
    <x v="4"/>
    <x v="0"/>
    <x v="0"/>
    <s v="N₂O"/>
    <n v="1345.95"/>
  </r>
  <r>
    <s v="F161"/>
    <x v="2"/>
    <x v="3"/>
    <x v="2"/>
    <s v="CH₄"/>
    <n v="1432.5"/>
  </r>
  <r>
    <s v="F190"/>
    <x v="0"/>
    <x v="3"/>
    <x v="2"/>
    <s v="CH₄"/>
    <n v="2537.5"/>
  </r>
  <r>
    <s v="F020"/>
    <x v="2"/>
    <x v="1"/>
    <x v="1"/>
    <s v="CH₄"/>
    <n v="4832.05"/>
  </r>
  <r>
    <s v="F011"/>
    <x v="4"/>
    <x v="1"/>
    <x v="1"/>
    <s v="CH₄"/>
    <n v="3935.58"/>
  </r>
  <r>
    <s v="F040"/>
    <x v="0"/>
    <x v="1"/>
    <x v="0"/>
    <s v="N₂O"/>
    <n v="3258.2856310000002"/>
  </r>
  <r>
    <s v="F052"/>
    <x v="3"/>
    <x v="3"/>
    <x v="1"/>
    <s v="CO₂"/>
    <n v="1512.13"/>
  </r>
  <r>
    <s v="F060"/>
    <x v="4"/>
    <x v="1"/>
    <x v="1"/>
    <s v="CH₄"/>
    <n v="245.71"/>
  </r>
  <r>
    <s v="F104"/>
    <x v="4"/>
    <x v="0"/>
    <x v="1"/>
    <s v="N₂O"/>
    <n v="3387.13"/>
  </r>
  <r>
    <s v="F186"/>
    <x v="4"/>
    <x v="0"/>
    <x v="2"/>
    <s v="CO₂"/>
    <n v="1014.2"/>
  </r>
  <r>
    <s v="F161"/>
    <x v="2"/>
    <x v="1"/>
    <x v="2"/>
    <s v="CH₄"/>
    <n v="269.87"/>
  </r>
  <r>
    <s v="F157"/>
    <x v="0"/>
    <x v="1"/>
    <x v="1"/>
    <s v="CH₄"/>
    <n v="2444.67"/>
  </r>
  <r>
    <s v="F087"/>
    <x v="4"/>
    <x v="2"/>
    <x v="1"/>
    <s v="CH₄"/>
    <n v="1734.64"/>
  </r>
  <r>
    <s v="F086"/>
    <x v="4"/>
    <x v="3"/>
    <x v="1"/>
    <s v="CH₄"/>
    <n v="4948.8500000000004"/>
  </r>
  <r>
    <s v="F146"/>
    <x v="2"/>
    <x v="0"/>
    <x v="0"/>
    <s v="CO₂"/>
    <n v="2924.7805619999999"/>
  </r>
  <r>
    <s v="F168"/>
    <x v="2"/>
    <x v="0"/>
    <x v="1"/>
    <s v="CH₄"/>
    <n v="1898.32"/>
  </r>
  <r>
    <s v="F137"/>
    <x v="0"/>
    <x v="1"/>
    <x v="2"/>
    <s v="CO₂"/>
    <n v="1296.76"/>
  </r>
  <r>
    <s v="F084"/>
    <x v="3"/>
    <x v="2"/>
    <x v="1"/>
    <s v="N₂O"/>
    <n v="1414.37"/>
  </r>
  <r>
    <s v="F199"/>
    <x v="0"/>
    <x v="3"/>
    <x v="0"/>
    <s v="CO₂"/>
    <n v="4136.0716000000002"/>
  </r>
  <r>
    <s v="F068"/>
    <x v="0"/>
    <x v="2"/>
    <x v="2"/>
    <s v="N₂O"/>
    <n v="3952.36"/>
  </r>
  <r>
    <s v="F147"/>
    <x v="1"/>
    <x v="3"/>
    <x v="1"/>
    <s v="CH₄"/>
    <n v="4563.3599999999997"/>
  </r>
  <r>
    <s v="F017"/>
    <x v="2"/>
    <x v="2"/>
    <x v="0"/>
    <s v="CO₂"/>
    <n v="2084.5673750000001"/>
  </r>
  <r>
    <s v="F165"/>
    <x v="4"/>
    <x v="3"/>
    <x v="1"/>
    <s v="CH₄"/>
    <n v="4081.51"/>
  </r>
  <r>
    <s v="F029"/>
    <x v="4"/>
    <x v="1"/>
    <x v="2"/>
    <s v="CO₂"/>
    <n v="4483.63"/>
  </r>
  <r>
    <s v="F135"/>
    <x v="3"/>
    <x v="3"/>
    <x v="1"/>
    <s v="N₂O"/>
    <n v="3368.54"/>
  </r>
  <r>
    <s v="F067"/>
    <x v="1"/>
    <x v="1"/>
    <x v="1"/>
    <s v="N₂O"/>
    <n v="82.35"/>
  </r>
  <r>
    <s v="F170"/>
    <x v="2"/>
    <x v="3"/>
    <x v="2"/>
    <s v="CO₂"/>
    <n v="4175.62"/>
  </r>
  <r>
    <s v="F174"/>
    <x v="3"/>
    <x v="3"/>
    <x v="1"/>
    <s v="CH₄"/>
    <n v="1796.14"/>
  </r>
  <r>
    <s v="F126"/>
    <x v="2"/>
    <x v="3"/>
    <x v="2"/>
    <s v="CO₂"/>
    <n v="3373.26"/>
  </r>
  <r>
    <s v="F068"/>
    <x v="0"/>
    <x v="1"/>
    <x v="1"/>
    <s v="N₂O"/>
    <n v="3051.55"/>
  </r>
  <r>
    <s v="F099"/>
    <x v="3"/>
    <x v="0"/>
    <x v="2"/>
    <s v="CO₂"/>
    <n v="3770.37"/>
  </r>
  <r>
    <s v="F171"/>
    <x v="4"/>
    <x v="3"/>
    <x v="2"/>
    <s v="CO₂"/>
    <n v="3887.64"/>
  </r>
  <r>
    <s v="F200"/>
    <x v="1"/>
    <x v="0"/>
    <x v="1"/>
    <s v="CH₄"/>
    <n v="4523.25"/>
  </r>
  <r>
    <s v="F024"/>
    <x v="4"/>
    <x v="2"/>
    <x v="2"/>
    <s v="CO₂"/>
    <n v="4229.33"/>
  </r>
  <r>
    <s v="F105"/>
    <x v="0"/>
    <x v="2"/>
    <x v="1"/>
    <s v="N₂O"/>
    <n v="1909.18"/>
  </r>
  <r>
    <s v="F142"/>
    <x v="0"/>
    <x v="1"/>
    <x v="1"/>
    <s v="N₂O"/>
    <n v="1689.24"/>
  </r>
  <r>
    <s v="F037"/>
    <x v="3"/>
    <x v="1"/>
    <x v="1"/>
    <s v="N₂O"/>
    <n v="1270.1199999999999"/>
  </r>
  <r>
    <s v="F077"/>
    <x v="4"/>
    <x v="0"/>
    <x v="0"/>
    <s v="CO₂"/>
    <n v="1816.03"/>
  </r>
  <r>
    <s v="F169"/>
    <x v="2"/>
    <x v="3"/>
    <x v="1"/>
    <s v="CO₂"/>
    <n v="1943.87"/>
  </r>
  <r>
    <s v="F195"/>
    <x v="1"/>
    <x v="0"/>
    <x v="2"/>
    <s v="CO₂"/>
    <n v="2832.16"/>
  </r>
  <r>
    <s v="F179"/>
    <x v="1"/>
    <x v="1"/>
    <x v="2"/>
    <s v="CH₄"/>
    <n v="4684.57"/>
  </r>
  <r>
    <s v="F153"/>
    <x v="3"/>
    <x v="0"/>
    <x v="0"/>
    <s v="CH₄"/>
    <n v="785.4165941"/>
  </r>
  <r>
    <s v="F050"/>
    <x v="0"/>
    <x v="0"/>
    <x v="0"/>
    <s v="N₂O"/>
    <n v="828.30804790000002"/>
  </r>
  <r>
    <s v="F179"/>
    <x v="1"/>
    <x v="0"/>
    <x v="1"/>
    <s v="CH₄"/>
    <n v="4960.6099999999997"/>
  </r>
  <r>
    <s v="F076"/>
    <x v="2"/>
    <x v="1"/>
    <x v="2"/>
    <s v="CH₄"/>
    <n v="4377.79"/>
  </r>
  <r>
    <s v="F022"/>
    <x v="4"/>
    <x v="1"/>
    <x v="0"/>
    <s v="CO₂"/>
    <n v="2535.300616"/>
  </r>
  <r>
    <s v="F063"/>
    <x v="4"/>
    <x v="2"/>
    <x v="1"/>
    <s v="CH₄"/>
    <n v="2251.6"/>
  </r>
  <r>
    <s v="F004"/>
    <x v="0"/>
    <x v="0"/>
    <x v="0"/>
    <s v="N₂O"/>
    <n v="733.12507359999995"/>
  </r>
  <r>
    <s v="F189"/>
    <x v="0"/>
    <x v="0"/>
    <x v="2"/>
    <s v="CO₂"/>
    <n v="1054.48"/>
  </r>
  <r>
    <s v="F175"/>
    <x v="3"/>
    <x v="1"/>
    <x v="1"/>
    <s v="CO₂"/>
    <n v="4429.91"/>
  </r>
  <r>
    <s v="F104"/>
    <x v="4"/>
    <x v="2"/>
    <x v="0"/>
    <s v="N₂O"/>
    <n v="3923.1479300000001"/>
  </r>
  <r>
    <s v="F062"/>
    <x v="2"/>
    <x v="1"/>
    <x v="0"/>
    <s v="CH₄"/>
    <n v="767.46223359999999"/>
  </r>
  <r>
    <s v="F173"/>
    <x v="1"/>
    <x v="3"/>
    <x v="0"/>
    <s v="N₂O"/>
    <n v="592.72258729999999"/>
  </r>
  <r>
    <s v="F017"/>
    <x v="2"/>
    <x v="0"/>
    <x v="1"/>
    <s v="CH₄"/>
    <n v="3539.99"/>
  </r>
  <r>
    <s v="F024"/>
    <x v="4"/>
    <x v="0"/>
    <x v="0"/>
    <s v="N₂O"/>
    <n v="2579.1888560000002"/>
  </r>
  <r>
    <s v="F160"/>
    <x v="4"/>
    <x v="3"/>
    <x v="2"/>
    <s v="N₂O"/>
    <n v="4158.7700000000004"/>
  </r>
  <r>
    <s v="F165"/>
    <x v="4"/>
    <x v="1"/>
    <x v="0"/>
    <s v="CO₂"/>
    <n v="687.46053629999994"/>
  </r>
  <r>
    <s v="F135"/>
    <x v="3"/>
    <x v="2"/>
    <x v="1"/>
    <s v="N₂O"/>
    <n v="2922.31"/>
  </r>
  <r>
    <s v="F137"/>
    <x v="0"/>
    <x v="3"/>
    <x v="1"/>
    <s v="CO₂"/>
    <n v="584.58000000000004"/>
  </r>
  <r>
    <s v="F001"/>
    <x v="1"/>
    <x v="1"/>
    <x v="1"/>
    <s v="CO₂"/>
    <n v="87.51"/>
  </r>
  <r>
    <s v="F183"/>
    <x v="3"/>
    <x v="2"/>
    <x v="1"/>
    <s v="N₂O"/>
    <n v="3948.45"/>
  </r>
  <r>
    <s v="F172"/>
    <x v="4"/>
    <x v="3"/>
    <x v="0"/>
    <s v="CO₂"/>
    <n v="3846.6288559999998"/>
  </r>
  <r>
    <s v="F141"/>
    <x v="1"/>
    <x v="0"/>
    <x v="0"/>
    <s v="N₂O"/>
    <n v="4673.8026419999997"/>
  </r>
  <r>
    <s v="F170"/>
    <x v="2"/>
    <x v="3"/>
    <x v="2"/>
    <s v="N₂O"/>
    <n v="4711.6899999999996"/>
  </r>
  <r>
    <s v="F017"/>
    <x v="2"/>
    <x v="1"/>
    <x v="0"/>
    <s v="CO₂"/>
    <n v="2670.5212799999999"/>
  </r>
  <r>
    <s v="F166"/>
    <x v="3"/>
    <x v="3"/>
    <x v="0"/>
    <s v="CO₂"/>
    <n v="919.40386920000003"/>
  </r>
  <r>
    <s v="F153"/>
    <x v="3"/>
    <x v="2"/>
    <x v="1"/>
    <s v="N₂O"/>
    <n v="4514.75"/>
  </r>
  <r>
    <s v="F161"/>
    <x v="2"/>
    <x v="3"/>
    <x v="0"/>
    <s v="CO₂"/>
    <n v="3766.601905"/>
  </r>
  <r>
    <s v="F130"/>
    <x v="3"/>
    <x v="2"/>
    <x v="2"/>
    <s v="CH₄"/>
    <n v="730.13"/>
  </r>
  <r>
    <s v="F141"/>
    <x v="1"/>
    <x v="1"/>
    <x v="1"/>
    <s v="N₂O"/>
    <n v="2811.95"/>
  </r>
  <r>
    <s v="F017"/>
    <x v="2"/>
    <x v="1"/>
    <x v="0"/>
    <s v="CO₂"/>
    <n v="5044.2036189999999"/>
  </r>
  <r>
    <s v="F190"/>
    <x v="0"/>
    <x v="0"/>
    <x v="2"/>
    <s v="CO₂"/>
    <n v="4074.33"/>
  </r>
  <r>
    <s v="F117"/>
    <x v="2"/>
    <x v="0"/>
    <x v="2"/>
    <s v="CO₂"/>
    <n v="1048.08"/>
  </r>
  <r>
    <s v="F038"/>
    <x v="4"/>
    <x v="3"/>
    <x v="0"/>
    <s v="CO₂"/>
    <n v="3290.44"/>
  </r>
  <r>
    <s v="F006"/>
    <x v="4"/>
    <x v="1"/>
    <x v="0"/>
    <s v="CH₄"/>
    <n v="1966.43"/>
  </r>
  <r>
    <s v="F078"/>
    <x v="0"/>
    <x v="0"/>
    <x v="2"/>
    <s v="CO₂"/>
    <n v="2842.86"/>
  </r>
  <r>
    <s v="F003"/>
    <x v="3"/>
    <x v="1"/>
    <x v="1"/>
    <s v="CO₂"/>
    <n v="2556.0500000000002"/>
  </r>
  <r>
    <s v="F118"/>
    <x v="0"/>
    <x v="2"/>
    <x v="2"/>
    <s v="CO₂"/>
    <n v="3688.09"/>
  </r>
  <r>
    <s v="F012"/>
    <x v="3"/>
    <x v="0"/>
    <x v="0"/>
    <s v="CH₄"/>
    <n v="3222.3519350000001"/>
  </r>
  <r>
    <s v="F063"/>
    <x v="4"/>
    <x v="2"/>
    <x v="1"/>
    <s v="N₂O"/>
    <n v="475.84"/>
  </r>
  <r>
    <s v="F150"/>
    <x v="4"/>
    <x v="0"/>
    <x v="1"/>
    <s v="CO₂"/>
    <n v="258.93"/>
  </r>
  <r>
    <s v="F028"/>
    <x v="4"/>
    <x v="0"/>
    <x v="0"/>
    <s v="N₂O"/>
    <n v="850.45"/>
  </r>
  <r>
    <s v="F171"/>
    <x v="4"/>
    <x v="3"/>
    <x v="1"/>
    <s v="N₂O"/>
    <n v="1887.87"/>
  </r>
  <r>
    <s v="F082"/>
    <x v="0"/>
    <x v="3"/>
    <x v="2"/>
    <s v="N₂O"/>
    <n v="533.01"/>
  </r>
  <r>
    <s v="F183"/>
    <x v="3"/>
    <x v="0"/>
    <x v="2"/>
    <s v="CH₄"/>
    <n v="572.46"/>
  </r>
  <r>
    <s v="F090"/>
    <x v="2"/>
    <x v="1"/>
    <x v="2"/>
    <s v="N₂O"/>
    <n v="4635.99"/>
  </r>
  <r>
    <s v="F131"/>
    <x v="4"/>
    <x v="3"/>
    <x v="1"/>
    <s v="N₂O"/>
    <n v="4891.97"/>
  </r>
  <r>
    <s v="F200"/>
    <x v="1"/>
    <x v="2"/>
    <x v="2"/>
    <s v="CH₄"/>
    <n v="1184.1400000000001"/>
  </r>
  <r>
    <s v="F028"/>
    <x v="4"/>
    <x v="1"/>
    <x v="1"/>
    <s v="CO₂"/>
    <n v="802.03"/>
  </r>
  <r>
    <s v="F042"/>
    <x v="1"/>
    <x v="1"/>
    <x v="0"/>
    <s v="CH₄"/>
    <n v="2408.4791700000001"/>
  </r>
  <r>
    <s v="F157"/>
    <x v="0"/>
    <x v="1"/>
    <x v="0"/>
    <s v="CO₂"/>
    <n v="3733.1564819999999"/>
  </r>
  <r>
    <s v="F010"/>
    <x v="0"/>
    <x v="2"/>
    <x v="0"/>
    <s v="N₂O"/>
    <n v="163.45412289999999"/>
  </r>
  <r>
    <s v="F053"/>
    <x v="0"/>
    <x v="2"/>
    <x v="1"/>
    <s v="CO₂"/>
    <n v="106.8"/>
  </r>
  <r>
    <s v="F174"/>
    <x v="3"/>
    <x v="3"/>
    <x v="1"/>
    <s v="CO₂"/>
    <n v="2626.92"/>
  </r>
  <r>
    <s v="F139"/>
    <x v="0"/>
    <x v="0"/>
    <x v="1"/>
    <s v="CO₂"/>
    <n v="4932.7299999999996"/>
  </r>
  <r>
    <s v="F123"/>
    <x v="1"/>
    <x v="0"/>
    <x v="2"/>
    <s v="N₂O"/>
    <n v="2097.4"/>
  </r>
  <r>
    <s v="F003"/>
    <x v="3"/>
    <x v="1"/>
    <x v="0"/>
    <s v="CO₂"/>
    <n v="3185.28"/>
  </r>
  <r>
    <s v="F148"/>
    <x v="1"/>
    <x v="3"/>
    <x v="1"/>
    <s v="CH₄"/>
    <n v="3081.68"/>
  </r>
  <r>
    <s v="F040"/>
    <x v="0"/>
    <x v="1"/>
    <x v="2"/>
    <s v="CO₂"/>
    <n v="1531.36"/>
  </r>
  <r>
    <s v="F067"/>
    <x v="1"/>
    <x v="3"/>
    <x v="1"/>
    <s v="CH₄"/>
    <n v="1564.12"/>
  </r>
  <r>
    <s v="F108"/>
    <x v="3"/>
    <x v="2"/>
    <x v="2"/>
    <s v="CH₄"/>
    <n v="3016.94"/>
  </r>
  <r>
    <s v="F012"/>
    <x v="3"/>
    <x v="3"/>
    <x v="0"/>
    <s v="CO₂"/>
    <n v="3853.1870269999999"/>
  </r>
  <r>
    <s v="F170"/>
    <x v="2"/>
    <x v="2"/>
    <x v="2"/>
    <s v="CH₄"/>
    <n v="459.36"/>
  </r>
  <r>
    <s v="F180"/>
    <x v="2"/>
    <x v="2"/>
    <x v="1"/>
    <s v="CO₂"/>
    <n v="2792.22"/>
  </r>
  <r>
    <s v="F100"/>
    <x v="0"/>
    <x v="3"/>
    <x v="2"/>
    <s v="CO₂"/>
    <n v="4129.93"/>
  </r>
  <r>
    <s v="F130"/>
    <x v="3"/>
    <x v="3"/>
    <x v="2"/>
    <s v="CO₂"/>
    <n v="2515.67"/>
  </r>
  <r>
    <s v="F017"/>
    <x v="2"/>
    <x v="1"/>
    <x v="0"/>
    <s v="CH₄"/>
    <n v="1577.952059"/>
  </r>
  <r>
    <s v="F031"/>
    <x v="3"/>
    <x v="1"/>
    <x v="0"/>
    <s v="N₂O"/>
    <n v="4224.2000390000003"/>
  </r>
  <r>
    <s v="F108"/>
    <x v="3"/>
    <x v="2"/>
    <x v="0"/>
    <s v="N₂O"/>
    <n v="4932.401664"/>
  </r>
  <r>
    <s v="F189"/>
    <x v="0"/>
    <x v="1"/>
    <x v="2"/>
    <s v="CH₄"/>
    <n v="1505.22"/>
  </r>
  <r>
    <s v="F009"/>
    <x v="0"/>
    <x v="2"/>
    <x v="0"/>
    <s v="CO₂"/>
    <n v="2186.8441339999999"/>
  </r>
  <r>
    <s v="F010"/>
    <x v="0"/>
    <x v="1"/>
    <x v="1"/>
    <s v="CH₄"/>
    <n v="1236.5999999999999"/>
  </r>
  <r>
    <s v="F102"/>
    <x v="1"/>
    <x v="3"/>
    <x v="1"/>
    <s v="CH₄"/>
    <n v="950.62"/>
  </r>
  <r>
    <s v="F189"/>
    <x v="0"/>
    <x v="3"/>
    <x v="0"/>
    <s v="CH₄"/>
    <n v="1417.732332"/>
  </r>
  <r>
    <s v="F096"/>
    <x v="0"/>
    <x v="0"/>
    <x v="1"/>
    <s v="CH₄"/>
    <n v="1840.6"/>
  </r>
  <r>
    <s v="F022"/>
    <x v="4"/>
    <x v="3"/>
    <x v="2"/>
    <s v="CO₂"/>
    <n v="136.41"/>
  </r>
  <r>
    <s v="F139"/>
    <x v="0"/>
    <x v="2"/>
    <x v="1"/>
    <s v="N₂O"/>
    <n v="2167.6999999999998"/>
  </r>
  <r>
    <s v="F097"/>
    <x v="1"/>
    <x v="1"/>
    <x v="2"/>
    <s v="N₂O"/>
    <n v="3755.45"/>
  </r>
  <r>
    <s v="F064"/>
    <x v="1"/>
    <x v="1"/>
    <x v="2"/>
    <s v="CH₄"/>
    <n v="1313.84"/>
  </r>
  <r>
    <s v="F155"/>
    <x v="2"/>
    <x v="1"/>
    <x v="0"/>
    <s v="CH₄"/>
    <n v="460.07946659999999"/>
  </r>
  <r>
    <s v="F098"/>
    <x v="4"/>
    <x v="1"/>
    <x v="0"/>
    <s v="N₂O"/>
    <n v="2230.0799240000001"/>
  </r>
  <r>
    <s v="F158"/>
    <x v="3"/>
    <x v="0"/>
    <x v="1"/>
    <s v="N₂O"/>
    <n v="324.83"/>
  </r>
  <r>
    <s v="F119"/>
    <x v="2"/>
    <x v="2"/>
    <x v="0"/>
    <s v="CH₄"/>
    <n v="621.26902540000003"/>
  </r>
  <r>
    <s v="F178"/>
    <x v="3"/>
    <x v="2"/>
    <x v="2"/>
    <s v="CH₄"/>
    <n v="1054.75"/>
  </r>
  <r>
    <s v="F082"/>
    <x v="0"/>
    <x v="1"/>
    <x v="0"/>
    <s v="CO₂"/>
    <n v="5086.7290380000004"/>
  </r>
  <r>
    <s v="F080"/>
    <x v="3"/>
    <x v="2"/>
    <x v="2"/>
    <s v="N₂O"/>
    <n v="733.07"/>
  </r>
  <r>
    <s v="F184"/>
    <x v="0"/>
    <x v="1"/>
    <x v="1"/>
    <s v="N₂O"/>
    <n v="4608.12"/>
  </r>
  <r>
    <s v="F134"/>
    <x v="3"/>
    <x v="2"/>
    <x v="2"/>
    <s v="CH₄"/>
    <n v="3092.45"/>
  </r>
  <r>
    <s v="F024"/>
    <x v="4"/>
    <x v="3"/>
    <x v="1"/>
    <s v="CO₂"/>
    <n v="824.2"/>
  </r>
  <r>
    <s v="F026"/>
    <x v="2"/>
    <x v="0"/>
    <x v="2"/>
    <s v="CH₄"/>
    <n v="1816.62"/>
  </r>
  <r>
    <s v="F155"/>
    <x v="2"/>
    <x v="1"/>
    <x v="0"/>
    <s v="CO₂"/>
    <n v="1750.321625"/>
  </r>
  <r>
    <s v="F043"/>
    <x v="0"/>
    <x v="1"/>
    <x v="0"/>
    <s v="CH₄"/>
    <n v="4387.1743159999996"/>
  </r>
  <r>
    <s v="F179"/>
    <x v="1"/>
    <x v="2"/>
    <x v="2"/>
    <s v="N₂O"/>
    <n v="3959.46"/>
  </r>
  <r>
    <s v="F120"/>
    <x v="4"/>
    <x v="2"/>
    <x v="2"/>
    <s v="N₂O"/>
    <n v="976.87"/>
  </r>
  <r>
    <s v="F037"/>
    <x v="3"/>
    <x v="0"/>
    <x v="1"/>
    <s v="N₂O"/>
    <n v="836.5"/>
  </r>
  <r>
    <s v="F066"/>
    <x v="4"/>
    <x v="3"/>
    <x v="1"/>
    <s v="CO₂"/>
    <n v="4095.46"/>
  </r>
  <r>
    <s v="F041"/>
    <x v="1"/>
    <x v="2"/>
    <x v="2"/>
    <s v="CO₂"/>
    <n v="3574.84"/>
  </r>
  <r>
    <s v="F110"/>
    <x v="4"/>
    <x v="3"/>
    <x v="2"/>
    <s v="N₂O"/>
    <n v="4705.34"/>
  </r>
  <r>
    <s v="F154"/>
    <x v="0"/>
    <x v="1"/>
    <x v="1"/>
    <s v="N₂O"/>
    <n v="4617.59"/>
  </r>
  <r>
    <s v="F117"/>
    <x v="2"/>
    <x v="0"/>
    <x v="1"/>
    <s v="CH₄"/>
    <n v="3378.57"/>
  </r>
  <r>
    <s v="F106"/>
    <x v="3"/>
    <x v="2"/>
    <x v="2"/>
    <s v="CH₄"/>
    <n v="1071.83"/>
  </r>
  <r>
    <s v="F140"/>
    <x v="4"/>
    <x v="1"/>
    <x v="0"/>
    <s v="N₂O"/>
    <n v="958.6543772"/>
  </r>
  <r>
    <s v="F017"/>
    <x v="2"/>
    <x v="2"/>
    <x v="0"/>
    <s v="N₂O"/>
    <n v="1194.635671"/>
  </r>
  <r>
    <s v="F151"/>
    <x v="2"/>
    <x v="3"/>
    <x v="0"/>
    <s v="N₂O"/>
    <n v="1366.7456500000001"/>
  </r>
  <r>
    <s v="F056"/>
    <x v="4"/>
    <x v="2"/>
    <x v="1"/>
    <s v="CO₂"/>
    <n v="1936.56"/>
  </r>
  <r>
    <s v="F065"/>
    <x v="1"/>
    <x v="1"/>
    <x v="0"/>
    <s v="CH₄"/>
    <n v="872.02317370000003"/>
  </r>
  <r>
    <s v="F026"/>
    <x v="2"/>
    <x v="3"/>
    <x v="2"/>
    <s v="CO₂"/>
    <n v="4730.6899999999996"/>
  </r>
  <r>
    <s v="F036"/>
    <x v="3"/>
    <x v="1"/>
    <x v="0"/>
    <s v="CH₄"/>
    <n v="3135.117119"/>
  </r>
  <r>
    <s v="F076"/>
    <x v="2"/>
    <x v="2"/>
    <x v="0"/>
    <s v="CO₂"/>
    <n v="1288.693927"/>
  </r>
  <r>
    <s v="F172"/>
    <x v="4"/>
    <x v="0"/>
    <x v="1"/>
    <s v="CH₄"/>
    <n v="3302.89"/>
  </r>
  <r>
    <s v="F136"/>
    <x v="1"/>
    <x v="1"/>
    <x v="2"/>
    <s v="CO₂"/>
    <n v="1167.23"/>
  </r>
  <r>
    <s v="F101"/>
    <x v="3"/>
    <x v="3"/>
    <x v="0"/>
    <s v="CH₄"/>
    <n v="1716.9930870000001"/>
  </r>
  <r>
    <s v="F133"/>
    <x v="2"/>
    <x v="1"/>
    <x v="2"/>
    <s v="N₂O"/>
    <n v="2018.44"/>
  </r>
  <r>
    <s v="F174"/>
    <x v="3"/>
    <x v="2"/>
    <x v="0"/>
    <s v="CH₄"/>
    <n v="5025.5408010000001"/>
  </r>
  <r>
    <s v="F062"/>
    <x v="2"/>
    <x v="3"/>
    <x v="0"/>
    <s v="CO₂"/>
    <n v="2513.2965159999999"/>
  </r>
  <r>
    <s v="F109"/>
    <x v="0"/>
    <x v="0"/>
    <x v="1"/>
    <s v="CO₂"/>
    <n v="2145.48"/>
  </r>
  <r>
    <s v="F025"/>
    <x v="4"/>
    <x v="1"/>
    <x v="1"/>
    <s v="CH₄"/>
    <n v="1701.79"/>
  </r>
  <r>
    <s v="F127"/>
    <x v="3"/>
    <x v="3"/>
    <x v="2"/>
    <s v="CO₂"/>
    <n v="1017.33"/>
  </r>
  <r>
    <s v="F062"/>
    <x v="2"/>
    <x v="0"/>
    <x v="2"/>
    <s v="CO₂"/>
    <n v="4417.58"/>
  </r>
  <r>
    <s v="F153"/>
    <x v="3"/>
    <x v="0"/>
    <x v="1"/>
    <s v="CH₄"/>
    <n v="2948.39"/>
  </r>
  <r>
    <s v="F029"/>
    <x v="4"/>
    <x v="2"/>
    <x v="2"/>
    <s v="N₂O"/>
    <n v="2543.38"/>
  </r>
  <r>
    <s v="F038"/>
    <x v="4"/>
    <x v="1"/>
    <x v="0"/>
    <s v="CO₂"/>
    <n v="3031.49"/>
  </r>
  <r>
    <s v="F128"/>
    <x v="2"/>
    <x v="3"/>
    <x v="0"/>
    <s v="CO₂"/>
    <n v="4209.3514340000002"/>
  </r>
  <r>
    <s v="F015"/>
    <x v="4"/>
    <x v="0"/>
    <x v="1"/>
    <s v="N₂O"/>
    <n v="3571.08"/>
  </r>
  <r>
    <s v="F005"/>
    <x v="4"/>
    <x v="0"/>
    <x v="2"/>
    <s v="CO₂"/>
    <n v="887.49"/>
  </r>
  <r>
    <s v="F147"/>
    <x v="1"/>
    <x v="0"/>
    <x v="2"/>
    <s v="CH₄"/>
    <n v="1618.49"/>
  </r>
  <r>
    <s v="F192"/>
    <x v="4"/>
    <x v="0"/>
    <x v="0"/>
    <s v="CH₄"/>
    <n v="4625.4638729999997"/>
  </r>
  <r>
    <s v="F153"/>
    <x v="3"/>
    <x v="3"/>
    <x v="2"/>
    <s v="CH₄"/>
    <n v="968.64"/>
  </r>
  <r>
    <s v="F095"/>
    <x v="2"/>
    <x v="2"/>
    <x v="0"/>
    <s v="CO₂"/>
    <n v="2182.0643799999998"/>
  </r>
  <r>
    <s v="F054"/>
    <x v="3"/>
    <x v="2"/>
    <x v="0"/>
    <s v="N₂O"/>
    <n v="2401.339125"/>
  </r>
  <r>
    <s v="F045"/>
    <x v="0"/>
    <x v="3"/>
    <x v="0"/>
    <s v="CH₄"/>
    <n v="1887.9748999999999"/>
  </r>
  <r>
    <s v="F046"/>
    <x v="4"/>
    <x v="3"/>
    <x v="1"/>
    <s v="CO₂"/>
    <n v="1740.85"/>
  </r>
  <r>
    <s v="F176"/>
    <x v="4"/>
    <x v="0"/>
    <x v="0"/>
    <s v="N₂O"/>
    <n v="4524.0168549999999"/>
  </r>
  <r>
    <s v="F175"/>
    <x v="3"/>
    <x v="3"/>
    <x v="0"/>
    <s v="CH₄"/>
    <n v="4975.538391"/>
  </r>
  <r>
    <s v="F168"/>
    <x v="2"/>
    <x v="1"/>
    <x v="2"/>
    <s v="CH₄"/>
    <n v="1573"/>
  </r>
  <r>
    <s v="F141"/>
    <x v="1"/>
    <x v="3"/>
    <x v="2"/>
    <s v="CH₄"/>
    <n v="1578.72"/>
  </r>
  <r>
    <s v="F196"/>
    <x v="4"/>
    <x v="3"/>
    <x v="0"/>
    <s v="N₂O"/>
    <n v="3818.4985240000001"/>
  </r>
  <r>
    <s v="F197"/>
    <x v="2"/>
    <x v="2"/>
    <x v="2"/>
    <s v="N₂O"/>
    <n v="2731.54"/>
  </r>
  <r>
    <s v="F156"/>
    <x v="2"/>
    <x v="0"/>
    <x v="1"/>
    <s v="N₂O"/>
    <n v="156.84"/>
  </r>
  <r>
    <s v="F063"/>
    <x v="4"/>
    <x v="2"/>
    <x v="2"/>
    <s v="CH₄"/>
    <n v="300.70999999999998"/>
  </r>
  <r>
    <s v="F162"/>
    <x v="3"/>
    <x v="3"/>
    <x v="2"/>
    <s v="CH₄"/>
    <n v="4929.3599999999997"/>
  </r>
  <r>
    <s v="F184"/>
    <x v="0"/>
    <x v="1"/>
    <x v="0"/>
    <s v="CH₄"/>
    <n v="2623.4664130000001"/>
  </r>
  <r>
    <s v="F144"/>
    <x v="2"/>
    <x v="2"/>
    <x v="0"/>
    <s v="CH₄"/>
    <n v="3247.07"/>
  </r>
  <r>
    <s v="F151"/>
    <x v="2"/>
    <x v="2"/>
    <x v="2"/>
    <s v="N₂O"/>
    <n v="1917.71"/>
  </r>
  <r>
    <s v="F159"/>
    <x v="0"/>
    <x v="1"/>
    <x v="2"/>
    <s v="N₂O"/>
    <n v="3841.45"/>
  </r>
  <r>
    <s v="F089"/>
    <x v="4"/>
    <x v="3"/>
    <x v="2"/>
    <s v="CH₄"/>
    <n v="4035.07"/>
  </r>
  <r>
    <s v="F004"/>
    <x v="0"/>
    <x v="3"/>
    <x v="1"/>
    <s v="CO₂"/>
    <n v="3477.6"/>
  </r>
  <r>
    <s v="F110"/>
    <x v="4"/>
    <x v="0"/>
    <x v="1"/>
    <s v="N₂O"/>
    <n v="1743.67"/>
  </r>
  <r>
    <s v="F124"/>
    <x v="3"/>
    <x v="0"/>
    <x v="0"/>
    <s v="N₂O"/>
    <n v="2351.4377829999999"/>
  </r>
  <r>
    <s v="F105"/>
    <x v="0"/>
    <x v="0"/>
    <x v="1"/>
    <s v="CH₄"/>
    <n v="4335.1400000000003"/>
  </r>
  <r>
    <s v="F197"/>
    <x v="2"/>
    <x v="0"/>
    <x v="2"/>
    <s v="CO₂"/>
    <n v="4697.66"/>
  </r>
  <r>
    <s v="F085"/>
    <x v="4"/>
    <x v="2"/>
    <x v="2"/>
    <s v="CO₂"/>
    <n v="3378.49"/>
  </r>
  <r>
    <s v="F191"/>
    <x v="0"/>
    <x v="3"/>
    <x v="1"/>
    <s v="CH₄"/>
    <n v="4068.86"/>
  </r>
  <r>
    <s v="F134"/>
    <x v="3"/>
    <x v="3"/>
    <x v="0"/>
    <s v="CH₄"/>
    <n v="4658.5376130000004"/>
  </r>
  <r>
    <s v="F126"/>
    <x v="2"/>
    <x v="0"/>
    <x v="0"/>
    <s v="CH₄"/>
    <n v="3516.4541060000001"/>
  </r>
  <r>
    <s v="F044"/>
    <x v="1"/>
    <x v="3"/>
    <x v="0"/>
    <s v="CO₂"/>
    <n v="3133.8255669999999"/>
  </r>
  <r>
    <s v="F025"/>
    <x v="4"/>
    <x v="1"/>
    <x v="2"/>
    <s v="CO₂"/>
    <n v="1951.82"/>
  </r>
  <r>
    <s v="F028"/>
    <x v="4"/>
    <x v="3"/>
    <x v="0"/>
    <s v="CH₄"/>
    <n v="2056.02"/>
  </r>
  <r>
    <s v="F103"/>
    <x v="4"/>
    <x v="2"/>
    <x v="1"/>
    <s v="CH₄"/>
    <n v="377.76"/>
  </r>
  <r>
    <s v="F043"/>
    <x v="0"/>
    <x v="0"/>
    <x v="1"/>
    <s v="N₂O"/>
    <n v="4676.8"/>
  </r>
  <r>
    <s v="F123"/>
    <x v="1"/>
    <x v="2"/>
    <x v="0"/>
    <s v="CO₂"/>
    <n v="3984.4592120000002"/>
  </r>
  <r>
    <s v="F117"/>
    <x v="2"/>
    <x v="1"/>
    <x v="0"/>
    <s v="CO₂"/>
    <n v="1346.6818989999999"/>
  </r>
  <r>
    <s v="F007"/>
    <x v="4"/>
    <x v="1"/>
    <x v="0"/>
    <s v="N₂O"/>
    <n v="4869.82"/>
  </r>
  <r>
    <s v="F043"/>
    <x v="0"/>
    <x v="3"/>
    <x v="0"/>
    <s v="CO₂"/>
    <n v="2329.0853659999998"/>
  </r>
  <r>
    <s v="F188"/>
    <x v="3"/>
    <x v="0"/>
    <x v="0"/>
    <s v="CO₂"/>
    <n v="4828.6000519999998"/>
  </r>
  <r>
    <s v="F125"/>
    <x v="1"/>
    <x v="0"/>
    <x v="2"/>
    <s v="CH₄"/>
    <n v="3423.67"/>
  </r>
  <r>
    <s v="F123"/>
    <x v="1"/>
    <x v="3"/>
    <x v="1"/>
    <s v="CH₄"/>
    <n v="2957.49"/>
  </r>
  <r>
    <s v="F051"/>
    <x v="4"/>
    <x v="1"/>
    <x v="1"/>
    <s v="CO₂"/>
    <n v="3128.34"/>
  </r>
  <r>
    <s v="F174"/>
    <x v="3"/>
    <x v="3"/>
    <x v="0"/>
    <s v="N₂O"/>
    <n v="4548.0730679999997"/>
  </r>
  <r>
    <s v="F010"/>
    <x v="0"/>
    <x v="2"/>
    <x v="1"/>
    <s v="CO₂"/>
    <n v="3929.66"/>
  </r>
  <r>
    <s v="F028"/>
    <x v="4"/>
    <x v="1"/>
    <x v="0"/>
    <s v="CH₄"/>
    <n v="3790.62"/>
  </r>
  <r>
    <s v="F155"/>
    <x v="2"/>
    <x v="1"/>
    <x v="2"/>
    <s v="N₂O"/>
    <n v="4480.07"/>
  </r>
  <r>
    <s v="F103"/>
    <x v="4"/>
    <x v="2"/>
    <x v="2"/>
    <s v="CH₄"/>
    <n v="4123.79"/>
  </r>
  <r>
    <s v="F037"/>
    <x v="3"/>
    <x v="1"/>
    <x v="1"/>
    <s v="CH₄"/>
    <n v="100.8"/>
  </r>
  <r>
    <s v="F082"/>
    <x v="0"/>
    <x v="2"/>
    <x v="2"/>
    <s v="CH₄"/>
    <n v="4783.3999999999996"/>
  </r>
  <r>
    <s v="F167"/>
    <x v="2"/>
    <x v="2"/>
    <x v="0"/>
    <s v="CH₄"/>
    <n v="2568.5214700000001"/>
  </r>
  <r>
    <s v="F008"/>
    <x v="3"/>
    <x v="1"/>
    <x v="2"/>
    <s v="CO₂"/>
    <n v="246.64"/>
  </r>
  <r>
    <s v="F019"/>
    <x v="0"/>
    <x v="0"/>
    <x v="1"/>
    <s v="CO₂"/>
    <n v="498.61"/>
  </r>
  <r>
    <s v="F050"/>
    <x v="0"/>
    <x v="0"/>
    <x v="1"/>
    <s v="CH₄"/>
    <n v="3705.73"/>
  </r>
  <r>
    <s v="F001"/>
    <x v="1"/>
    <x v="2"/>
    <x v="2"/>
    <s v="N₂O"/>
    <n v="470.38"/>
  </r>
  <r>
    <s v="F132"/>
    <x v="4"/>
    <x v="2"/>
    <x v="2"/>
    <s v="CH₄"/>
    <n v="2355.87"/>
  </r>
  <r>
    <s v="F138"/>
    <x v="0"/>
    <x v="1"/>
    <x v="1"/>
    <s v="CH₄"/>
    <n v="484.51"/>
  </r>
  <r>
    <s v="F106"/>
    <x v="3"/>
    <x v="2"/>
    <x v="1"/>
    <s v="CO₂"/>
    <n v="3299.33"/>
  </r>
  <r>
    <s v="F064"/>
    <x v="1"/>
    <x v="3"/>
    <x v="2"/>
    <s v="CH₄"/>
    <n v="3312.29"/>
  </r>
  <r>
    <s v="F071"/>
    <x v="4"/>
    <x v="0"/>
    <x v="2"/>
    <s v="CO₂"/>
    <n v="2017.59"/>
  </r>
  <r>
    <s v="F027"/>
    <x v="4"/>
    <x v="3"/>
    <x v="0"/>
    <s v="CH₄"/>
    <n v="3564.2129300000001"/>
  </r>
  <r>
    <s v="F174"/>
    <x v="3"/>
    <x v="1"/>
    <x v="0"/>
    <s v="N₂O"/>
    <n v="4913.537131"/>
  </r>
  <r>
    <s v="F066"/>
    <x v="4"/>
    <x v="3"/>
    <x v="0"/>
    <s v="CH₄"/>
    <n v="1184.85844"/>
  </r>
  <r>
    <s v="F088"/>
    <x v="0"/>
    <x v="3"/>
    <x v="1"/>
    <s v="N₂O"/>
    <n v="3845.16"/>
  </r>
  <r>
    <s v="F173"/>
    <x v="1"/>
    <x v="3"/>
    <x v="2"/>
    <s v="CH₄"/>
    <n v="2288.2800000000002"/>
  </r>
  <r>
    <s v="F182"/>
    <x v="3"/>
    <x v="3"/>
    <x v="2"/>
    <s v="CO₂"/>
    <n v="751.28"/>
  </r>
  <r>
    <s v="F116"/>
    <x v="2"/>
    <x v="3"/>
    <x v="2"/>
    <s v="N₂O"/>
    <n v="2159.65"/>
  </r>
  <r>
    <s v="F099"/>
    <x v="3"/>
    <x v="3"/>
    <x v="2"/>
    <s v="CO₂"/>
    <n v="3251.65"/>
  </r>
  <r>
    <s v="F156"/>
    <x v="2"/>
    <x v="2"/>
    <x v="0"/>
    <s v="N₂O"/>
    <n v="4889.7534070000002"/>
  </r>
  <r>
    <s v="F052"/>
    <x v="3"/>
    <x v="2"/>
    <x v="2"/>
    <s v="CH₄"/>
    <n v="608.37"/>
  </r>
  <r>
    <s v="F173"/>
    <x v="1"/>
    <x v="1"/>
    <x v="0"/>
    <s v="CH₄"/>
    <n v="3246.9869779999999"/>
  </r>
  <r>
    <s v="F017"/>
    <x v="2"/>
    <x v="3"/>
    <x v="1"/>
    <s v="CH₄"/>
    <n v="4214.38"/>
  </r>
  <r>
    <s v="F065"/>
    <x v="1"/>
    <x v="1"/>
    <x v="2"/>
    <s v="CH₄"/>
    <n v="2178.11"/>
  </r>
  <r>
    <s v="F026"/>
    <x v="2"/>
    <x v="2"/>
    <x v="2"/>
    <s v="CH₄"/>
    <n v="4250.24"/>
  </r>
  <r>
    <s v="F132"/>
    <x v="4"/>
    <x v="3"/>
    <x v="1"/>
    <s v="CH₄"/>
    <n v="1294.92"/>
  </r>
  <r>
    <s v="F156"/>
    <x v="2"/>
    <x v="1"/>
    <x v="1"/>
    <s v="N₂O"/>
    <n v="498.85"/>
  </r>
  <r>
    <s v="F032"/>
    <x v="1"/>
    <x v="2"/>
    <x v="2"/>
    <s v="CO₂"/>
    <n v="4605.3599999999997"/>
  </r>
  <r>
    <s v="F155"/>
    <x v="2"/>
    <x v="2"/>
    <x v="1"/>
    <s v="N₂O"/>
    <n v="4590.9799999999996"/>
  </r>
  <r>
    <s v="F001"/>
    <x v="1"/>
    <x v="1"/>
    <x v="2"/>
    <s v="CO₂"/>
    <n v="2454.27"/>
  </r>
  <r>
    <s v="F127"/>
    <x v="3"/>
    <x v="1"/>
    <x v="0"/>
    <s v="N₂O"/>
    <n v="2083"/>
  </r>
  <r>
    <s v="F035"/>
    <x v="4"/>
    <x v="0"/>
    <x v="0"/>
    <s v="N₂O"/>
    <n v="3207.76"/>
  </r>
  <r>
    <s v="F055"/>
    <x v="2"/>
    <x v="0"/>
    <x v="0"/>
    <s v="CH₄"/>
    <n v="4200.4249920000002"/>
  </r>
  <r>
    <s v="F097"/>
    <x v="1"/>
    <x v="2"/>
    <x v="0"/>
    <s v="CH₄"/>
    <n v="4705.2145979999996"/>
  </r>
  <r>
    <s v="F194"/>
    <x v="3"/>
    <x v="1"/>
    <x v="1"/>
    <s v="N₂O"/>
    <n v="171.51"/>
  </r>
  <r>
    <s v="F001"/>
    <x v="1"/>
    <x v="3"/>
    <x v="0"/>
    <s v="N₂O"/>
    <n v="2210.630854"/>
  </r>
  <r>
    <s v="F021"/>
    <x v="1"/>
    <x v="2"/>
    <x v="0"/>
    <s v="N₂O"/>
    <n v="4978.9324690000003"/>
  </r>
  <r>
    <s v="F199"/>
    <x v="0"/>
    <x v="0"/>
    <x v="2"/>
    <s v="CO₂"/>
    <n v="3657.98"/>
  </r>
  <r>
    <s v="F090"/>
    <x v="2"/>
    <x v="2"/>
    <x v="2"/>
    <s v="N₂O"/>
    <n v="1516.4"/>
  </r>
  <r>
    <s v="F008"/>
    <x v="3"/>
    <x v="2"/>
    <x v="2"/>
    <s v="CH₄"/>
    <n v="1707.15"/>
  </r>
  <r>
    <s v="F073"/>
    <x v="3"/>
    <x v="3"/>
    <x v="1"/>
    <s v="N₂O"/>
    <n v="526.19000000000005"/>
  </r>
  <r>
    <s v="F119"/>
    <x v="2"/>
    <x v="0"/>
    <x v="0"/>
    <s v="N₂O"/>
    <n v="5253.4060950000003"/>
  </r>
  <r>
    <s v="F028"/>
    <x v="4"/>
    <x v="0"/>
    <x v="0"/>
    <s v="CO₂"/>
    <n v="3617.9"/>
  </r>
  <r>
    <s v="F004"/>
    <x v="0"/>
    <x v="1"/>
    <x v="2"/>
    <s v="CH₄"/>
    <n v="698.65"/>
  </r>
  <r>
    <s v="F021"/>
    <x v="1"/>
    <x v="2"/>
    <x v="0"/>
    <s v="N₂O"/>
    <n v="4671.9711859999998"/>
  </r>
  <r>
    <s v="F122"/>
    <x v="4"/>
    <x v="2"/>
    <x v="1"/>
    <s v="CO₂"/>
    <n v="4339.82"/>
  </r>
  <r>
    <s v="F127"/>
    <x v="3"/>
    <x v="1"/>
    <x v="0"/>
    <s v="N₂O"/>
    <n v="132.41999999999999"/>
  </r>
  <r>
    <s v="F101"/>
    <x v="3"/>
    <x v="3"/>
    <x v="1"/>
    <s v="CH₄"/>
    <n v="1388.99"/>
  </r>
  <r>
    <s v="F177"/>
    <x v="3"/>
    <x v="2"/>
    <x v="1"/>
    <s v="CH₄"/>
    <n v="3966.31"/>
  </r>
  <r>
    <s v="F039"/>
    <x v="2"/>
    <x v="1"/>
    <x v="2"/>
    <s v="CO₂"/>
    <n v="2647.7"/>
  </r>
  <r>
    <s v="F004"/>
    <x v="0"/>
    <x v="1"/>
    <x v="2"/>
    <s v="N₂O"/>
    <n v="3541.47"/>
  </r>
  <r>
    <s v="F166"/>
    <x v="3"/>
    <x v="2"/>
    <x v="2"/>
    <s v="CH₄"/>
    <n v="2083.98"/>
  </r>
  <r>
    <s v="F031"/>
    <x v="3"/>
    <x v="2"/>
    <x v="0"/>
    <s v="CO₂"/>
    <n v="3597.2222860000002"/>
  </r>
  <r>
    <s v="F075"/>
    <x v="3"/>
    <x v="0"/>
    <x v="2"/>
    <s v="N₂O"/>
    <n v="3828.14"/>
  </r>
  <r>
    <s v="F115"/>
    <x v="3"/>
    <x v="2"/>
    <x v="0"/>
    <s v="CH₄"/>
    <n v="3705.619533"/>
  </r>
  <r>
    <s v="F034"/>
    <x v="4"/>
    <x v="0"/>
    <x v="0"/>
    <s v="CO₂"/>
    <n v="2912.2502679999998"/>
  </r>
  <r>
    <s v="F175"/>
    <x v="3"/>
    <x v="3"/>
    <x v="2"/>
    <s v="N₂O"/>
    <n v="1004.91"/>
  </r>
  <r>
    <s v="F082"/>
    <x v="0"/>
    <x v="3"/>
    <x v="1"/>
    <s v="CH₄"/>
    <n v="4429.63"/>
  </r>
  <r>
    <s v="F184"/>
    <x v="0"/>
    <x v="1"/>
    <x v="0"/>
    <s v="CH₄"/>
    <n v="4951.923847"/>
  </r>
  <r>
    <s v="F107"/>
    <x v="2"/>
    <x v="0"/>
    <x v="0"/>
    <s v="N₂O"/>
    <n v="2036.074695"/>
  </r>
  <r>
    <s v="F157"/>
    <x v="0"/>
    <x v="0"/>
    <x v="2"/>
    <s v="CH₄"/>
    <n v="4936.1400000000003"/>
  </r>
  <r>
    <s v="F088"/>
    <x v="0"/>
    <x v="3"/>
    <x v="2"/>
    <s v="CO₂"/>
    <n v="2419.77"/>
  </r>
  <r>
    <s v="F015"/>
    <x v="4"/>
    <x v="3"/>
    <x v="0"/>
    <s v="CO₂"/>
    <n v="574.95542599999999"/>
  </r>
  <r>
    <s v="F136"/>
    <x v="1"/>
    <x v="1"/>
    <x v="2"/>
    <s v="CH₄"/>
    <n v="2530.5"/>
  </r>
  <r>
    <s v="F114"/>
    <x v="1"/>
    <x v="3"/>
    <x v="2"/>
    <s v="CH₄"/>
    <n v="4691.6499999999996"/>
  </r>
  <r>
    <s v="F157"/>
    <x v="0"/>
    <x v="2"/>
    <x v="2"/>
    <s v="CO₂"/>
    <n v="3798.92"/>
  </r>
  <r>
    <s v="F006"/>
    <x v="4"/>
    <x v="0"/>
    <x v="1"/>
    <s v="N₂O"/>
    <n v="473.15"/>
  </r>
  <r>
    <s v="F162"/>
    <x v="3"/>
    <x v="3"/>
    <x v="2"/>
    <s v="CO₂"/>
    <n v="2684.5"/>
  </r>
  <r>
    <s v="F168"/>
    <x v="2"/>
    <x v="3"/>
    <x v="0"/>
    <s v="CH₄"/>
    <n v="3207.9661550000001"/>
  </r>
  <r>
    <s v="F004"/>
    <x v="0"/>
    <x v="2"/>
    <x v="0"/>
    <s v="CO₂"/>
    <n v="2986.0217029999999"/>
  </r>
  <r>
    <s v="F132"/>
    <x v="4"/>
    <x v="0"/>
    <x v="2"/>
    <s v="CH₄"/>
    <n v="862.55"/>
  </r>
  <r>
    <s v="F021"/>
    <x v="1"/>
    <x v="3"/>
    <x v="1"/>
    <s v="CO₂"/>
    <n v="827.65"/>
  </r>
  <r>
    <s v="F125"/>
    <x v="1"/>
    <x v="0"/>
    <x v="2"/>
    <s v="CH₄"/>
    <n v="1683.73"/>
  </r>
  <r>
    <s v="F027"/>
    <x v="4"/>
    <x v="1"/>
    <x v="1"/>
    <s v="N₂O"/>
    <n v="1942.34"/>
  </r>
  <r>
    <s v="F001"/>
    <x v="1"/>
    <x v="3"/>
    <x v="1"/>
    <s v="CH₄"/>
    <n v="4550.1099999999997"/>
  </r>
  <r>
    <s v="F094"/>
    <x v="3"/>
    <x v="0"/>
    <x v="0"/>
    <s v="CO₂"/>
    <n v="3667.9851920000001"/>
  </r>
  <r>
    <s v="F034"/>
    <x v="4"/>
    <x v="2"/>
    <x v="1"/>
    <s v="N₂O"/>
    <n v="4318.42"/>
  </r>
  <r>
    <s v="F175"/>
    <x v="3"/>
    <x v="2"/>
    <x v="1"/>
    <s v="CH₄"/>
    <n v="3660.75"/>
  </r>
  <r>
    <s v="F195"/>
    <x v="1"/>
    <x v="1"/>
    <x v="1"/>
    <s v="CO₂"/>
    <n v="1074.46"/>
  </r>
  <r>
    <s v="F152"/>
    <x v="4"/>
    <x v="2"/>
    <x v="1"/>
    <s v="N₂O"/>
    <n v="4228.88"/>
  </r>
  <r>
    <s v="F124"/>
    <x v="3"/>
    <x v="3"/>
    <x v="1"/>
    <s v="N₂O"/>
    <n v="2827.96"/>
  </r>
  <r>
    <s v="F181"/>
    <x v="3"/>
    <x v="0"/>
    <x v="0"/>
    <s v="CH₄"/>
    <n v="1375.518959"/>
  </r>
  <r>
    <s v="F197"/>
    <x v="2"/>
    <x v="1"/>
    <x v="0"/>
    <s v="CO₂"/>
    <n v="3501.5986440000001"/>
  </r>
  <r>
    <s v="F166"/>
    <x v="3"/>
    <x v="2"/>
    <x v="0"/>
    <s v="CO₂"/>
    <n v="3492.9772149999999"/>
  </r>
  <r>
    <s v="F160"/>
    <x v="4"/>
    <x v="1"/>
    <x v="0"/>
    <s v="N₂O"/>
    <n v="1594.77631"/>
  </r>
  <r>
    <s v="F100"/>
    <x v="0"/>
    <x v="0"/>
    <x v="0"/>
    <s v="CO₂"/>
    <n v="4328.8292810000003"/>
  </r>
  <r>
    <s v="F068"/>
    <x v="0"/>
    <x v="3"/>
    <x v="0"/>
    <s v="CH₄"/>
    <n v="3820.762874"/>
  </r>
  <r>
    <s v="F049"/>
    <x v="0"/>
    <x v="0"/>
    <x v="1"/>
    <s v="CH₄"/>
    <n v="2495.33"/>
  </r>
  <r>
    <s v="F051"/>
    <x v="4"/>
    <x v="2"/>
    <x v="2"/>
    <s v="CH₄"/>
    <n v="286.39"/>
  </r>
  <r>
    <s v="F056"/>
    <x v="4"/>
    <x v="3"/>
    <x v="1"/>
    <s v="CH₄"/>
    <n v="1994.05"/>
  </r>
  <r>
    <s v="F141"/>
    <x v="1"/>
    <x v="1"/>
    <x v="1"/>
    <s v="CH₄"/>
    <n v="2165.4299999999998"/>
  </r>
  <r>
    <s v="F107"/>
    <x v="2"/>
    <x v="2"/>
    <x v="2"/>
    <s v="CO₂"/>
    <n v="4197.01"/>
  </r>
  <r>
    <s v="F191"/>
    <x v="0"/>
    <x v="3"/>
    <x v="0"/>
    <s v="CH₄"/>
    <n v="1921.28"/>
  </r>
  <r>
    <s v="F161"/>
    <x v="2"/>
    <x v="1"/>
    <x v="2"/>
    <s v="N₂O"/>
    <n v="3491.72"/>
  </r>
  <r>
    <s v="F044"/>
    <x v="1"/>
    <x v="3"/>
    <x v="0"/>
    <s v="CH₄"/>
    <n v="2500.066452"/>
  </r>
  <r>
    <s v="F189"/>
    <x v="0"/>
    <x v="1"/>
    <x v="2"/>
    <s v="CH₄"/>
    <n v="818.77"/>
  </r>
  <r>
    <s v="F035"/>
    <x v="4"/>
    <x v="0"/>
    <x v="2"/>
    <s v="CO₂"/>
    <n v="316.76"/>
  </r>
  <r>
    <s v="F067"/>
    <x v="1"/>
    <x v="1"/>
    <x v="2"/>
    <s v="CO₂"/>
    <n v="2524.56"/>
  </r>
  <r>
    <s v="F146"/>
    <x v="2"/>
    <x v="3"/>
    <x v="0"/>
    <s v="CO₂"/>
    <n v="1374.216095"/>
  </r>
  <r>
    <s v="F157"/>
    <x v="0"/>
    <x v="1"/>
    <x v="2"/>
    <s v="CH₄"/>
    <n v="3494.63"/>
  </r>
  <r>
    <s v="F015"/>
    <x v="4"/>
    <x v="1"/>
    <x v="0"/>
    <s v="N₂O"/>
    <n v="1436.9353590000001"/>
  </r>
  <r>
    <s v="F188"/>
    <x v="3"/>
    <x v="1"/>
    <x v="2"/>
    <s v="CH₄"/>
    <n v="1993.57"/>
  </r>
  <r>
    <s v="F027"/>
    <x v="4"/>
    <x v="0"/>
    <x v="1"/>
    <s v="CO₂"/>
    <n v="2563.0100000000002"/>
  </r>
  <r>
    <s v="F145"/>
    <x v="4"/>
    <x v="1"/>
    <x v="2"/>
    <s v="CH₄"/>
    <n v="3772.31"/>
  </r>
  <r>
    <s v="F051"/>
    <x v="4"/>
    <x v="0"/>
    <x v="2"/>
    <s v="CO₂"/>
    <n v="1624.65"/>
  </r>
  <r>
    <s v="F138"/>
    <x v="0"/>
    <x v="1"/>
    <x v="2"/>
    <s v="CH₄"/>
    <n v="4535.0200000000004"/>
  </r>
  <r>
    <s v="F004"/>
    <x v="0"/>
    <x v="1"/>
    <x v="0"/>
    <s v="N₂O"/>
    <n v="3532.2748670000001"/>
  </r>
  <r>
    <s v="F096"/>
    <x v="0"/>
    <x v="1"/>
    <x v="1"/>
    <s v="CO₂"/>
    <n v="2581.0300000000002"/>
  </r>
  <r>
    <s v="F020"/>
    <x v="2"/>
    <x v="3"/>
    <x v="0"/>
    <s v="CO₂"/>
    <n v="4518.3755819999997"/>
  </r>
  <r>
    <s v="F055"/>
    <x v="2"/>
    <x v="1"/>
    <x v="2"/>
    <s v="N₂O"/>
    <n v="4506.08"/>
  </r>
  <r>
    <s v="F113"/>
    <x v="3"/>
    <x v="0"/>
    <x v="0"/>
    <s v="CO₂"/>
    <n v="3055.5135620000001"/>
  </r>
  <r>
    <s v="F063"/>
    <x v="4"/>
    <x v="0"/>
    <x v="1"/>
    <s v="CO₂"/>
    <n v="1376.96"/>
  </r>
  <r>
    <s v="F054"/>
    <x v="3"/>
    <x v="0"/>
    <x v="0"/>
    <s v="CO₂"/>
    <n v="3798.946269"/>
  </r>
  <r>
    <s v="F033"/>
    <x v="0"/>
    <x v="0"/>
    <x v="2"/>
    <s v="CO₂"/>
    <n v="1881.41"/>
  </r>
  <r>
    <s v="F145"/>
    <x v="4"/>
    <x v="3"/>
    <x v="1"/>
    <s v="N₂O"/>
    <n v="1308.54"/>
  </r>
  <r>
    <s v="F056"/>
    <x v="4"/>
    <x v="1"/>
    <x v="2"/>
    <s v="CO₂"/>
    <n v="706.73"/>
  </r>
  <r>
    <s v="F051"/>
    <x v="4"/>
    <x v="2"/>
    <x v="0"/>
    <s v="N₂O"/>
    <n v="3595.4041010000001"/>
  </r>
  <r>
    <s v="F167"/>
    <x v="2"/>
    <x v="2"/>
    <x v="1"/>
    <s v="CH₄"/>
    <n v="1990.59"/>
  </r>
  <r>
    <s v="F112"/>
    <x v="4"/>
    <x v="0"/>
    <x v="0"/>
    <s v="N₂O"/>
    <n v="4212.5026310000003"/>
  </r>
  <r>
    <s v="F030"/>
    <x v="0"/>
    <x v="0"/>
    <x v="0"/>
    <s v="CO₂"/>
    <n v="2388.243219"/>
  </r>
  <r>
    <s v="F181"/>
    <x v="3"/>
    <x v="3"/>
    <x v="0"/>
    <s v="N₂O"/>
    <n v="318.91989990000002"/>
  </r>
  <r>
    <s v="F107"/>
    <x v="2"/>
    <x v="1"/>
    <x v="1"/>
    <s v="CH₄"/>
    <n v="365.96"/>
  </r>
  <r>
    <s v="F105"/>
    <x v="0"/>
    <x v="3"/>
    <x v="2"/>
    <s v="CH₄"/>
    <n v="1353.72"/>
  </r>
  <r>
    <s v="F141"/>
    <x v="1"/>
    <x v="3"/>
    <x v="1"/>
    <s v="N₂O"/>
    <n v="3026.73"/>
  </r>
  <r>
    <s v="F138"/>
    <x v="0"/>
    <x v="1"/>
    <x v="1"/>
    <s v="CH₄"/>
    <n v="4344.96"/>
  </r>
  <r>
    <s v="F027"/>
    <x v="4"/>
    <x v="0"/>
    <x v="0"/>
    <s v="CH₄"/>
    <n v="2412.9017549999999"/>
  </r>
  <r>
    <s v="F064"/>
    <x v="1"/>
    <x v="1"/>
    <x v="2"/>
    <s v="N₂O"/>
    <n v="4239.84"/>
  </r>
  <r>
    <s v="F157"/>
    <x v="0"/>
    <x v="1"/>
    <x v="0"/>
    <s v="CO₂"/>
    <n v="3759.010796"/>
  </r>
  <r>
    <s v="F062"/>
    <x v="2"/>
    <x v="2"/>
    <x v="1"/>
    <s v="CH₄"/>
    <n v="3558.82"/>
  </r>
  <r>
    <s v="F083"/>
    <x v="2"/>
    <x v="1"/>
    <x v="2"/>
    <s v="CO₂"/>
    <n v="2610.12"/>
  </r>
  <r>
    <s v="F011"/>
    <x v="4"/>
    <x v="3"/>
    <x v="2"/>
    <s v="CH₄"/>
    <n v="2651.33"/>
  </r>
  <r>
    <s v="F071"/>
    <x v="4"/>
    <x v="2"/>
    <x v="2"/>
    <s v="N₂O"/>
    <n v="1018.53"/>
  </r>
  <r>
    <s v="F064"/>
    <x v="1"/>
    <x v="2"/>
    <x v="0"/>
    <s v="CO₂"/>
    <n v="503.93"/>
  </r>
  <r>
    <s v="F120"/>
    <x v="4"/>
    <x v="1"/>
    <x v="0"/>
    <s v="CH₄"/>
    <n v="3013.4457640000001"/>
  </r>
  <r>
    <s v="F044"/>
    <x v="1"/>
    <x v="1"/>
    <x v="2"/>
    <s v="CH₄"/>
    <n v="1639.95"/>
  </r>
  <r>
    <s v="F053"/>
    <x v="0"/>
    <x v="2"/>
    <x v="1"/>
    <s v="N₂O"/>
    <n v="4092.48"/>
  </r>
  <r>
    <s v="F035"/>
    <x v="4"/>
    <x v="1"/>
    <x v="1"/>
    <s v="CO₂"/>
    <n v="730.62"/>
  </r>
  <r>
    <s v="F143"/>
    <x v="1"/>
    <x v="0"/>
    <x v="0"/>
    <s v="N₂O"/>
    <n v="5247.8932150000001"/>
  </r>
  <r>
    <s v="F129"/>
    <x v="1"/>
    <x v="3"/>
    <x v="1"/>
    <s v="N₂O"/>
    <n v="2947.53"/>
  </r>
  <r>
    <s v="F072"/>
    <x v="2"/>
    <x v="0"/>
    <x v="2"/>
    <s v="N₂O"/>
    <n v="571.92999999999995"/>
  </r>
  <r>
    <s v="F031"/>
    <x v="3"/>
    <x v="0"/>
    <x v="0"/>
    <s v="CO₂"/>
    <n v="4065.7376650000001"/>
  </r>
  <r>
    <s v="F139"/>
    <x v="0"/>
    <x v="0"/>
    <x v="0"/>
    <s v="CH₄"/>
    <n v="1983.30376"/>
  </r>
  <r>
    <s v="F047"/>
    <x v="0"/>
    <x v="3"/>
    <x v="1"/>
    <s v="N₂O"/>
    <n v="3226.08"/>
  </r>
  <r>
    <s v="F027"/>
    <x v="4"/>
    <x v="0"/>
    <x v="0"/>
    <s v="CO₂"/>
    <n v="885.44218950000004"/>
  </r>
  <r>
    <s v="F029"/>
    <x v="4"/>
    <x v="1"/>
    <x v="1"/>
    <s v="CO₂"/>
    <n v="3998.24"/>
  </r>
  <r>
    <s v="F113"/>
    <x v="3"/>
    <x v="2"/>
    <x v="1"/>
    <s v="CO₂"/>
    <n v="2639.81"/>
  </r>
  <r>
    <s v="F187"/>
    <x v="2"/>
    <x v="3"/>
    <x v="1"/>
    <s v="CH₄"/>
    <n v="2835.04"/>
  </r>
  <r>
    <s v="F158"/>
    <x v="3"/>
    <x v="2"/>
    <x v="1"/>
    <s v="CH₄"/>
    <n v="2182.6999999999998"/>
  </r>
  <r>
    <s v="F173"/>
    <x v="1"/>
    <x v="1"/>
    <x v="2"/>
    <s v="CH₄"/>
    <n v="3507.39"/>
  </r>
  <r>
    <s v="F040"/>
    <x v="0"/>
    <x v="1"/>
    <x v="1"/>
    <s v="N₂O"/>
    <n v="4743.79"/>
  </r>
  <r>
    <s v="F020"/>
    <x v="2"/>
    <x v="1"/>
    <x v="2"/>
    <s v="CH₄"/>
    <n v="2798.51"/>
  </r>
  <r>
    <s v="F138"/>
    <x v="0"/>
    <x v="0"/>
    <x v="1"/>
    <s v="CO₂"/>
    <n v="2111.5100000000002"/>
  </r>
  <r>
    <s v="F018"/>
    <x v="4"/>
    <x v="0"/>
    <x v="2"/>
    <s v="CO₂"/>
    <n v="440.45"/>
  </r>
  <r>
    <s v="F084"/>
    <x v="3"/>
    <x v="1"/>
    <x v="1"/>
    <s v="CO₂"/>
    <n v="2532.06"/>
  </r>
  <r>
    <s v="F116"/>
    <x v="2"/>
    <x v="1"/>
    <x v="0"/>
    <s v="CO₂"/>
    <n v="3682.33"/>
  </r>
  <r>
    <s v="F003"/>
    <x v="3"/>
    <x v="2"/>
    <x v="2"/>
    <s v="CO₂"/>
    <n v="1546.78"/>
  </r>
  <r>
    <s v="F053"/>
    <x v="0"/>
    <x v="2"/>
    <x v="2"/>
    <s v="CO₂"/>
    <n v="2135.9699999999998"/>
  </r>
  <r>
    <s v="F011"/>
    <x v="4"/>
    <x v="1"/>
    <x v="2"/>
    <s v="CH₄"/>
    <n v="1344"/>
  </r>
  <r>
    <s v="F083"/>
    <x v="2"/>
    <x v="2"/>
    <x v="2"/>
    <s v="CH₄"/>
    <n v="1009.35"/>
  </r>
  <r>
    <s v="F120"/>
    <x v="4"/>
    <x v="0"/>
    <x v="2"/>
    <s v="N₂O"/>
    <n v="1620.64"/>
  </r>
  <r>
    <s v="F063"/>
    <x v="4"/>
    <x v="3"/>
    <x v="1"/>
    <s v="CH₄"/>
    <n v="3874.19"/>
  </r>
  <r>
    <s v="F176"/>
    <x v="4"/>
    <x v="0"/>
    <x v="2"/>
    <s v="CO₂"/>
    <n v="3045.93"/>
  </r>
  <r>
    <s v="F074"/>
    <x v="1"/>
    <x v="0"/>
    <x v="2"/>
    <s v="N₂O"/>
    <n v="1476.28"/>
  </r>
  <r>
    <s v="F199"/>
    <x v="0"/>
    <x v="2"/>
    <x v="0"/>
    <s v="CO₂"/>
    <n v="3862.2531779999999"/>
  </r>
  <r>
    <s v="F116"/>
    <x v="2"/>
    <x v="1"/>
    <x v="1"/>
    <s v="N₂O"/>
    <n v="2517.98"/>
  </r>
  <r>
    <s v="F069"/>
    <x v="4"/>
    <x v="2"/>
    <x v="1"/>
    <s v="CH₄"/>
    <n v="3737.89"/>
  </r>
  <r>
    <s v="F009"/>
    <x v="0"/>
    <x v="1"/>
    <x v="1"/>
    <s v="CH₄"/>
    <n v="1111.82"/>
  </r>
  <r>
    <s v="F054"/>
    <x v="3"/>
    <x v="2"/>
    <x v="1"/>
    <s v="N₂O"/>
    <n v="4547.9799999999996"/>
  </r>
  <r>
    <s v="F180"/>
    <x v="2"/>
    <x v="1"/>
    <x v="0"/>
    <s v="N₂O"/>
    <n v="5035.8731600000001"/>
  </r>
  <r>
    <s v="F061"/>
    <x v="1"/>
    <x v="0"/>
    <x v="1"/>
    <s v="CO₂"/>
    <n v="666.62"/>
  </r>
  <r>
    <s v="F144"/>
    <x v="2"/>
    <x v="0"/>
    <x v="2"/>
    <s v="N₂O"/>
    <n v="4848.67"/>
  </r>
  <r>
    <s v="F098"/>
    <x v="4"/>
    <x v="1"/>
    <x v="2"/>
    <s v="N₂O"/>
    <n v="965.26"/>
  </r>
  <r>
    <s v="F031"/>
    <x v="3"/>
    <x v="3"/>
    <x v="0"/>
    <s v="N₂O"/>
    <n v="3352.8806140000002"/>
  </r>
  <r>
    <s v="F163"/>
    <x v="1"/>
    <x v="2"/>
    <x v="0"/>
    <s v="N₂O"/>
    <n v="3960.6895800000002"/>
  </r>
  <r>
    <s v="F035"/>
    <x v="4"/>
    <x v="0"/>
    <x v="2"/>
    <s v="N₂O"/>
    <n v="4162.58"/>
  </r>
  <r>
    <s v="F183"/>
    <x v="3"/>
    <x v="1"/>
    <x v="2"/>
    <s v="N₂O"/>
    <n v="3555.25"/>
  </r>
  <r>
    <s v="F173"/>
    <x v="1"/>
    <x v="3"/>
    <x v="0"/>
    <s v="N₂O"/>
    <n v="4585.8885039999996"/>
  </r>
  <r>
    <s v="F128"/>
    <x v="2"/>
    <x v="0"/>
    <x v="0"/>
    <s v="N₂O"/>
    <n v="875.52542779999999"/>
  </r>
  <r>
    <s v="F123"/>
    <x v="1"/>
    <x v="0"/>
    <x v="0"/>
    <s v="N₂O"/>
    <n v="3686.6816829999998"/>
  </r>
  <r>
    <s v="F122"/>
    <x v="4"/>
    <x v="0"/>
    <x v="1"/>
    <s v="N₂O"/>
    <n v="2899.46"/>
  </r>
  <r>
    <s v="F025"/>
    <x v="4"/>
    <x v="2"/>
    <x v="2"/>
    <s v="CO₂"/>
    <n v="429.01"/>
  </r>
  <r>
    <s v="F128"/>
    <x v="2"/>
    <x v="1"/>
    <x v="0"/>
    <s v="CH₄"/>
    <n v="1770.1852530000001"/>
  </r>
  <r>
    <s v="F019"/>
    <x v="0"/>
    <x v="2"/>
    <x v="2"/>
    <s v="CO₂"/>
    <n v="2143.0300000000002"/>
  </r>
  <r>
    <s v="F166"/>
    <x v="3"/>
    <x v="0"/>
    <x v="1"/>
    <s v="CO₂"/>
    <n v="81.83"/>
  </r>
  <r>
    <s v="F116"/>
    <x v="2"/>
    <x v="2"/>
    <x v="0"/>
    <s v="N₂O"/>
    <n v="2577.6"/>
  </r>
  <r>
    <s v="F074"/>
    <x v="1"/>
    <x v="0"/>
    <x v="0"/>
    <s v="CO₂"/>
    <n v="5027.8617039999999"/>
  </r>
  <r>
    <s v="F148"/>
    <x v="1"/>
    <x v="2"/>
    <x v="2"/>
    <s v="CO₂"/>
    <n v="3269.61"/>
  </r>
  <r>
    <s v="F123"/>
    <x v="1"/>
    <x v="1"/>
    <x v="0"/>
    <s v="CH₄"/>
    <n v="3769.6593710000002"/>
  </r>
  <r>
    <s v="F011"/>
    <x v="4"/>
    <x v="2"/>
    <x v="1"/>
    <s v="CH₄"/>
    <n v="3970.3"/>
  </r>
  <r>
    <s v="F167"/>
    <x v="2"/>
    <x v="2"/>
    <x v="1"/>
    <s v="CH₄"/>
    <n v="2665.16"/>
  </r>
  <r>
    <s v="F200"/>
    <x v="1"/>
    <x v="2"/>
    <x v="1"/>
    <s v="N₂O"/>
    <n v="374.88"/>
  </r>
  <r>
    <s v="F165"/>
    <x v="4"/>
    <x v="1"/>
    <x v="0"/>
    <s v="CH₄"/>
    <n v="1106.076894"/>
  </r>
  <r>
    <s v="F146"/>
    <x v="2"/>
    <x v="0"/>
    <x v="0"/>
    <s v="CO₂"/>
    <n v="2876.4781170000001"/>
  </r>
  <r>
    <s v="F190"/>
    <x v="0"/>
    <x v="3"/>
    <x v="1"/>
    <s v="N₂O"/>
    <n v="4394.3599999999997"/>
  </r>
  <r>
    <s v="F136"/>
    <x v="1"/>
    <x v="3"/>
    <x v="2"/>
    <s v="CH₄"/>
    <n v="3682.56"/>
  </r>
  <r>
    <s v="F138"/>
    <x v="0"/>
    <x v="2"/>
    <x v="1"/>
    <s v="N₂O"/>
    <n v="2576.87"/>
  </r>
  <r>
    <s v="F188"/>
    <x v="3"/>
    <x v="2"/>
    <x v="1"/>
    <s v="CO₂"/>
    <n v="4625.6000000000004"/>
  </r>
  <r>
    <s v="F157"/>
    <x v="0"/>
    <x v="2"/>
    <x v="1"/>
    <s v="N₂O"/>
    <n v="3554.21"/>
  </r>
  <r>
    <s v="F040"/>
    <x v="0"/>
    <x v="3"/>
    <x v="1"/>
    <s v="N₂O"/>
    <n v="2525.88"/>
  </r>
  <r>
    <s v="F197"/>
    <x v="2"/>
    <x v="0"/>
    <x v="0"/>
    <s v="CO₂"/>
    <n v="2134.7955550000001"/>
  </r>
  <r>
    <s v="F126"/>
    <x v="2"/>
    <x v="3"/>
    <x v="2"/>
    <s v="CH₄"/>
    <n v="798.55"/>
  </r>
  <r>
    <s v="F146"/>
    <x v="2"/>
    <x v="0"/>
    <x v="2"/>
    <s v="N₂O"/>
    <n v="4426.58"/>
  </r>
  <r>
    <s v="F196"/>
    <x v="4"/>
    <x v="3"/>
    <x v="1"/>
    <s v="CO₂"/>
    <n v="2921.55"/>
  </r>
  <r>
    <s v="F111"/>
    <x v="3"/>
    <x v="3"/>
    <x v="1"/>
    <s v="N₂O"/>
    <n v="1534.55"/>
  </r>
  <r>
    <s v="F021"/>
    <x v="1"/>
    <x v="1"/>
    <x v="0"/>
    <s v="CO₂"/>
    <n v="3062.3459630000002"/>
  </r>
  <r>
    <s v="F035"/>
    <x v="4"/>
    <x v="0"/>
    <x v="0"/>
    <s v="CO₂"/>
    <n v="1828.37"/>
  </r>
  <r>
    <s v="F098"/>
    <x v="4"/>
    <x v="0"/>
    <x v="0"/>
    <s v="CO₂"/>
    <n v="2945.0437750000001"/>
  </r>
  <r>
    <s v="F025"/>
    <x v="4"/>
    <x v="3"/>
    <x v="2"/>
    <s v="CH₄"/>
    <n v="2905.61"/>
  </r>
  <r>
    <s v="F187"/>
    <x v="2"/>
    <x v="2"/>
    <x v="2"/>
    <s v="N₂O"/>
    <n v="3354.34"/>
  </r>
  <r>
    <s v="F055"/>
    <x v="2"/>
    <x v="2"/>
    <x v="1"/>
    <s v="CH₄"/>
    <n v="4622.8599999999997"/>
  </r>
  <r>
    <s v="F078"/>
    <x v="0"/>
    <x v="1"/>
    <x v="0"/>
    <s v="N₂O"/>
    <n v="4374"/>
  </r>
  <r>
    <s v="F027"/>
    <x v="4"/>
    <x v="3"/>
    <x v="2"/>
    <s v="CH₄"/>
    <n v="1375.43"/>
  </r>
  <r>
    <s v="F072"/>
    <x v="2"/>
    <x v="0"/>
    <x v="0"/>
    <s v="N₂O"/>
    <n v="4136.8180979999997"/>
  </r>
  <r>
    <s v="F082"/>
    <x v="0"/>
    <x v="1"/>
    <x v="0"/>
    <s v="CH₄"/>
    <n v="2988.4606469999999"/>
  </r>
  <r>
    <s v="F015"/>
    <x v="4"/>
    <x v="2"/>
    <x v="0"/>
    <s v="CO₂"/>
    <n v="724.73842969999998"/>
  </r>
  <r>
    <s v="F135"/>
    <x v="3"/>
    <x v="0"/>
    <x v="2"/>
    <s v="CO₂"/>
    <n v="4727.37"/>
  </r>
  <r>
    <s v="F067"/>
    <x v="1"/>
    <x v="1"/>
    <x v="2"/>
    <s v="N₂O"/>
    <n v="78.44"/>
  </r>
  <r>
    <s v="F141"/>
    <x v="1"/>
    <x v="0"/>
    <x v="1"/>
    <s v="N₂O"/>
    <n v="4289.21"/>
  </r>
  <r>
    <s v="F163"/>
    <x v="1"/>
    <x v="3"/>
    <x v="1"/>
    <s v="CO₂"/>
    <n v="1666.98"/>
  </r>
  <r>
    <s v="F194"/>
    <x v="3"/>
    <x v="1"/>
    <x v="1"/>
    <s v="CO₂"/>
    <n v="1277.3399999999999"/>
  </r>
  <r>
    <s v="F145"/>
    <x v="4"/>
    <x v="1"/>
    <x v="2"/>
    <s v="N₂O"/>
    <n v="371.36"/>
  </r>
  <r>
    <s v="F083"/>
    <x v="2"/>
    <x v="1"/>
    <x v="0"/>
    <s v="CO₂"/>
    <n v="4247.1697489999997"/>
  </r>
  <r>
    <s v="F053"/>
    <x v="0"/>
    <x v="1"/>
    <x v="1"/>
    <s v="CO₂"/>
    <n v="3150.39"/>
  </r>
  <r>
    <s v="F014"/>
    <x v="2"/>
    <x v="1"/>
    <x v="0"/>
    <s v="CO₂"/>
    <n v="3071.4404570000002"/>
  </r>
  <r>
    <s v="F026"/>
    <x v="2"/>
    <x v="1"/>
    <x v="1"/>
    <s v="CO₂"/>
    <n v="341.64"/>
  </r>
  <r>
    <s v="F045"/>
    <x v="0"/>
    <x v="1"/>
    <x v="2"/>
    <s v="N₂O"/>
    <n v="4075.39"/>
  </r>
  <r>
    <s v="F155"/>
    <x v="2"/>
    <x v="0"/>
    <x v="2"/>
    <s v="N₂O"/>
    <n v="4062.72"/>
  </r>
  <r>
    <s v="F077"/>
    <x v="4"/>
    <x v="1"/>
    <x v="2"/>
    <s v="CO₂"/>
    <n v="3930.54"/>
  </r>
  <r>
    <s v="F129"/>
    <x v="1"/>
    <x v="2"/>
    <x v="1"/>
    <s v="CH₄"/>
    <n v="1919.26"/>
  </r>
  <r>
    <s v="F049"/>
    <x v="0"/>
    <x v="1"/>
    <x v="1"/>
    <s v="CH₄"/>
    <n v="3554.23"/>
  </r>
  <r>
    <s v="F102"/>
    <x v="1"/>
    <x v="1"/>
    <x v="0"/>
    <s v="N₂O"/>
    <n v="493.58"/>
  </r>
  <r>
    <s v="F193"/>
    <x v="1"/>
    <x v="2"/>
    <x v="0"/>
    <s v="CH₄"/>
    <n v="2362.1602800000001"/>
  </r>
  <r>
    <s v="F058"/>
    <x v="1"/>
    <x v="1"/>
    <x v="1"/>
    <s v="CO₂"/>
    <n v="984.26"/>
  </r>
  <r>
    <s v="F177"/>
    <x v="3"/>
    <x v="2"/>
    <x v="2"/>
    <s v="N₂O"/>
    <n v="2223.0500000000002"/>
  </r>
  <r>
    <s v="F042"/>
    <x v="1"/>
    <x v="3"/>
    <x v="0"/>
    <s v="N₂O"/>
    <n v="2498.8473060000001"/>
  </r>
  <r>
    <s v="F158"/>
    <x v="3"/>
    <x v="0"/>
    <x v="0"/>
    <s v="CH₄"/>
    <n v="857.66462850000005"/>
  </r>
  <r>
    <s v="F100"/>
    <x v="0"/>
    <x v="0"/>
    <x v="1"/>
    <s v="CO₂"/>
    <n v="2079.4"/>
  </r>
  <r>
    <s v="F057"/>
    <x v="1"/>
    <x v="1"/>
    <x v="2"/>
    <s v="CO₂"/>
    <n v="2644.71"/>
  </r>
  <r>
    <s v="F064"/>
    <x v="1"/>
    <x v="0"/>
    <x v="1"/>
    <s v="CO₂"/>
    <n v="813.42"/>
  </r>
  <r>
    <s v="F186"/>
    <x v="4"/>
    <x v="2"/>
    <x v="0"/>
    <s v="CO₂"/>
    <n v="1500.741311"/>
  </r>
  <r>
    <s v="F199"/>
    <x v="0"/>
    <x v="3"/>
    <x v="1"/>
    <s v="N₂O"/>
    <n v="2099.7800000000002"/>
  </r>
  <r>
    <s v="F053"/>
    <x v="0"/>
    <x v="1"/>
    <x v="0"/>
    <s v="CH₄"/>
    <n v="3573.184213"/>
  </r>
  <r>
    <s v="F070"/>
    <x v="2"/>
    <x v="2"/>
    <x v="0"/>
    <s v="CO₂"/>
    <n v="3666.976435"/>
  </r>
  <r>
    <s v="F166"/>
    <x v="3"/>
    <x v="1"/>
    <x v="2"/>
    <s v="CO₂"/>
    <n v="4772.12"/>
  </r>
  <r>
    <s v="F073"/>
    <x v="3"/>
    <x v="2"/>
    <x v="0"/>
    <s v="N₂O"/>
    <n v="4691.37"/>
  </r>
  <r>
    <s v="F038"/>
    <x v="4"/>
    <x v="2"/>
    <x v="1"/>
    <s v="CO₂"/>
    <n v="2731.04"/>
  </r>
  <r>
    <s v="F060"/>
    <x v="4"/>
    <x v="0"/>
    <x v="1"/>
    <s v="N₂O"/>
    <n v="3020.79"/>
  </r>
  <r>
    <s v="F131"/>
    <x v="4"/>
    <x v="3"/>
    <x v="2"/>
    <s v="N₂O"/>
    <n v="1086.79"/>
  </r>
  <r>
    <s v="F125"/>
    <x v="1"/>
    <x v="2"/>
    <x v="0"/>
    <s v="N₂O"/>
    <n v="5115.1311139999998"/>
  </r>
  <r>
    <s v="F128"/>
    <x v="2"/>
    <x v="2"/>
    <x v="1"/>
    <s v="CH₄"/>
    <n v="2958.7"/>
  </r>
  <r>
    <s v="F071"/>
    <x v="4"/>
    <x v="2"/>
    <x v="0"/>
    <s v="CH₄"/>
    <n v="1571.969407"/>
  </r>
  <r>
    <s v="F009"/>
    <x v="0"/>
    <x v="1"/>
    <x v="2"/>
    <s v="CO₂"/>
    <n v="2745.85"/>
  </r>
  <r>
    <s v="F151"/>
    <x v="2"/>
    <x v="2"/>
    <x v="2"/>
    <s v="N₂O"/>
    <n v="1531"/>
  </r>
  <r>
    <s v="F146"/>
    <x v="2"/>
    <x v="0"/>
    <x v="0"/>
    <s v="CH₄"/>
    <n v="4709.8048410000001"/>
  </r>
  <r>
    <s v="F170"/>
    <x v="2"/>
    <x v="3"/>
    <x v="2"/>
    <s v="N₂O"/>
    <n v="830.08"/>
  </r>
  <r>
    <s v="F058"/>
    <x v="1"/>
    <x v="0"/>
    <x v="2"/>
    <s v="CO₂"/>
    <n v="4453.8999999999996"/>
  </r>
  <r>
    <s v="F181"/>
    <x v="3"/>
    <x v="1"/>
    <x v="2"/>
    <s v="N₂O"/>
    <n v="4791.93"/>
  </r>
  <r>
    <s v="F062"/>
    <x v="2"/>
    <x v="1"/>
    <x v="0"/>
    <s v="CH₄"/>
    <n v="2280.109602"/>
  </r>
  <r>
    <s v="F108"/>
    <x v="3"/>
    <x v="3"/>
    <x v="0"/>
    <s v="N₂O"/>
    <n v="4839.8084959999996"/>
  </r>
  <r>
    <s v="F196"/>
    <x v="4"/>
    <x v="1"/>
    <x v="1"/>
    <s v="N₂O"/>
    <n v="506.81"/>
  </r>
  <r>
    <s v="F194"/>
    <x v="3"/>
    <x v="1"/>
    <x v="0"/>
    <s v="CO₂"/>
    <n v="3907.2413280000001"/>
  </r>
  <r>
    <s v="F180"/>
    <x v="2"/>
    <x v="1"/>
    <x v="0"/>
    <s v="CO₂"/>
    <n v="2483.820612"/>
  </r>
  <r>
    <s v="F116"/>
    <x v="2"/>
    <x v="2"/>
    <x v="2"/>
    <s v="CH₄"/>
    <n v="139.57"/>
  </r>
  <r>
    <s v="F066"/>
    <x v="4"/>
    <x v="1"/>
    <x v="0"/>
    <s v="CO₂"/>
    <n v="2912.6626670000001"/>
  </r>
  <r>
    <s v="F061"/>
    <x v="1"/>
    <x v="3"/>
    <x v="1"/>
    <s v="CO₂"/>
    <n v="479.83"/>
  </r>
  <r>
    <s v="F145"/>
    <x v="4"/>
    <x v="3"/>
    <x v="0"/>
    <s v="CO₂"/>
    <n v="5275.2422539999998"/>
  </r>
  <r>
    <s v="F128"/>
    <x v="2"/>
    <x v="0"/>
    <x v="1"/>
    <s v="CO₂"/>
    <n v="3515.66"/>
  </r>
  <r>
    <s v="F064"/>
    <x v="1"/>
    <x v="3"/>
    <x v="0"/>
    <s v="CO₂"/>
    <n v="771.45"/>
  </r>
  <r>
    <s v="F185"/>
    <x v="0"/>
    <x v="3"/>
    <x v="2"/>
    <s v="CO₂"/>
    <n v="705.84"/>
  </r>
  <r>
    <s v="F007"/>
    <x v="4"/>
    <x v="2"/>
    <x v="0"/>
    <s v="CH₄"/>
    <n v="3398.71"/>
  </r>
  <r>
    <s v="F018"/>
    <x v="4"/>
    <x v="3"/>
    <x v="2"/>
    <s v="N₂O"/>
    <n v="2433.0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F088"/>
    <x v="0"/>
    <x v="0"/>
    <x v="0"/>
    <x v="0"/>
    <n v="2435.5974080000001"/>
    <n v="77330"/>
    <n v="6936.58"/>
    <n v="82.3"/>
  </r>
  <r>
    <s v="F021"/>
    <x v="1"/>
    <x v="1"/>
    <x v="1"/>
    <x v="1"/>
    <n v="835.45"/>
    <n v="44657"/>
    <n v="7867.98"/>
    <n v="96.01"/>
  </r>
  <r>
    <s v="F107"/>
    <x v="2"/>
    <x v="1"/>
    <x v="1"/>
    <x v="1"/>
    <n v="3430.45"/>
    <n v="43512"/>
    <n v="5352.18"/>
    <n v="6.17"/>
  </r>
  <r>
    <s v="F106"/>
    <x v="3"/>
    <x v="0"/>
    <x v="1"/>
    <x v="1"/>
    <n v="4214.24"/>
    <n v="98682"/>
    <n v="6220.56"/>
    <n v="70.099999999999994"/>
  </r>
  <r>
    <s v="F090"/>
    <x v="2"/>
    <x v="1"/>
    <x v="0"/>
    <x v="0"/>
    <n v="605.59354689999998"/>
    <n v="29895"/>
    <n v="1631.08"/>
    <n v="39.93"/>
  </r>
  <r>
    <s v="F158"/>
    <x v="3"/>
    <x v="1"/>
    <x v="1"/>
    <x v="0"/>
    <n v="656.33"/>
    <n v="61157"/>
    <n v="7331.54"/>
    <n v="55.52"/>
  </r>
  <r>
    <s v="F023"/>
    <x v="1"/>
    <x v="2"/>
    <x v="0"/>
    <x v="2"/>
    <n v="4455.9340899999997"/>
    <n v="47484"/>
    <n v="3396.39"/>
    <n v="19.510000000000002"/>
  </r>
  <r>
    <s v="F153"/>
    <x v="3"/>
    <x v="1"/>
    <x v="0"/>
    <x v="0"/>
    <n v="660.19753639999999"/>
    <n v="95306"/>
    <n v="9037.76"/>
    <n v="13.35"/>
  </r>
  <r>
    <s v="F079"/>
    <x v="2"/>
    <x v="2"/>
    <x v="0"/>
    <x v="0"/>
    <n v="1883.3043130000001"/>
    <n v="17311"/>
    <n v="2257.38"/>
    <n v="91.07"/>
  </r>
  <r>
    <s v="F065"/>
    <x v="1"/>
    <x v="0"/>
    <x v="2"/>
    <x v="2"/>
    <n v="221.01"/>
    <n v="91031"/>
    <n v="1783.57"/>
    <n v="32.049999999999997"/>
  </r>
  <r>
    <s v="F025"/>
    <x v="4"/>
    <x v="0"/>
    <x v="2"/>
    <x v="0"/>
    <n v="4737.0600000000004"/>
    <n v="32131"/>
    <n v="1474.23"/>
    <n v="45.47"/>
  </r>
  <r>
    <s v="F104"/>
    <x v="4"/>
    <x v="0"/>
    <x v="0"/>
    <x v="2"/>
    <n v="1951.279029"/>
    <n v="84851"/>
    <n v="560.75"/>
    <n v="80.23"/>
  </r>
  <r>
    <s v="F137"/>
    <x v="0"/>
    <x v="1"/>
    <x v="2"/>
    <x v="0"/>
    <n v="4320.1099999999997"/>
    <n v="10933"/>
    <n v="9004.3700000000008"/>
    <n v="26.84"/>
  </r>
  <r>
    <s v="F158"/>
    <x v="3"/>
    <x v="0"/>
    <x v="2"/>
    <x v="1"/>
    <n v="2179.33"/>
    <n v="61157"/>
    <n v="7331.54"/>
    <n v="55.52"/>
  </r>
  <r>
    <s v="F101"/>
    <x v="3"/>
    <x v="3"/>
    <x v="1"/>
    <x v="0"/>
    <n v="3612.19"/>
    <n v="65719"/>
    <n v="9362.41"/>
    <n v="86.55"/>
  </r>
  <r>
    <s v="F194"/>
    <x v="3"/>
    <x v="0"/>
    <x v="2"/>
    <x v="2"/>
    <n v="1270.3599999999999"/>
    <n v="42382"/>
    <n v="5116.6899999999996"/>
    <n v="80.42"/>
  </r>
  <r>
    <s v="F057"/>
    <x v="1"/>
    <x v="2"/>
    <x v="2"/>
    <x v="0"/>
    <n v="1630.06"/>
    <n v="40226"/>
    <n v="7868.86"/>
    <n v="80.53"/>
  </r>
  <r>
    <s v="F017"/>
    <x v="2"/>
    <x v="3"/>
    <x v="0"/>
    <x v="2"/>
    <n v="3063.6059129999999"/>
    <n v="71747"/>
    <n v="9838.66"/>
    <n v="7.25"/>
  </r>
  <r>
    <s v="F120"/>
    <x v="4"/>
    <x v="0"/>
    <x v="0"/>
    <x v="2"/>
    <n v="2447.4218510000001"/>
    <n v="57215"/>
    <n v="3227.1"/>
    <n v="32.909999999999997"/>
  </r>
  <r>
    <s v="F139"/>
    <x v="0"/>
    <x v="1"/>
    <x v="2"/>
    <x v="2"/>
    <n v="4170.13"/>
    <n v="80904"/>
    <n v="3263.09"/>
    <n v="58.37"/>
  </r>
  <r>
    <s v="F166"/>
    <x v="3"/>
    <x v="2"/>
    <x v="0"/>
    <x v="1"/>
    <n v="2099.6404550000002"/>
    <n v="96474"/>
    <n v="7574.39"/>
    <n v="95.54"/>
  </r>
  <r>
    <s v="F005"/>
    <x v="4"/>
    <x v="2"/>
    <x v="2"/>
    <x v="1"/>
    <n v="3701.02"/>
    <n v="61743"/>
    <n v="7426.75"/>
    <n v="26.39"/>
  </r>
  <r>
    <s v="F060"/>
    <x v="4"/>
    <x v="2"/>
    <x v="2"/>
    <x v="0"/>
    <n v="1262.77"/>
    <n v="41539"/>
    <n v="982.8"/>
    <n v="79.7"/>
  </r>
  <r>
    <s v="F133"/>
    <x v="2"/>
    <x v="0"/>
    <x v="1"/>
    <x v="2"/>
    <n v="2741.92"/>
    <n v="41168"/>
    <n v="8226.77"/>
    <n v="42.55"/>
  </r>
  <r>
    <s v="F025"/>
    <x v="4"/>
    <x v="0"/>
    <x v="1"/>
    <x v="2"/>
    <n v="1824.14"/>
    <n v="32131"/>
    <n v="1474.23"/>
    <n v="45.47"/>
  </r>
  <r>
    <s v="F134"/>
    <x v="3"/>
    <x v="2"/>
    <x v="0"/>
    <x v="0"/>
    <n v="738.43863229999999"/>
    <n v="16256"/>
    <n v="2127.1799999999998"/>
    <n v="38.94"/>
  </r>
  <r>
    <s v="F030"/>
    <x v="0"/>
    <x v="1"/>
    <x v="0"/>
    <x v="1"/>
    <n v="2856.7613379999998"/>
    <n v="49924"/>
    <n v="2199.16"/>
    <n v="75.48"/>
  </r>
  <r>
    <s v="F091"/>
    <x v="4"/>
    <x v="1"/>
    <x v="1"/>
    <x v="2"/>
    <n v="1787.35"/>
    <n v="43490"/>
    <n v="9300.8799999999992"/>
    <n v="58.43"/>
  </r>
  <r>
    <s v="F002"/>
    <x v="4"/>
    <x v="2"/>
    <x v="0"/>
    <x v="1"/>
    <n v="5138.8326189999998"/>
    <n v="53661"/>
    <n v="6965.81"/>
    <n v="69.400000000000006"/>
  </r>
  <r>
    <s v="F121"/>
    <x v="3"/>
    <x v="0"/>
    <x v="0"/>
    <x v="0"/>
    <n v="5005.4416869999995"/>
    <n v="11952"/>
    <n v="4637.74"/>
    <n v="63.78"/>
  </r>
  <r>
    <s v="F008"/>
    <x v="3"/>
    <x v="2"/>
    <x v="2"/>
    <x v="2"/>
    <n v="4053.3"/>
    <n v="50306"/>
    <n v="7031.37"/>
    <n v="13.27"/>
  </r>
  <r>
    <s v="F198"/>
    <x v="3"/>
    <x v="2"/>
    <x v="2"/>
    <x v="2"/>
    <n v="280.72000000000003"/>
    <n v="40577"/>
    <n v="4280.82"/>
    <n v="79.88"/>
  </r>
  <r>
    <s v="F087"/>
    <x v="4"/>
    <x v="2"/>
    <x v="1"/>
    <x v="2"/>
    <n v="329.41"/>
    <n v="44164"/>
    <n v="3869.32"/>
    <n v="13.81"/>
  </r>
  <r>
    <s v="F175"/>
    <x v="3"/>
    <x v="1"/>
    <x v="1"/>
    <x v="1"/>
    <n v="4133.74"/>
    <n v="94949"/>
    <n v="9714.76"/>
    <n v="64.900000000000006"/>
  </r>
  <r>
    <s v="F100"/>
    <x v="0"/>
    <x v="3"/>
    <x v="2"/>
    <x v="1"/>
    <n v="2773.3"/>
    <n v="90632"/>
    <n v="5292.17"/>
    <n v="78.45"/>
  </r>
  <r>
    <s v="F042"/>
    <x v="1"/>
    <x v="1"/>
    <x v="0"/>
    <x v="0"/>
    <n v="3482.0777469999998"/>
    <n v="58111"/>
    <n v="4610.8999999999996"/>
    <n v="21.53"/>
  </r>
  <r>
    <s v="F173"/>
    <x v="1"/>
    <x v="3"/>
    <x v="0"/>
    <x v="0"/>
    <n v="1953.7073989999999"/>
    <n v="38181"/>
    <n v="691.84"/>
    <n v="33.53"/>
  </r>
  <r>
    <s v="F025"/>
    <x v="4"/>
    <x v="3"/>
    <x v="1"/>
    <x v="1"/>
    <n v="4444.76"/>
    <n v="32131"/>
    <n v="1474.23"/>
    <n v="45.47"/>
  </r>
  <r>
    <s v="F173"/>
    <x v="1"/>
    <x v="2"/>
    <x v="2"/>
    <x v="1"/>
    <n v="1836.99"/>
    <n v="38181"/>
    <n v="691.84"/>
    <n v="33.53"/>
  </r>
  <r>
    <s v="F012"/>
    <x v="3"/>
    <x v="0"/>
    <x v="1"/>
    <x v="1"/>
    <n v="793.9"/>
    <n v="43747"/>
    <n v="3453.48"/>
    <n v="98.78"/>
  </r>
  <r>
    <s v="F182"/>
    <x v="3"/>
    <x v="3"/>
    <x v="2"/>
    <x v="2"/>
    <n v="1445.28"/>
    <n v="41027"/>
    <n v="7285.85"/>
    <n v="59.87"/>
  </r>
  <r>
    <s v="F026"/>
    <x v="2"/>
    <x v="3"/>
    <x v="0"/>
    <x v="2"/>
    <n v="1246.728069"/>
    <n v="32246"/>
    <n v="7903.93"/>
    <n v="42.12"/>
  </r>
  <r>
    <s v="F093"/>
    <x v="2"/>
    <x v="3"/>
    <x v="1"/>
    <x v="0"/>
    <n v="527.16999999999996"/>
    <n v="15553"/>
    <n v="3909.51"/>
    <n v="46.44"/>
  </r>
  <r>
    <s v="F074"/>
    <x v="1"/>
    <x v="3"/>
    <x v="1"/>
    <x v="1"/>
    <n v="542.33000000000004"/>
    <n v="25148"/>
    <n v="9604.5499999999993"/>
    <n v="63.47"/>
  </r>
  <r>
    <s v="F024"/>
    <x v="4"/>
    <x v="3"/>
    <x v="2"/>
    <x v="2"/>
    <n v="636.07000000000005"/>
    <n v="95718"/>
    <n v="2443.12"/>
    <n v="35.49"/>
  </r>
  <r>
    <s v="F103"/>
    <x v="4"/>
    <x v="3"/>
    <x v="0"/>
    <x v="1"/>
    <n v="3898.1983740000001"/>
    <n v="22309"/>
    <n v="3656.29"/>
    <n v="75.25"/>
  </r>
  <r>
    <s v="F032"/>
    <x v="1"/>
    <x v="3"/>
    <x v="0"/>
    <x v="2"/>
    <n v="525.24931200000003"/>
    <n v="33688"/>
    <n v="9495.48"/>
    <n v="55.55"/>
  </r>
  <r>
    <s v="F077"/>
    <x v="4"/>
    <x v="0"/>
    <x v="1"/>
    <x v="1"/>
    <n v="1135.03"/>
    <n v="52836"/>
    <n v="9330.2999999999993"/>
    <n v="87.27"/>
  </r>
  <r>
    <s v="F017"/>
    <x v="2"/>
    <x v="2"/>
    <x v="0"/>
    <x v="2"/>
    <n v="1670.506361"/>
    <n v="71747"/>
    <n v="9838.66"/>
    <n v="7.25"/>
  </r>
  <r>
    <s v="F056"/>
    <x v="4"/>
    <x v="1"/>
    <x v="0"/>
    <x v="0"/>
    <n v="939.61298339999996"/>
    <n v="99026"/>
    <n v="5453.2"/>
    <n v="57.49"/>
  </r>
  <r>
    <s v="F008"/>
    <x v="3"/>
    <x v="3"/>
    <x v="2"/>
    <x v="0"/>
    <n v="1436.13"/>
    <n v="50306"/>
    <n v="7031.37"/>
    <n v="13.27"/>
  </r>
  <r>
    <s v="F172"/>
    <x v="4"/>
    <x v="3"/>
    <x v="0"/>
    <x v="2"/>
    <n v="3950.000207"/>
    <n v="98396"/>
    <n v="5174.07"/>
    <n v="63.38"/>
  </r>
  <r>
    <s v="F190"/>
    <x v="0"/>
    <x v="0"/>
    <x v="0"/>
    <x v="0"/>
    <n v="4777.7700000000004"/>
    <n v="70582"/>
    <n v="7517.59"/>
    <n v="95.71"/>
  </r>
  <r>
    <s v="F097"/>
    <x v="1"/>
    <x v="1"/>
    <x v="0"/>
    <x v="0"/>
    <n v="739.48049089999995"/>
    <n v="69100"/>
    <n v="9356.02"/>
    <n v="16.5"/>
  </r>
  <r>
    <s v="F045"/>
    <x v="0"/>
    <x v="2"/>
    <x v="1"/>
    <x v="0"/>
    <n v="2957.08"/>
    <n v="34725"/>
    <n v="3269.89"/>
    <n v="78.86"/>
  </r>
  <r>
    <s v="F181"/>
    <x v="3"/>
    <x v="1"/>
    <x v="2"/>
    <x v="2"/>
    <n v="4782.28"/>
    <n v="42485"/>
    <n v="4755.75"/>
    <n v="10.19"/>
  </r>
  <r>
    <s v="F100"/>
    <x v="0"/>
    <x v="3"/>
    <x v="1"/>
    <x v="1"/>
    <n v="3836.23"/>
    <n v="90632"/>
    <n v="5292.17"/>
    <n v="78.45"/>
  </r>
  <r>
    <s v="F019"/>
    <x v="0"/>
    <x v="1"/>
    <x v="2"/>
    <x v="0"/>
    <n v="4410.6400000000003"/>
    <n v="68018"/>
    <n v="3523.4"/>
    <n v="92.26"/>
  </r>
  <r>
    <s v="F181"/>
    <x v="3"/>
    <x v="3"/>
    <x v="2"/>
    <x v="2"/>
    <n v="1861.93"/>
    <n v="42485"/>
    <n v="4755.75"/>
    <n v="10.19"/>
  </r>
  <r>
    <s v="F115"/>
    <x v="3"/>
    <x v="0"/>
    <x v="1"/>
    <x v="0"/>
    <n v="3332.83"/>
    <n v="29318"/>
    <n v="9860.6200000000008"/>
    <n v="14.58"/>
  </r>
  <r>
    <s v="F086"/>
    <x v="4"/>
    <x v="3"/>
    <x v="2"/>
    <x v="2"/>
    <n v="2649.83"/>
    <n v="55974"/>
    <n v="7542.28"/>
    <n v="72.430000000000007"/>
  </r>
  <r>
    <s v="F162"/>
    <x v="3"/>
    <x v="0"/>
    <x v="1"/>
    <x v="2"/>
    <n v="3224.33"/>
    <n v="18175"/>
    <n v="8349.49"/>
    <n v="39.97"/>
  </r>
  <r>
    <s v="F023"/>
    <x v="1"/>
    <x v="2"/>
    <x v="0"/>
    <x v="0"/>
    <n v="881.21756679999999"/>
    <n v="47484"/>
    <n v="3396.39"/>
    <n v="19.510000000000002"/>
  </r>
  <r>
    <s v="F084"/>
    <x v="3"/>
    <x v="1"/>
    <x v="0"/>
    <x v="1"/>
    <n v="5563.319544"/>
    <n v="54136"/>
    <n v="2775.38"/>
    <n v="75.459999999999994"/>
  </r>
  <r>
    <s v="F197"/>
    <x v="2"/>
    <x v="3"/>
    <x v="2"/>
    <x v="2"/>
    <n v="2558.1799999999998"/>
    <n v="59617"/>
    <n v="5000.95"/>
    <n v="80.36"/>
  </r>
  <r>
    <s v="F186"/>
    <x v="4"/>
    <x v="2"/>
    <x v="0"/>
    <x v="0"/>
    <n v="2013.870322"/>
    <n v="61942"/>
    <n v="4891.32"/>
    <n v="91.59"/>
  </r>
  <r>
    <s v="F191"/>
    <x v="0"/>
    <x v="2"/>
    <x v="2"/>
    <x v="1"/>
    <n v="1752.18"/>
    <n v="86557"/>
    <n v="8631.2800000000007"/>
    <n v="69.53"/>
  </r>
  <r>
    <s v="F039"/>
    <x v="2"/>
    <x v="1"/>
    <x v="2"/>
    <x v="2"/>
    <n v="4152.92"/>
    <n v="40503"/>
    <n v="7447.46"/>
    <n v="98.27"/>
  </r>
  <r>
    <s v="F126"/>
    <x v="2"/>
    <x v="1"/>
    <x v="2"/>
    <x v="1"/>
    <n v="61.94"/>
    <n v="75508"/>
    <n v="6856.22"/>
    <n v="18.2"/>
  </r>
  <r>
    <s v="F172"/>
    <x v="4"/>
    <x v="3"/>
    <x v="0"/>
    <x v="1"/>
    <n v="4862.4353590000001"/>
    <n v="98396"/>
    <n v="5174.07"/>
    <n v="63.38"/>
  </r>
  <r>
    <s v="F044"/>
    <x v="1"/>
    <x v="2"/>
    <x v="0"/>
    <x v="0"/>
    <n v="1930.129142"/>
    <n v="93661"/>
    <n v="7324.58"/>
    <n v="23.55"/>
  </r>
  <r>
    <s v="F016"/>
    <x v="2"/>
    <x v="3"/>
    <x v="2"/>
    <x v="2"/>
    <n v="2818.75"/>
    <n v="93409"/>
    <n v="2375.83"/>
    <n v="5.83"/>
  </r>
  <r>
    <s v="F059"/>
    <x v="2"/>
    <x v="0"/>
    <x v="0"/>
    <x v="2"/>
    <n v="2368.6695920000002"/>
    <n v="30934"/>
    <n v="4175.6499999999996"/>
    <n v="77.290000000000006"/>
  </r>
  <r>
    <s v="F042"/>
    <x v="1"/>
    <x v="3"/>
    <x v="1"/>
    <x v="1"/>
    <n v="1533.98"/>
    <n v="58111"/>
    <n v="4610.8999999999996"/>
    <n v="21.53"/>
  </r>
  <r>
    <s v="F097"/>
    <x v="1"/>
    <x v="3"/>
    <x v="1"/>
    <x v="2"/>
    <n v="249.89"/>
    <n v="69100"/>
    <n v="9356.02"/>
    <n v="16.5"/>
  </r>
  <r>
    <s v="F196"/>
    <x v="4"/>
    <x v="1"/>
    <x v="0"/>
    <x v="1"/>
    <n v="4797.8755950000004"/>
    <n v="85444"/>
    <n v="852.57"/>
    <n v="72.650000000000006"/>
  </r>
  <r>
    <s v="F063"/>
    <x v="4"/>
    <x v="2"/>
    <x v="1"/>
    <x v="2"/>
    <n v="534.05999999999995"/>
    <n v="45519"/>
    <n v="7987.69"/>
    <n v="10.86"/>
  </r>
  <r>
    <s v="F135"/>
    <x v="3"/>
    <x v="1"/>
    <x v="1"/>
    <x v="0"/>
    <n v="4285.8999999999996"/>
    <n v="56531"/>
    <n v="8958.07"/>
    <n v="83.44"/>
  </r>
  <r>
    <s v="F193"/>
    <x v="1"/>
    <x v="3"/>
    <x v="2"/>
    <x v="0"/>
    <n v="1042.25"/>
    <n v="15333"/>
    <n v="2570.54"/>
    <n v="41.07"/>
  </r>
  <r>
    <s v="F068"/>
    <x v="0"/>
    <x v="3"/>
    <x v="0"/>
    <x v="2"/>
    <n v="1836.6851220000001"/>
    <n v="44825"/>
    <n v="6023.03"/>
    <n v="27.2"/>
  </r>
  <r>
    <s v="F161"/>
    <x v="2"/>
    <x v="1"/>
    <x v="2"/>
    <x v="1"/>
    <n v="3337.6"/>
    <n v="36171"/>
    <n v="6864.38"/>
    <n v="37.03"/>
  </r>
  <r>
    <s v="F137"/>
    <x v="0"/>
    <x v="3"/>
    <x v="1"/>
    <x v="1"/>
    <n v="2632.11"/>
    <n v="10933"/>
    <n v="9004.3700000000008"/>
    <n v="26.84"/>
  </r>
  <r>
    <s v="F037"/>
    <x v="3"/>
    <x v="2"/>
    <x v="2"/>
    <x v="2"/>
    <n v="2011.5"/>
    <n v="97337"/>
    <n v="3362.06"/>
    <n v="55.46"/>
  </r>
  <r>
    <s v="F022"/>
    <x v="4"/>
    <x v="2"/>
    <x v="2"/>
    <x v="1"/>
    <n v="724.26"/>
    <n v="20207"/>
    <n v="5369.46"/>
    <n v="57.51"/>
  </r>
  <r>
    <s v="F088"/>
    <x v="0"/>
    <x v="2"/>
    <x v="1"/>
    <x v="2"/>
    <n v="2373.2600000000002"/>
    <n v="77330"/>
    <n v="6936.58"/>
    <n v="82.3"/>
  </r>
  <r>
    <s v="F002"/>
    <x v="4"/>
    <x v="3"/>
    <x v="2"/>
    <x v="2"/>
    <n v="1440.9"/>
    <n v="53661"/>
    <n v="6965.81"/>
    <n v="69.400000000000006"/>
  </r>
  <r>
    <s v="F176"/>
    <x v="4"/>
    <x v="1"/>
    <x v="2"/>
    <x v="0"/>
    <n v="569.39"/>
    <n v="18726"/>
    <n v="5099.54"/>
    <n v="71.05"/>
  </r>
  <r>
    <s v="F133"/>
    <x v="2"/>
    <x v="2"/>
    <x v="1"/>
    <x v="2"/>
    <n v="1161.74"/>
    <n v="41168"/>
    <n v="8226.77"/>
    <n v="42.55"/>
  </r>
  <r>
    <s v="F017"/>
    <x v="2"/>
    <x v="0"/>
    <x v="0"/>
    <x v="2"/>
    <n v="4200.5000110000001"/>
    <n v="71747"/>
    <n v="9838.66"/>
    <n v="7.25"/>
  </r>
  <r>
    <s v="F173"/>
    <x v="1"/>
    <x v="0"/>
    <x v="1"/>
    <x v="1"/>
    <n v="2311.5500000000002"/>
    <n v="38181"/>
    <n v="691.84"/>
    <n v="33.53"/>
  </r>
  <r>
    <s v="F071"/>
    <x v="4"/>
    <x v="0"/>
    <x v="2"/>
    <x v="1"/>
    <n v="2116.64"/>
    <n v="26378"/>
    <n v="2915.44"/>
    <n v="29.84"/>
  </r>
  <r>
    <s v="F048"/>
    <x v="0"/>
    <x v="1"/>
    <x v="2"/>
    <x v="1"/>
    <n v="2833.88"/>
    <n v="26338"/>
    <n v="578.73"/>
    <n v="72.52"/>
  </r>
  <r>
    <s v="F027"/>
    <x v="4"/>
    <x v="0"/>
    <x v="2"/>
    <x v="0"/>
    <n v="2605.96"/>
    <n v="51800"/>
    <n v="3042.95"/>
    <n v="71.87"/>
  </r>
  <r>
    <s v="F045"/>
    <x v="0"/>
    <x v="3"/>
    <x v="0"/>
    <x v="2"/>
    <n v="532.45395829999995"/>
    <n v="34725"/>
    <n v="3269.89"/>
    <n v="78.86"/>
  </r>
  <r>
    <s v="F036"/>
    <x v="3"/>
    <x v="1"/>
    <x v="0"/>
    <x v="2"/>
    <n v="1876.9554659999999"/>
    <n v="53942"/>
    <n v="5904.31"/>
    <n v="32.78"/>
  </r>
  <r>
    <s v="F078"/>
    <x v="0"/>
    <x v="1"/>
    <x v="1"/>
    <x v="1"/>
    <n v="522.41"/>
    <n v="78624"/>
    <n v="2373.27"/>
    <n v="25.07"/>
  </r>
  <r>
    <s v="F073"/>
    <x v="3"/>
    <x v="2"/>
    <x v="0"/>
    <x v="0"/>
    <n v="4953.9799999999996"/>
    <n v="26170"/>
    <n v="8057.54"/>
    <n v="63.71"/>
  </r>
  <r>
    <s v="F127"/>
    <x v="3"/>
    <x v="1"/>
    <x v="0"/>
    <x v="1"/>
    <n v="2322.96"/>
    <n v="77400"/>
    <n v="7504.8"/>
    <n v="68.819999999999993"/>
  </r>
  <r>
    <s v="F126"/>
    <x v="2"/>
    <x v="3"/>
    <x v="2"/>
    <x v="2"/>
    <n v="4662.91"/>
    <n v="75508"/>
    <n v="6856.22"/>
    <n v="18.2"/>
  </r>
  <r>
    <s v="F082"/>
    <x v="0"/>
    <x v="2"/>
    <x v="2"/>
    <x v="2"/>
    <n v="1907.29"/>
    <n v="17468"/>
    <n v="6359.73"/>
    <n v="5.22"/>
  </r>
  <r>
    <s v="F108"/>
    <x v="3"/>
    <x v="1"/>
    <x v="0"/>
    <x v="1"/>
    <n v="1668.587237"/>
    <n v="39050"/>
    <n v="5885.73"/>
    <n v="93.04"/>
  </r>
  <r>
    <s v="F031"/>
    <x v="3"/>
    <x v="3"/>
    <x v="1"/>
    <x v="2"/>
    <n v="3260.51"/>
    <n v="86263"/>
    <n v="3213.71"/>
    <n v="98.39"/>
  </r>
  <r>
    <s v="F054"/>
    <x v="3"/>
    <x v="0"/>
    <x v="1"/>
    <x v="0"/>
    <n v="2218.4699999999998"/>
    <n v="38869"/>
    <n v="5109.76"/>
    <n v="35.270000000000003"/>
  </r>
  <r>
    <s v="F191"/>
    <x v="0"/>
    <x v="3"/>
    <x v="1"/>
    <x v="0"/>
    <n v="479.85"/>
    <n v="86557"/>
    <n v="8631.2800000000007"/>
    <n v="69.53"/>
  </r>
  <r>
    <s v="F144"/>
    <x v="2"/>
    <x v="0"/>
    <x v="2"/>
    <x v="1"/>
    <n v="401.65"/>
    <n v="16868"/>
    <n v="1378.01"/>
    <n v="47.52"/>
  </r>
  <r>
    <s v="F046"/>
    <x v="4"/>
    <x v="3"/>
    <x v="2"/>
    <x v="2"/>
    <n v="4844.9399999999996"/>
    <n v="87337"/>
    <n v="3603.06"/>
    <n v="67.13"/>
  </r>
  <r>
    <s v="F061"/>
    <x v="1"/>
    <x v="3"/>
    <x v="1"/>
    <x v="0"/>
    <n v="1954.31"/>
    <n v="21386"/>
    <n v="2271.92"/>
    <n v="49.67"/>
  </r>
  <r>
    <s v="F172"/>
    <x v="4"/>
    <x v="2"/>
    <x v="2"/>
    <x v="1"/>
    <n v="2094.86"/>
    <n v="98396"/>
    <n v="5174.07"/>
    <n v="63.38"/>
  </r>
  <r>
    <s v="F018"/>
    <x v="4"/>
    <x v="0"/>
    <x v="2"/>
    <x v="2"/>
    <n v="3876.8"/>
    <n v="69305"/>
    <n v="3203.67"/>
    <n v="83.65"/>
  </r>
  <r>
    <s v="F030"/>
    <x v="0"/>
    <x v="3"/>
    <x v="2"/>
    <x v="0"/>
    <n v="3209.34"/>
    <n v="49924"/>
    <n v="2199.16"/>
    <n v="75.48"/>
  </r>
  <r>
    <s v="F184"/>
    <x v="0"/>
    <x v="0"/>
    <x v="2"/>
    <x v="2"/>
    <n v="1290.4100000000001"/>
    <n v="22201"/>
    <n v="2853.66"/>
    <n v="71.94"/>
  </r>
  <r>
    <s v="F060"/>
    <x v="4"/>
    <x v="1"/>
    <x v="1"/>
    <x v="2"/>
    <n v="3768.03"/>
    <n v="41539"/>
    <n v="982.8"/>
    <n v="79.7"/>
  </r>
  <r>
    <s v="F041"/>
    <x v="1"/>
    <x v="0"/>
    <x v="2"/>
    <x v="0"/>
    <n v="2209.6"/>
    <n v="84721"/>
    <n v="2278.9699999999998"/>
    <n v="68.53"/>
  </r>
  <r>
    <s v="F064"/>
    <x v="1"/>
    <x v="3"/>
    <x v="0"/>
    <x v="2"/>
    <n v="3789.17"/>
    <n v="70481"/>
    <n v="4452.83"/>
    <n v="91.26"/>
  </r>
  <r>
    <s v="F124"/>
    <x v="3"/>
    <x v="0"/>
    <x v="2"/>
    <x v="0"/>
    <n v="2970.05"/>
    <n v="37309"/>
    <n v="4508.54"/>
    <n v="47.15"/>
  </r>
  <r>
    <s v="F131"/>
    <x v="4"/>
    <x v="2"/>
    <x v="2"/>
    <x v="0"/>
    <n v="1858.31"/>
    <n v="43294"/>
    <n v="3802.13"/>
    <n v="45.84"/>
  </r>
  <r>
    <s v="F103"/>
    <x v="4"/>
    <x v="0"/>
    <x v="0"/>
    <x v="0"/>
    <n v="3702.9533959999999"/>
    <n v="22309"/>
    <n v="3656.29"/>
    <n v="75.25"/>
  </r>
  <r>
    <s v="F152"/>
    <x v="4"/>
    <x v="2"/>
    <x v="2"/>
    <x v="0"/>
    <n v="3276"/>
    <n v="90679"/>
    <n v="7266.82"/>
    <n v="23.3"/>
  </r>
  <r>
    <s v="F085"/>
    <x v="4"/>
    <x v="0"/>
    <x v="1"/>
    <x v="2"/>
    <n v="526.37"/>
    <n v="29264"/>
    <n v="8362.7199999999993"/>
    <n v="61.93"/>
  </r>
  <r>
    <s v="F099"/>
    <x v="3"/>
    <x v="1"/>
    <x v="1"/>
    <x v="0"/>
    <n v="445.6"/>
    <n v="17162"/>
    <n v="5079.95"/>
    <n v="19.239999999999998"/>
  </r>
  <r>
    <s v="F128"/>
    <x v="2"/>
    <x v="3"/>
    <x v="0"/>
    <x v="1"/>
    <n v="4486.2700949999999"/>
    <n v="68216"/>
    <n v="9562.33"/>
    <n v="63.59"/>
  </r>
  <r>
    <s v="F124"/>
    <x v="3"/>
    <x v="1"/>
    <x v="0"/>
    <x v="1"/>
    <n v="1770.5416849999999"/>
    <n v="37309"/>
    <n v="4508.54"/>
    <n v="47.15"/>
  </r>
  <r>
    <s v="F031"/>
    <x v="3"/>
    <x v="3"/>
    <x v="0"/>
    <x v="2"/>
    <n v="2762.189746"/>
    <n v="86263"/>
    <n v="3213.71"/>
    <n v="98.39"/>
  </r>
  <r>
    <s v="F198"/>
    <x v="3"/>
    <x v="3"/>
    <x v="1"/>
    <x v="1"/>
    <n v="1531.3"/>
    <n v="40577"/>
    <n v="4280.82"/>
    <n v="79.88"/>
  </r>
  <r>
    <s v="F135"/>
    <x v="3"/>
    <x v="3"/>
    <x v="0"/>
    <x v="1"/>
    <n v="4453.3686580000003"/>
    <n v="56531"/>
    <n v="8958.07"/>
    <n v="83.44"/>
  </r>
  <r>
    <s v="F019"/>
    <x v="0"/>
    <x v="2"/>
    <x v="2"/>
    <x v="0"/>
    <n v="4934.5600000000004"/>
    <n v="68018"/>
    <n v="3523.4"/>
    <n v="92.26"/>
  </r>
  <r>
    <s v="F199"/>
    <x v="0"/>
    <x v="1"/>
    <x v="1"/>
    <x v="0"/>
    <n v="1164.7"/>
    <n v="89321"/>
    <n v="9836.34"/>
    <n v="16.989999999999998"/>
  </r>
  <r>
    <s v="F145"/>
    <x v="4"/>
    <x v="1"/>
    <x v="1"/>
    <x v="2"/>
    <n v="2732.08"/>
    <n v="68492"/>
    <n v="3533.88"/>
    <n v="52.99"/>
  </r>
  <r>
    <s v="F196"/>
    <x v="4"/>
    <x v="1"/>
    <x v="0"/>
    <x v="0"/>
    <n v="3114.4974299999999"/>
    <n v="85444"/>
    <n v="852.57"/>
    <n v="72.650000000000006"/>
  </r>
  <r>
    <s v="F015"/>
    <x v="4"/>
    <x v="2"/>
    <x v="1"/>
    <x v="0"/>
    <n v="3329.18"/>
    <n v="80488"/>
    <n v="7629.95"/>
    <n v="63.83"/>
  </r>
  <r>
    <s v="F092"/>
    <x v="4"/>
    <x v="2"/>
    <x v="2"/>
    <x v="0"/>
    <n v="3195.93"/>
    <n v="79495"/>
    <n v="7157.48"/>
    <n v="26.84"/>
  </r>
  <r>
    <s v="F022"/>
    <x v="4"/>
    <x v="0"/>
    <x v="2"/>
    <x v="1"/>
    <n v="1246.5"/>
    <n v="20207"/>
    <n v="5369.46"/>
    <n v="57.51"/>
  </r>
  <r>
    <s v="F089"/>
    <x v="4"/>
    <x v="0"/>
    <x v="2"/>
    <x v="0"/>
    <n v="2737.6"/>
    <n v="58895"/>
    <n v="3039.17"/>
    <n v="59.82"/>
  </r>
  <r>
    <s v="F174"/>
    <x v="3"/>
    <x v="3"/>
    <x v="2"/>
    <x v="1"/>
    <n v="1722.2"/>
    <n v="95962"/>
    <n v="524.72"/>
    <n v="49.55"/>
  </r>
  <r>
    <s v="F028"/>
    <x v="4"/>
    <x v="0"/>
    <x v="1"/>
    <x v="1"/>
    <n v="4036.12"/>
    <n v="73977"/>
    <n v="1646.75"/>
    <n v="43.77"/>
  </r>
  <r>
    <s v="F148"/>
    <x v="1"/>
    <x v="2"/>
    <x v="2"/>
    <x v="0"/>
    <n v="897.74"/>
    <n v="47491"/>
    <n v="5781.05"/>
    <n v="92.18"/>
  </r>
  <r>
    <s v="F053"/>
    <x v="0"/>
    <x v="2"/>
    <x v="1"/>
    <x v="0"/>
    <n v="1853.54"/>
    <n v="56392"/>
    <n v="5703.76"/>
    <n v="23.04"/>
  </r>
  <r>
    <s v="F089"/>
    <x v="4"/>
    <x v="3"/>
    <x v="1"/>
    <x v="1"/>
    <n v="4674.16"/>
    <n v="58895"/>
    <n v="3039.17"/>
    <n v="59.82"/>
  </r>
  <r>
    <s v="F028"/>
    <x v="4"/>
    <x v="1"/>
    <x v="0"/>
    <x v="1"/>
    <n v="4723.6000000000004"/>
    <n v="73977"/>
    <n v="1646.75"/>
    <n v="43.77"/>
  </r>
  <r>
    <s v="F199"/>
    <x v="0"/>
    <x v="2"/>
    <x v="0"/>
    <x v="0"/>
    <n v="3244.2138880000002"/>
    <n v="89321"/>
    <n v="9836.34"/>
    <n v="16.989999999999998"/>
  </r>
  <r>
    <s v="F106"/>
    <x v="3"/>
    <x v="1"/>
    <x v="1"/>
    <x v="2"/>
    <n v="980.22"/>
    <n v="98682"/>
    <n v="6220.56"/>
    <n v="70.099999999999994"/>
  </r>
  <r>
    <s v="F007"/>
    <x v="4"/>
    <x v="0"/>
    <x v="2"/>
    <x v="1"/>
    <n v="4810.13"/>
    <n v="35506"/>
    <n v="1892.04"/>
    <n v="61.53"/>
  </r>
  <r>
    <s v="F014"/>
    <x v="2"/>
    <x v="2"/>
    <x v="2"/>
    <x v="2"/>
    <n v="3868.27"/>
    <n v="17416"/>
    <n v="812.06"/>
    <n v="5.7"/>
  </r>
  <r>
    <s v="F085"/>
    <x v="4"/>
    <x v="0"/>
    <x v="2"/>
    <x v="2"/>
    <n v="714.41"/>
    <n v="29264"/>
    <n v="8362.7199999999993"/>
    <n v="61.93"/>
  </r>
  <r>
    <s v="F199"/>
    <x v="0"/>
    <x v="1"/>
    <x v="0"/>
    <x v="0"/>
    <n v="1121.057894"/>
    <n v="89321"/>
    <n v="9836.34"/>
    <n v="16.989999999999998"/>
  </r>
  <r>
    <s v="F143"/>
    <x v="1"/>
    <x v="1"/>
    <x v="0"/>
    <x v="2"/>
    <n v="1645.674403"/>
    <n v="29406"/>
    <n v="5281.69"/>
    <n v="27.01"/>
  </r>
  <r>
    <s v="F072"/>
    <x v="2"/>
    <x v="3"/>
    <x v="0"/>
    <x v="1"/>
    <n v="3519.7372449999998"/>
    <n v="95292"/>
    <n v="697.47"/>
    <n v="88.35"/>
  </r>
  <r>
    <s v="F016"/>
    <x v="2"/>
    <x v="3"/>
    <x v="0"/>
    <x v="2"/>
    <n v="2222.6799999999998"/>
    <n v="93409"/>
    <n v="2375.83"/>
    <n v="5.83"/>
  </r>
  <r>
    <s v="F126"/>
    <x v="2"/>
    <x v="3"/>
    <x v="1"/>
    <x v="1"/>
    <n v="261.56"/>
    <n v="75508"/>
    <n v="6856.22"/>
    <n v="18.2"/>
  </r>
  <r>
    <s v="F032"/>
    <x v="1"/>
    <x v="3"/>
    <x v="0"/>
    <x v="2"/>
    <n v="4724.5603350000001"/>
    <n v="33688"/>
    <n v="9495.48"/>
    <n v="55.55"/>
  </r>
  <r>
    <s v="F125"/>
    <x v="1"/>
    <x v="1"/>
    <x v="1"/>
    <x v="0"/>
    <n v="1696.11"/>
    <n v="82332"/>
    <n v="7134.86"/>
    <n v="22.44"/>
  </r>
  <r>
    <s v="F167"/>
    <x v="2"/>
    <x v="1"/>
    <x v="2"/>
    <x v="2"/>
    <n v="1447.34"/>
    <n v="94128"/>
    <n v="8117.82"/>
    <n v="73.83"/>
  </r>
  <r>
    <s v="F183"/>
    <x v="3"/>
    <x v="1"/>
    <x v="1"/>
    <x v="2"/>
    <n v="3456.69"/>
    <n v="29860"/>
    <n v="3956.23"/>
    <n v="57.5"/>
  </r>
  <r>
    <s v="F002"/>
    <x v="4"/>
    <x v="3"/>
    <x v="2"/>
    <x v="0"/>
    <n v="1842.07"/>
    <n v="53661"/>
    <n v="6965.81"/>
    <n v="69.400000000000006"/>
  </r>
  <r>
    <s v="F116"/>
    <x v="2"/>
    <x v="1"/>
    <x v="0"/>
    <x v="1"/>
    <n v="670.69"/>
    <n v="48501"/>
    <n v="7209.77"/>
    <n v="92.51"/>
  </r>
  <r>
    <s v="F047"/>
    <x v="0"/>
    <x v="2"/>
    <x v="0"/>
    <x v="1"/>
    <n v="1143.20198"/>
    <n v="39568"/>
    <n v="3580.54"/>
    <n v="78.08"/>
  </r>
  <r>
    <s v="F126"/>
    <x v="2"/>
    <x v="2"/>
    <x v="0"/>
    <x v="0"/>
    <n v="3475.5149740000002"/>
    <n v="75508"/>
    <n v="6856.22"/>
    <n v="18.2"/>
  </r>
  <r>
    <s v="F176"/>
    <x v="4"/>
    <x v="3"/>
    <x v="2"/>
    <x v="0"/>
    <n v="1313.1"/>
    <n v="18726"/>
    <n v="5099.54"/>
    <n v="71.05"/>
  </r>
  <r>
    <s v="F037"/>
    <x v="3"/>
    <x v="1"/>
    <x v="1"/>
    <x v="2"/>
    <n v="2271.65"/>
    <n v="97337"/>
    <n v="3362.06"/>
    <n v="55.46"/>
  </r>
  <r>
    <s v="F126"/>
    <x v="2"/>
    <x v="0"/>
    <x v="0"/>
    <x v="1"/>
    <n v="4185.7462960000003"/>
    <n v="75508"/>
    <n v="6856.22"/>
    <n v="18.2"/>
  </r>
  <r>
    <s v="F135"/>
    <x v="3"/>
    <x v="1"/>
    <x v="0"/>
    <x v="0"/>
    <n v="704.33660399999997"/>
    <n v="56531"/>
    <n v="8958.07"/>
    <n v="83.44"/>
  </r>
  <r>
    <s v="F081"/>
    <x v="1"/>
    <x v="0"/>
    <x v="0"/>
    <x v="2"/>
    <n v="801.11"/>
    <n v="39560"/>
    <n v="8380.77"/>
    <n v="94.01"/>
  </r>
  <r>
    <s v="F158"/>
    <x v="3"/>
    <x v="1"/>
    <x v="1"/>
    <x v="0"/>
    <n v="1685.02"/>
    <n v="61157"/>
    <n v="7331.54"/>
    <n v="55.52"/>
  </r>
  <r>
    <s v="F183"/>
    <x v="3"/>
    <x v="0"/>
    <x v="1"/>
    <x v="0"/>
    <n v="4811.95"/>
    <n v="29860"/>
    <n v="3956.23"/>
    <n v="57.5"/>
  </r>
  <r>
    <s v="F070"/>
    <x v="2"/>
    <x v="2"/>
    <x v="0"/>
    <x v="2"/>
    <n v="5093.5156129999996"/>
    <n v="15128"/>
    <n v="8847.09"/>
    <n v="5.25"/>
  </r>
  <r>
    <s v="F092"/>
    <x v="4"/>
    <x v="2"/>
    <x v="0"/>
    <x v="2"/>
    <n v="4205.3747649999996"/>
    <n v="79495"/>
    <n v="7157.48"/>
    <n v="26.84"/>
  </r>
  <r>
    <s v="F012"/>
    <x v="3"/>
    <x v="2"/>
    <x v="0"/>
    <x v="1"/>
    <n v="1288.354116"/>
    <n v="43747"/>
    <n v="3453.48"/>
    <n v="98.78"/>
  </r>
  <r>
    <s v="F071"/>
    <x v="4"/>
    <x v="0"/>
    <x v="1"/>
    <x v="2"/>
    <n v="2663.02"/>
    <n v="26378"/>
    <n v="2915.44"/>
    <n v="29.84"/>
  </r>
  <r>
    <s v="F070"/>
    <x v="2"/>
    <x v="0"/>
    <x v="1"/>
    <x v="0"/>
    <n v="2844.55"/>
    <n v="15128"/>
    <n v="8847.09"/>
    <n v="5.25"/>
  </r>
  <r>
    <s v="F062"/>
    <x v="2"/>
    <x v="1"/>
    <x v="2"/>
    <x v="0"/>
    <n v="1998.08"/>
    <n v="19265"/>
    <n v="776.6"/>
    <n v="39.75"/>
  </r>
  <r>
    <s v="F100"/>
    <x v="0"/>
    <x v="2"/>
    <x v="1"/>
    <x v="0"/>
    <n v="241.97"/>
    <n v="90632"/>
    <n v="5292.17"/>
    <n v="78.45"/>
  </r>
  <r>
    <s v="F114"/>
    <x v="1"/>
    <x v="1"/>
    <x v="0"/>
    <x v="1"/>
    <n v="2907.8946660000001"/>
    <n v="57353"/>
    <n v="2274.71"/>
    <n v="65.34"/>
  </r>
  <r>
    <s v="F077"/>
    <x v="4"/>
    <x v="2"/>
    <x v="0"/>
    <x v="1"/>
    <n v="4728.95"/>
    <n v="52836"/>
    <n v="9330.2999999999993"/>
    <n v="87.27"/>
  </r>
  <r>
    <s v="F198"/>
    <x v="3"/>
    <x v="1"/>
    <x v="1"/>
    <x v="2"/>
    <n v="4265.8500000000004"/>
    <n v="40577"/>
    <n v="4280.82"/>
    <n v="79.88"/>
  </r>
  <r>
    <s v="F050"/>
    <x v="0"/>
    <x v="2"/>
    <x v="0"/>
    <x v="2"/>
    <n v="2361.5527539999998"/>
    <n v="10067"/>
    <n v="1953.33"/>
    <n v="25.15"/>
  </r>
  <r>
    <s v="F026"/>
    <x v="2"/>
    <x v="2"/>
    <x v="1"/>
    <x v="0"/>
    <n v="235.74"/>
    <n v="32246"/>
    <n v="7903.93"/>
    <n v="42.12"/>
  </r>
  <r>
    <s v="F068"/>
    <x v="0"/>
    <x v="2"/>
    <x v="2"/>
    <x v="0"/>
    <n v="2737"/>
    <n v="44825"/>
    <n v="6023.03"/>
    <n v="27.2"/>
  </r>
  <r>
    <s v="F156"/>
    <x v="2"/>
    <x v="0"/>
    <x v="2"/>
    <x v="1"/>
    <n v="1539.15"/>
    <n v="88308"/>
    <n v="7802.07"/>
    <n v="36.130000000000003"/>
  </r>
  <r>
    <s v="F016"/>
    <x v="2"/>
    <x v="0"/>
    <x v="2"/>
    <x v="0"/>
    <n v="502.47"/>
    <n v="93409"/>
    <n v="2375.83"/>
    <n v="5.83"/>
  </r>
  <r>
    <s v="F092"/>
    <x v="4"/>
    <x v="0"/>
    <x v="1"/>
    <x v="1"/>
    <n v="2710.93"/>
    <n v="79495"/>
    <n v="7157.48"/>
    <n v="26.84"/>
  </r>
  <r>
    <s v="F009"/>
    <x v="0"/>
    <x v="3"/>
    <x v="0"/>
    <x v="0"/>
    <n v="2286.2420430000002"/>
    <n v="45644"/>
    <n v="7724.73"/>
    <n v="31"/>
  </r>
  <r>
    <s v="F158"/>
    <x v="3"/>
    <x v="2"/>
    <x v="0"/>
    <x v="0"/>
    <n v="3819.978924"/>
    <n v="61157"/>
    <n v="7331.54"/>
    <n v="55.52"/>
  </r>
  <r>
    <s v="F103"/>
    <x v="4"/>
    <x v="0"/>
    <x v="1"/>
    <x v="1"/>
    <n v="2138.08"/>
    <n v="22309"/>
    <n v="3656.29"/>
    <n v="75.25"/>
  </r>
  <r>
    <s v="F155"/>
    <x v="2"/>
    <x v="0"/>
    <x v="2"/>
    <x v="2"/>
    <n v="747.74"/>
    <n v="75736"/>
    <n v="6287.07"/>
    <n v="63.11"/>
  </r>
  <r>
    <s v="F083"/>
    <x v="2"/>
    <x v="3"/>
    <x v="2"/>
    <x v="2"/>
    <n v="1025.55"/>
    <n v="94704"/>
    <n v="6632.95"/>
    <n v="14.76"/>
  </r>
  <r>
    <s v="F006"/>
    <x v="4"/>
    <x v="0"/>
    <x v="0"/>
    <x v="1"/>
    <n v="3382"/>
    <n v="11426"/>
    <n v="4439.5600000000004"/>
    <n v="52.71"/>
  </r>
  <r>
    <s v="F164"/>
    <x v="0"/>
    <x v="2"/>
    <x v="1"/>
    <x v="2"/>
    <n v="1772.18"/>
    <n v="60710"/>
    <n v="2726.26"/>
    <n v="83.02"/>
  </r>
  <r>
    <s v="F044"/>
    <x v="1"/>
    <x v="1"/>
    <x v="2"/>
    <x v="2"/>
    <n v="2150.66"/>
    <n v="93661"/>
    <n v="7324.58"/>
    <n v="23.55"/>
  </r>
  <r>
    <s v="F072"/>
    <x v="2"/>
    <x v="3"/>
    <x v="1"/>
    <x v="1"/>
    <n v="3214.91"/>
    <n v="95292"/>
    <n v="697.47"/>
    <n v="88.35"/>
  </r>
  <r>
    <s v="F042"/>
    <x v="1"/>
    <x v="3"/>
    <x v="1"/>
    <x v="2"/>
    <n v="1475.38"/>
    <n v="58111"/>
    <n v="4610.8999999999996"/>
    <n v="21.53"/>
  </r>
  <r>
    <s v="F079"/>
    <x v="2"/>
    <x v="0"/>
    <x v="2"/>
    <x v="2"/>
    <n v="2631.42"/>
    <n v="17311"/>
    <n v="2257.38"/>
    <n v="91.07"/>
  </r>
  <r>
    <s v="F191"/>
    <x v="0"/>
    <x v="1"/>
    <x v="1"/>
    <x v="1"/>
    <n v="2973.99"/>
    <n v="86557"/>
    <n v="8631.2800000000007"/>
    <n v="69.53"/>
  </r>
  <r>
    <s v="F134"/>
    <x v="3"/>
    <x v="0"/>
    <x v="1"/>
    <x v="2"/>
    <n v="587.89"/>
    <n v="16256"/>
    <n v="2127.1799999999998"/>
    <n v="38.94"/>
  </r>
  <r>
    <s v="F118"/>
    <x v="0"/>
    <x v="3"/>
    <x v="1"/>
    <x v="2"/>
    <n v="599.52"/>
    <n v="14170"/>
    <n v="5455.23"/>
    <n v="25.46"/>
  </r>
  <r>
    <s v="F168"/>
    <x v="2"/>
    <x v="0"/>
    <x v="2"/>
    <x v="0"/>
    <n v="1993.42"/>
    <n v="24095"/>
    <n v="3167.52"/>
    <n v="31.02"/>
  </r>
  <r>
    <s v="F169"/>
    <x v="2"/>
    <x v="1"/>
    <x v="1"/>
    <x v="0"/>
    <n v="1395.49"/>
    <n v="44994"/>
    <n v="7305.59"/>
    <n v="91.53"/>
  </r>
  <r>
    <s v="F093"/>
    <x v="2"/>
    <x v="1"/>
    <x v="0"/>
    <x v="1"/>
    <n v="2509.14"/>
    <n v="15553"/>
    <n v="3909.51"/>
    <n v="46.44"/>
  </r>
  <r>
    <s v="F108"/>
    <x v="3"/>
    <x v="2"/>
    <x v="0"/>
    <x v="2"/>
    <n v="2619.1304719999998"/>
    <n v="39050"/>
    <n v="5885.73"/>
    <n v="93.04"/>
  </r>
  <r>
    <s v="F024"/>
    <x v="4"/>
    <x v="1"/>
    <x v="1"/>
    <x v="0"/>
    <n v="1192.6600000000001"/>
    <n v="95718"/>
    <n v="2443.12"/>
    <n v="35.49"/>
  </r>
  <r>
    <s v="F108"/>
    <x v="3"/>
    <x v="3"/>
    <x v="0"/>
    <x v="2"/>
    <n v="639.35639619999995"/>
    <n v="39050"/>
    <n v="5885.73"/>
    <n v="93.04"/>
  </r>
  <r>
    <s v="F002"/>
    <x v="4"/>
    <x v="1"/>
    <x v="2"/>
    <x v="2"/>
    <n v="3446.07"/>
    <n v="53661"/>
    <n v="6965.81"/>
    <n v="69.400000000000006"/>
  </r>
  <r>
    <s v="F095"/>
    <x v="2"/>
    <x v="1"/>
    <x v="0"/>
    <x v="0"/>
    <n v="2973.1976180000001"/>
    <n v="49885"/>
    <n v="6845.46"/>
    <n v="58.4"/>
  </r>
  <r>
    <s v="F005"/>
    <x v="4"/>
    <x v="1"/>
    <x v="2"/>
    <x v="1"/>
    <n v="4562.24"/>
    <n v="61743"/>
    <n v="7426.75"/>
    <n v="26.39"/>
  </r>
  <r>
    <s v="F162"/>
    <x v="3"/>
    <x v="1"/>
    <x v="2"/>
    <x v="1"/>
    <n v="3500.64"/>
    <n v="18175"/>
    <n v="8349.49"/>
    <n v="39.97"/>
  </r>
  <r>
    <s v="F025"/>
    <x v="4"/>
    <x v="0"/>
    <x v="2"/>
    <x v="2"/>
    <n v="3289.66"/>
    <n v="32131"/>
    <n v="1474.23"/>
    <n v="45.47"/>
  </r>
  <r>
    <s v="F100"/>
    <x v="0"/>
    <x v="3"/>
    <x v="1"/>
    <x v="1"/>
    <n v="540.26"/>
    <n v="90632"/>
    <n v="5292.17"/>
    <n v="78.45"/>
  </r>
  <r>
    <s v="F171"/>
    <x v="4"/>
    <x v="2"/>
    <x v="1"/>
    <x v="1"/>
    <n v="3784.31"/>
    <n v="98356"/>
    <n v="6968.69"/>
    <n v="81.72"/>
  </r>
  <r>
    <s v="F101"/>
    <x v="3"/>
    <x v="1"/>
    <x v="2"/>
    <x v="2"/>
    <n v="2320.83"/>
    <n v="65719"/>
    <n v="9362.41"/>
    <n v="86.55"/>
  </r>
  <r>
    <s v="F016"/>
    <x v="2"/>
    <x v="3"/>
    <x v="1"/>
    <x v="1"/>
    <n v="2311.4499999999998"/>
    <n v="93409"/>
    <n v="2375.83"/>
    <n v="5.83"/>
  </r>
  <r>
    <s v="F174"/>
    <x v="3"/>
    <x v="2"/>
    <x v="2"/>
    <x v="0"/>
    <n v="4836.59"/>
    <n v="95962"/>
    <n v="524.72"/>
    <n v="49.55"/>
  </r>
  <r>
    <s v="F077"/>
    <x v="4"/>
    <x v="1"/>
    <x v="2"/>
    <x v="1"/>
    <n v="4870.82"/>
    <n v="52836"/>
    <n v="9330.2999999999993"/>
    <n v="87.27"/>
  </r>
  <r>
    <s v="F149"/>
    <x v="1"/>
    <x v="2"/>
    <x v="2"/>
    <x v="1"/>
    <n v="4492.74"/>
    <n v="61207"/>
    <n v="6922.33"/>
    <n v="9.1999999999999993"/>
  </r>
  <r>
    <s v="F192"/>
    <x v="4"/>
    <x v="3"/>
    <x v="1"/>
    <x v="0"/>
    <n v="2776.43"/>
    <n v="21914"/>
    <n v="5897.27"/>
    <n v="49.41"/>
  </r>
  <r>
    <s v="F107"/>
    <x v="2"/>
    <x v="2"/>
    <x v="2"/>
    <x v="0"/>
    <n v="4987.59"/>
    <n v="43512"/>
    <n v="5352.18"/>
    <n v="6.17"/>
  </r>
  <r>
    <s v="F096"/>
    <x v="0"/>
    <x v="0"/>
    <x v="0"/>
    <x v="0"/>
    <n v="1335.7609"/>
    <n v="21388"/>
    <n v="5249.39"/>
    <n v="64.2"/>
  </r>
  <r>
    <s v="F139"/>
    <x v="0"/>
    <x v="3"/>
    <x v="1"/>
    <x v="0"/>
    <n v="1293.21"/>
    <n v="80904"/>
    <n v="3263.09"/>
    <n v="58.37"/>
  </r>
  <r>
    <s v="F195"/>
    <x v="1"/>
    <x v="3"/>
    <x v="2"/>
    <x v="2"/>
    <n v="1708"/>
    <n v="87012"/>
    <n v="7478.13"/>
    <n v="27.22"/>
  </r>
  <r>
    <s v="F127"/>
    <x v="3"/>
    <x v="1"/>
    <x v="2"/>
    <x v="2"/>
    <n v="4594.9799999999996"/>
    <n v="77400"/>
    <n v="7504.8"/>
    <n v="68.819999999999993"/>
  </r>
  <r>
    <s v="F159"/>
    <x v="0"/>
    <x v="2"/>
    <x v="1"/>
    <x v="0"/>
    <n v="831.81"/>
    <n v="72224"/>
    <n v="1613.32"/>
    <n v="39.21"/>
  </r>
  <r>
    <s v="F151"/>
    <x v="2"/>
    <x v="2"/>
    <x v="1"/>
    <x v="0"/>
    <n v="2545.9"/>
    <n v="81057"/>
    <n v="675.41"/>
    <n v="55.44"/>
  </r>
  <r>
    <s v="F095"/>
    <x v="2"/>
    <x v="3"/>
    <x v="0"/>
    <x v="0"/>
    <n v="1207.1362979999999"/>
    <n v="49885"/>
    <n v="6845.46"/>
    <n v="58.4"/>
  </r>
  <r>
    <s v="F101"/>
    <x v="3"/>
    <x v="2"/>
    <x v="0"/>
    <x v="2"/>
    <n v="2790.8028279999999"/>
    <n v="65719"/>
    <n v="9362.41"/>
    <n v="86.55"/>
  </r>
  <r>
    <s v="F132"/>
    <x v="4"/>
    <x v="2"/>
    <x v="2"/>
    <x v="1"/>
    <n v="1945.28"/>
    <n v="76544"/>
    <n v="8632.77"/>
    <n v="12.87"/>
  </r>
  <r>
    <s v="F107"/>
    <x v="2"/>
    <x v="3"/>
    <x v="0"/>
    <x v="2"/>
    <n v="3670.5421860000001"/>
    <n v="43512"/>
    <n v="5352.18"/>
    <n v="6.17"/>
  </r>
  <r>
    <s v="F134"/>
    <x v="3"/>
    <x v="1"/>
    <x v="1"/>
    <x v="2"/>
    <n v="1954.98"/>
    <n v="16256"/>
    <n v="2127.1799999999998"/>
    <n v="38.94"/>
  </r>
  <r>
    <s v="F196"/>
    <x v="4"/>
    <x v="1"/>
    <x v="1"/>
    <x v="1"/>
    <n v="2205.38"/>
    <n v="85444"/>
    <n v="852.57"/>
    <n v="72.650000000000006"/>
  </r>
  <r>
    <s v="F166"/>
    <x v="3"/>
    <x v="2"/>
    <x v="1"/>
    <x v="2"/>
    <n v="1900.73"/>
    <n v="96474"/>
    <n v="7574.39"/>
    <n v="95.54"/>
  </r>
  <r>
    <s v="F008"/>
    <x v="3"/>
    <x v="1"/>
    <x v="0"/>
    <x v="0"/>
    <n v="2512.7800000000002"/>
    <n v="50306"/>
    <n v="7031.37"/>
    <n v="13.27"/>
  </r>
  <r>
    <s v="F047"/>
    <x v="0"/>
    <x v="2"/>
    <x v="0"/>
    <x v="1"/>
    <n v="3560.2940319999998"/>
    <n v="39568"/>
    <n v="3580.54"/>
    <n v="78.08"/>
  </r>
  <r>
    <s v="F172"/>
    <x v="4"/>
    <x v="2"/>
    <x v="1"/>
    <x v="0"/>
    <n v="4844.28"/>
    <n v="98396"/>
    <n v="5174.07"/>
    <n v="63.38"/>
  </r>
  <r>
    <s v="F048"/>
    <x v="0"/>
    <x v="1"/>
    <x v="1"/>
    <x v="1"/>
    <n v="3100.15"/>
    <n v="26338"/>
    <n v="578.73"/>
    <n v="72.52"/>
  </r>
  <r>
    <s v="F100"/>
    <x v="0"/>
    <x v="0"/>
    <x v="2"/>
    <x v="1"/>
    <n v="2791.16"/>
    <n v="90632"/>
    <n v="5292.17"/>
    <n v="78.45"/>
  </r>
  <r>
    <s v="F125"/>
    <x v="1"/>
    <x v="0"/>
    <x v="1"/>
    <x v="1"/>
    <n v="774.95"/>
    <n v="82332"/>
    <n v="7134.86"/>
    <n v="22.44"/>
  </r>
  <r>
    <s v="F025"/>
    <x v="4"/>
    <x v="0"/>
    <x v="0"/>
    <x v="1"/>
    <n v="2907.121024"/>
    <n v="32131"/>
    <n v="1474.23"/>
    <n v="45.47"/>
  </r>
  <r>
    <s v="F069"/>
    <x v="4"/>
    <x v="2"/>
    <x v="0"/>
    <x v="0"/>
    <n v="1885.37"/>
    <n v="85488"/>
    <n v="9691.57"/>
    <n v="96.98"/>
  </r>
  <r>
    <s v="F173"/>
    <x v="1"/>
    <x v="2"/>
    <x v="0"/>
    <x v="0"/>
    <n v="3784.5787529999998"/>
    <n v="38181"/>
    <n v="691.84"/>
    <n v="33.53"/>
  </r>
  <r>
    <s v="F031"/>
    <x v="3"/>
    <x v="3"/>
    <x v="2"/>
    <x v="0"/>
    <n v="2788.31"/>
    <n v="86263"/>
    <n v="3213.71"/>
    <n v="98.39"/>
  </r>
  <r>
    <s v="F171"/>
    <x v="4"/>
    <x v="1"/>
    <x v="1"/>
    <x v="1"/>
    <n v="3315.9"/>
    <n v="98356"/>
    <n v="6968.69"/>
    <n v="81.72"/>
  </r>
  <r>
    <s v="F033"/>
    <x v="0"/>
    <x v="3"/>
    <x v="2"/>
    <x v="2"/>
    <n v="1940.67"/>
    <n v="47727"/>
    <n v="8907.33"/>
    <n v="47.4"/>
  </r>
  <r>
    <s v="F038"/>
    <x v="4"/>
    <x v="1"/>
    <x v="0"/>
    <x v="2"/>
    <n v="4052.32"/>
    <n v="18341"/>
    <n v="8465.57"/>
    <n v="38.39"/>
  </r>
  <r>
    <s v="F157"/>
    <x v="0"/>
    <x v="3"/>
    <x v="0"/>
    <x v="0"/>
    <n v="1277.295351"/>
    <n v="15788"/>
    <n v="1824.14"/>
    <n v="52.78"/>
  </r>
  <r>
    <s v="F095"/>
    <x v="2"/>
    <x v="1"/>
    <x v="2"/>
    <x v="1"/>
    <n v="1024.25"/>
    <n v="49885"/>
    <n v="6845.46"/>
    <n v="58.4"/>
  </r>
  <r>
    <s v="F077"/>
    <x v="4"/>
    <x v="0"/>
    <x v="2"/>
    <x v="0"/>
    <n v="167.21"/>
    <n v="52836"/>
    <n v="9330.2999999999993"/>
    <n v="87.27"/>
  </r>
  <r>
    <s v="F140"/>
    <x v="4"/>
    <x v="2"/>
    <x v="2"/>
    <x v="0"/>
    <n v="996.06"/>
    <n v="94347"/>
    <n v="2272.58"/>
    <n v="34.75"/>
  </r>
  <r>
    <s v="F177"/>
    <x v="3"/>
    <x v="3"/>
    <x v="2"/>
    <x v="0"/>
    <n v="1827.8"/>
    <n v="87482"/>
    <n v="2231.7399999999998"/>
    <n v="45.43"/>
  </r>
  <r>
    <s v="F025"/>
    <x v="4"/>
    <x v="3"/>
    <x v="2"/>
    <x v="2"/>
    <n v="4065.52"/>
    <n v="32131"/>
    <n v="1474.23"/>
    <n v="45.47"/>
  </r>
  <r>
    <s v="F089"/>
    <x v="4"/>
    <x v="2"/>
    <x v="0"/>
    <x v="0"/>
    <n v="484.81994279999998"/>
    <n v="58895"/>
    <n v="3039.17"/>
    <n v="59.82"/>
  </r>
  <r>
    <s v="F113"/>
    <x v="3"/>
    <x v="0"/>
    <x v="0"/>
    <x v="2"/>
    <n v="4023.0128370000002"/>
    <n v="69636"/>
    <n v="4246.55"/>
    <n v="69.290000000000006"/>
  </r>
  <r>
    <s v="F193"/>
    <x v="1"/>
    <x v="0"/>
    <x v="0"/>
    <x v="2"/>
    <n v="895.43359580000003"/>
    <n v="15333"/>
    <n v="2570.54"/>
    <n v="41.07"/>
  </r>
  <r>
    <s v="F048"/>
    <x v="0"/>
    <x v="2"/>
    <x v="0"/>
    <x v="2"/>
    <n v="1949.1030049999999"/>
    <n v="26338"/>
    <n v="578.73"/>
    <n v="72.52"/>
  </r>
  <r>
    <s v="F025"/>
    <x v="4"/>
    <x v="2"/>
    <x v="2"/>
    <x v="2"/>
    <n v="3777.75"/>
    <n v="32131"/>
    <n v="1474.23"/>
    <n v="45.47"/>
  </r>
  <r>
    <s v="F194"/>
    <x v="3"/>
    <x v="1"/>
    <x v="1"/>
    <x v="2"/>
    <n v="3625.63"/>
    <n v="42382"/>
    <n v="5116.6899999999996"/>
    <n v="80.42"/>
  </r>
  <r>
    <s v="F106"/>
    <x v="3"/>
    <x v="3"/>
    <x v="1"/>
    <x v="2"/>
    <n v="2991.57"/>
    <n v="98682"/>
    <n v="6220.56"/>
    <n v="70.099999999999994"/>
  </r>
  <r>
    <s v="F056"/>
    <x v="4"/>
    <x v="0"/>
    <x v="1"/>
    <x v="1"/>
    <n v="1016.04"/>
    <n v="99026"/>
    <n v="5453.2"/>
    <n v="57.49"/>
  </r>
  <r>
    <s v="F151"/>
    <x v="2"/>
    <x v="1"/>
    <x v="1"/>
    <x v="2"/>
    <n v="162.68"/>
    <n v="81057"/>
    <n v="675.41"/>
    <n v="55.44"/>
  </r>
  <r>
    <s v="F121"/>
    <x v="3"/>
    <x v="2"/>
    <x v="0"/>
    <x v="0"/>
    <n v="2442.2862220000002"/>
    <n v="11952"/>
    <n v="4637.74"/>
    <n v="63.78"/>
  </r>
  <r>
    <s v="F010"/>
    <x v="0"/>
    <x v="0"/>
    <x v="1"/>
    <x v="1"/>
    <n v="2499.21"/>
    <n v="32991"/>
    <n v="8540.14"/>
    <n v="37.75"/>
  </r>
  <r>
    <s v="F151"/>
    <x v="2"/>
    <x v="1"/>
    <x v="1"/>
    <x v="1"/>
    <n v="880"/>
    <n v="81057"/>
    <n v="675.41"/>
    <n v="55.44"/>
  </r>
  <r>
    <s v="F109"/>
    <x v="0"/>
    <x v="0"/>
    <x v="0"/>
    <x v="2"/>
    <n v="1240.920038"/>
    <n v="34318"/>
    <n v="675.67"/>
    <n v="41.05"/>
  </r>
  <r>
    <s v="F002"/>
    <x v="4"/>
    <x v="2"/>
    <x v="1"/>
    <x v="1"/>
    <n v="960.86"/>
    <n v="53661"/>
    <n v="6965.81"/>
    <n v="69.400000000000006"/>
  </r>
  <r>
    <s v="F090"/>
    <x v="2"/>
    <x v="0"/>
    <x v="0"/>
    <x v="1"/>
    <n v="4165.4782670000004"/>
    <n v="29895"/>
    <n v="1631.08"/>
    <n v="39.93"/>
  </r>
  <r>
    <s v="F162"/>
    <x v="3"/>
    <x v="2"/>
    <x v="2"/>
    <x v="0"/>
    <n v="2805.55"/>
    <n v="18175"/>
    <n v="8349.49"/>
    <n v="39.97"/>
  </r>
  <r>
    <s v="F177"/>
    <x v="3"/>
    <x v="1"/>
    <x v="0"/>
    <x v="2"/>
    <n v="5115.6804760000005"/>
    <n v="87482"/>
    <n v="2231.7399999999998"/>
    <n v="45.43"/>
  </r>
  <r>
    <s v="F034"/>
    <x v="4"/>
    <x v="3"/>
    <x v="0"/>
    <x v="0"/>
    <n v="771.92290009999999"/>
    <n v="67213"/>
    <n v="5533.81"/>
    <n v="90.88"/>
  </r>
  <r>
    <s v="F177"/>
    <x v="3"/>
    <x v="0"/>
    <x v="2"/>
    <x v="0"/>
    <n v="2773.86"/>
    <n v="87482"/>
    <n v="2231.7399999999998"/>
    <n v="45.43"/>
  </r>
  <r>
    <s v="F055"/>
    <x v="2"/>
    <x v="3"/>
    <x v="1"/>
    <x v="0"/>
    <n v="3950.71"/>
    <n v="41050"/>
    <n v="6025.84"/>
    <n v="53.53"/>
  </r>
  <r>
    <s v="F078"/>
    <x v="0"/>
    <x v="3"/>
    <x v="2"/>
    <x v="2"/>
    <n v="2266.44"/>
    <n v="78624"/>
    <n v="2373.27"/>
    <n v="25.07"/>
  </r>
  <r>
    <s v="F091"/>
    <x v="4"/>
    <x v="2"/>
    <x v="2"/>
    <x v="2"/>
    <n v="4964.76"/>
    <n v="43490"/>
    <n v="9300.8799999999992"/>
    <n v="58.43"/>
  </r>
  <r>
    <s v="F082"/>
    <x v="0"/>
    <x v="1"/>
    <x v="1"/>
    <x v="1"/>
    <n v="2700.64"/>
    <n v="17468"/>
    <n v="6359.73"/>
    <n v="5.22"/>
  </r>
  <r>
    <s v="F183"/>
    <x v="3"/>
    <x v="0"/>
    <x v="1"/>
    <x v="0"/>
    <n v="4643.79"/>
    <n v="29860"/>
    <n v="3956.23"/>
    <n v="57.5"/>
  </r>
  <r>
    <s v="F090"/>
    <x v="2"/>
    <x v="0"/>
    <x v="0"/>
    <x v="2"/>
    <n v="4947.7396909999998"/>
    <n v="29895"/>
    <n v="1631.08"/>
    <n v="39.93"/>
  </r>
  <r>
    <s v="F018"/>
    <x v="4"/>
    <x v="0"/>
    <x v="0"/>
    <x v="0"/>
    <n v="2116.6523769999999"/>
    <n v="69305"/>
    <n v="3203.67"/>
    <n v="83.65"/>
  </r>
  <r>
    <s v="F102"/>
    <x v="1"/>
    <x v="1"/>
    <x v="1"/>
    <x v="0"/>
    <n v="425.91"/>
    <n v="82377"/>
    <n v="7974.74"/>
    <n v="9.17"/>
  </r>
  <r>
    <s v="F001"/>
    <x v="1"/>
    <x v="3"/>
    <x v="2"/>
    <x v="0"/>
    <n v="466.45"/>
    <n v="54133"/>
    <n v="8543.68"/>
    <n v="24"/>
  </r>
  <r>
    <s v="F078"/>
    <x v="0"/>
    <x v="2"/>
    <x v="2"/>
    <x v="1"/>
    <n v="1868.24"/>
    <n v="78624"/>
    <n v="2373.27"/>
    <n v="25.07"/>
  </r>
  <r>
    <s v="F151"/>
    <x v="2"/>
    <x v="1"/>
    <x v="0"/>
    <x v="0"/>
    <n v="3497.3453829999999"/>
    <n v="81057"/>
    <n v="675.41"/>
    <n v="55.44"/>
  </r>
  <r>
    <s v="F153"/>
    <x v="3"/>
    <x v="0"/>
    <x v="1"/>
    <x v="1"/>
    <n v="3774.06"/>
    <n v="95306"/>
    <n v="9037.76"/>
    <n v="13.35"/>
  </r>
  <r>
    <s v="F072"/>
    <x v="2"/>
    <x v="0"/>
    <x v="2"/>
    <x v="2"/>
    <n v="518.79999999999995"/>
    <n v="95292"/>
    <n v="697.47"/>
    <n v="88.35"/>
  </r>
  <r>
    <s v="F170"/>
    <x v="2"/>
    <x v="0"/>
    <x v="2"/>
    <x v="1"/>
    <n v="2317.02"/>
    <n v="24502"/>
    <n v="7466.86"/>
    <n v="88.83"/>
  </r>
  <r>
    <s v="F185"/>
    <x v="0"/>
    <x v="0"/>
    <x v="1"/>
    <x v="2"/>
    <n v="3340.8"/>
    <n v="68820"/>
    <n v="9612.25"/>
    <n v="83.51"/>
  </r>
  <r>
    <s v="F122"/>
    <x v="4"/>
    <x v="1"/>
    <x v="2"/>
    <x v="1"/>
    <n v="3888.93"/>
    <n v="49620"/>
    <n v="2424.31"/>
    <n v="62.09"/>
  </r>
  <r>
    <s v="F002"/>
    <x v="4"/>
    <x v="2"/>
    <x v="0"/>
    <x v="2"/>
    <n v="4696.2290000000003"/>
    <n v="53661"/>
    <n v="6965.81"/>
    <n v="69.400000000000006"/>
  </r>
  <r>
    <s v="F134"/>
    <x v="3"/>
    <x v="2"/>
    <x v="2"/>
    <x v="1"/>
    <n v="149.05000000000001"/>
    <n v="16256"/>
    <n v="2127.1799999999998"/>
    <n v="38.94"/>
  </r>
  <r>
    <s v="F186"/>
    <x v="4"/>
    <x v="1"/>
    <x v="0"/>
    <x v="2"/>
    <n v="3665.9483260000002"/>
    <n v="61942"/>
    <n v="4891.32"/>
    <n v="91.59"/>
  </r>
  <r>
    <s v="F008"/>
    <x v="3"/>
    <x v="1"/>
    <x v="1"/>
    <x v="0"/>
    <n v="4101.93"/>
    <n v="50306"/>
    <n v="7031.37"/>
    <n v="13.27"/>
  </r>
  <r>
    <s v="F028"/>
    <x v="4"/>
    <x v="3"/>
    <x v="1"/>
    <x v="2"/>
    <n v="2897.14"/>
    <n v="73977"/>
    <n v="1646.75"/>
    <n v="43.77"/>
  </r>
  <r>
    <s v="F032"/>
    <x v="1"/>
    <x v="3"/>
    <x v="1"/>
    <x v="1"/>
    <n v="828.73"/>
    <n v="33688"/>
    <n v="9495.48"/>
    <n v="55.55"/>
  </r>
  <r>
    <s v="F174"/>
    <x v="3"/>
    <x v="3"/>
    <x v="2"/>
    <x v="1"/>
    <n v="3155.64"/>
    <n v="95962"/>
    <n v="524.72"/>
    <n v="49.55"/>
  </r>
  <r>
    <s v="F121"/>
    <x v="3"/>
    <x v="3"/>
    <x v="1"/>
    <x v="1"/>
    <n v="3573.8"/>
    <n v="11952"/>
    <n v="4637.74"/>
    <n v="63.78"/>
  </r>
  <r>
    <s v="F164"/>
    <x v="0"/>
    <x v="0"/>
    <x v="2"/>
    <x v="2"/>
    <n v="4315.67"/>
    <n v="60710"/>
    <n v="2726.26"/>
    <n v="83.02"/>
  </r>
  <r>
    <s v="F121"/>
    <x v="3"/>
    <x v="1"/>
    <x v="1"/>
    <x v="0"/>
    <n v="265.31"/>
    <n v="11952"/>
    <n v="4637.74"/>
    <n v="63.78"/>
  </r>
  <r>
    <s v="F166"/>
    <x v="3"/>
    <x v="0"/>
    <x v="2"/>
    <x v="2"/>
    <n v="392.52"/>
    <n v="96474"/>
    <n v="7574.39"/>
    <n v="95.54"/>
  </r>
  <r>
    <s v="F050"/>
    <x v="0"/>
    <x v="2"/>
    <x v="2"/>
    <x v="2"/>
    <n v="3807.44"/>
    <n v="10067"/>
    <n v="1953.33"/>
    <n v="25.15"/>
  </r>
  <r>
    <s v="F037"/>
    <x v="3"/>
    <x v="0"/>
    <x v="0"/>
    <x v="2"/>
    <n v="3118.1759889999998"/>
    <n v="97337"/>
    <n v="3362.06"/>
    <n v="55.46"/>
  </r>
  <r>
    <s v="F052"/>
    <x v="3"/>
    <x v="3"/>
    <x v="1"/>
    <x v="2"/>
    <n v="1947.59"/>
    <n v="66163"/>
    <n v="1416.57"/>
    <n v="68.73"/>
  </r>
  <r>
    <s v="F004"/>
    <x v="0"/>
    <x v="0"/>
    <x v="2"/>
    <x v="2"/>
    <n v="4464.43"/>
    <n v="83923"/>
    <n v="8768.7999999999993"/>
    <n v="65.290000000000006"/>
  </r>
  <r>
    <s v="F111"/>
    <x v="3"/>
    <x v="1"/>
    <x v="1"/>
    <x v="0"/>
    <n v="2252.36"/>
    <n v="10907"/>
    <n v="4748.66"/>
    <n v="39.36"/>
  </r>
  <r>
    <s v="F077"/>
    <x v="4"/>
    <x v="0"/>
    <x v="0"/>
    <x v="1"/>
    <n v="2203.84"/>
    <n v="52836"/>
    <n v="9330.2999999999993"/>
    <n v="87.27"/>
  </r>
  <r>
    <s v="F019"/>
    <x v="0"/>
    <x v="3"/>
    <x v="1"/>
    <x v="1"/>
    <n v="673.38"/>
    <n v="68018"/>
    <n v="3523.4"/>
    <n v="92.26"/>
  </r>
  <r>
    <s v="F096"/>
    <x v="0"/>
    <x v="2"/>
    <x v="2"/>
    <x v="0"/>
    <n v="3879.17"/>
    <n v="21388"/>
    <n v="5249.39"/>
    <n v="64.2"/>
  </r>
  <r>
    <s v="F171"/>
    <x v="4"/>
    <x v="0"/>
    <x v="2"/>
    <x v="1"/>
    <n v="404.42"/>
    <n v="98356"/>
    <n v="6968.69"/>
    <n v="81.72"/>
  </r>
  <r>
    <s v="F016"/>
    <x v="2"/>
    <x v="2"/>
    <x v="0"/>
    <x v="2"/>
    <n v="3415.97"/>
    <n v="93409"/>
    <n v="2375.83"/>
    <n v="5.83"/>
  </r>
  <r>
    <s v="F148"/>
    <x v="1"/>
    <x v="2"/>
    <x v="0"/>
    <x v="0"/>
    <n v="3091.3923770000001"/>
    <n v="47491"/>
    <n v="5781.05"/>
    <n v="92.18"/>
  </r>
  <r>
    <s v="F172"/>
    <x v="4"/>
    <x v="2"/>
    <x v="2"/>
    <x v="2"/>
    <n v="3216.77"/>
    <n v="98396"/>
    <n v="5174.07"/>
    <n v="63.38"/>
  </r>
  <r>
    <s v="F166"/>
    <x v="3"/>
    <x v="0"/>
    <x v="0"/>
    <x v="0"/>
    <n v="2200.2044230000001"/>
    <n v="96474"/>
    <n v="7574.39"/>
    <n v="95.54"/>
  </r>
  <r>
    <s v="F115"/>
    <x v="3"/>
    <x v="0"/>
    <x v="1"/>
    <x v="1"/>
    <n v="4874.88"/>
    <n v="29318"/>
    <n v="9860.6200000000008"/>
    <n v="14.58"/>
  </r>
  <r>
    <s v="F032"/>
    <x v="1"/>
    <x v="3"/>
    <x v="1"/>
    <x v="2"/>
    <n v="3104.55"/>
    <n v="33688"/>
    <n v="9495.48"/>
    <n v="55.55"/>
  </r>
  <r>
    <s v="F103"/>
    <x v="4"/>
    <x v="0"/>
    <x v="0"/>
    <x v="2"/>
    <n v="3500.3246159999999"/>
    <n v="22309"/>
    <n v="3656.29"/>
    <n v="75.25"/>
  </r>
  <r>
    <s v="F096"/>
    <x v="0"/>
    <x v="2"/>
    <x v="0"/>
    <x v="0"/>
    <n v="3041.1635329999999"/>
    <n v="21388"/>
    <n v="5249.39"/>
    <n v="64.2"/>
  </r>
  <r>
    <s v="F154"/>
    <x v="0"/>
    <x v="0"/>
    <x v="0"/>
    <x v="0"/>
    <n v="4584.1555330000001"/>
    <n v="17097"/>
    <n v="9061.7800000000007"/>
    <n v="95.92"/>
  </r>
  <r>
    <s v="F050"/>
    <x v="0"/>
    <x v="3"/>
    <x v="0"/>
    <x v="0"/>
    <n v="3894.0086139999999"/>
    <n v="10067"/>
    <n v="1953.33"/>
    <n v="25.15"/>
  </r>
  <r>
    <s v="F103"/>
    <x v="4"/>
    <x v="1"/>
    <x v="1"/>
    <x v="0"/>
    <n v="1782.56"/>
    <n v="22309"/>
    <n v="3656.29"/>
    <n v="75.25"/>
  </r>
  <r>
    <s v="F025"/>
    <x v="4"/>
    <x v="3"/>
    <x v="2"/>
    <x v="0"/>
    <n v="4386.96"/>
    <n v="32131"/>
    <n v="1474.23"/>
    <n v="45.47"/>
  </r>
  <r>
    <s v="F152"/>
    <x v="4"/>
    <x v="0"/>
    <x v="2"/>
    <x v="2"/>
    <n v="644.96"/>
    <n v="90679"/>
    <n v="7266.82"/>
    <n v="23.3"/>
  </r>
  <r>
    <s v="F112"/>
    <x v="4"/>
    <x v="3"/>
    <x v="1"/>
    <x v="0"/>
    <n v="1942.26"/>
    <n v="88188"/>
    <n v="815.86"/>
    <n v="57.53"/>
  </r>
  <r>
    <s v="F044"/>
    <x v="1"/>
    <x v="3"/>
    <x v="2"/>
    <x v="0"/>
    <n v="1990.87"/>
    <n v="93661"/>
    <n v="7324.58"/>
    <n v="23.55"/>
  </r>
  <r>
    <s v="F019"/>
    <x v="0"/>
    <x v="2"/>
    <x v="1"/>
    <x v="1"/>
    <n v="3260.58"/>
    <n v="68018"/>
    <n v="3523.4"/>
    <n v="92.26"/>
  </r>
  <r>
    <s v="F198"/>
    <x v="3"/>
    <x v="3"/>
    <x v="1"/>
    <x v="0"/>
    <n v="1079.0999999999999"/>
    <n v="40577"/>
    <n v="4280.82"/>
    <n v="79.88"/>
  </r>
  <r>
    <s v="F027"/>
    <x v="4"/>
    <x v="2"/>
    <x v="2"/>
    <x v="1"/>
    <n v="2675.56"/>
    <n v="51800"/>
    <n v="3042.95"/>
    <n v="71.87"/>
  </r>
  <r>
    <s v="F021"/>
    <x v="1"/>
    <x v="1"/>
    <x v="2"/>
    <x v="1"/>
    <n v="1583.52"/>
    <n v="44657"/>
    <n v="7867.98"/>
    <n v="96.01"/>
  </r>
  <r>
    <s v="F138"/>
    <x v="0"/>
    <x v="2"/>
    <x v="2"/>
    <x v="1"/>
    <n v="4798.47"/>
    <n v="94393"/>
    <n v="6691.7"/>
    <n v="74.790000000000006"/>
  </r>
  <r>
    <s v="F169"/>
    <x v="2"/>
    <x v="1"/>
    <x v="2"/>
    <x v="2"/>
    <n v="856.9"/>
    <n v="44994"/>
    <n v="7305.59"/>
    <n v="91.53"/>
  </r>
  <r>
    <s v="F134"/>
    <x v="3"/>
    <x v="0"/>
    <x v="0"/>
    <x v="0"/>
    <n v="1158.628164"/>
    <n v="16256"/>
    <n v="2127.1799999999998"/>
    <n v="38.94"/>
  </r>
  <r>
    <s v="F113"/>
    <x v="3"/>
    <x v="0"/>
    <x v="0"/>
    <x v="1"/>
    <n v="5208.6131420000002"/>
    <n v="69636"/>
    <n v="4246.55"/>
    <n v="69.290000000000006"/>
  </r>
  <r>
    <s v="F011"/>
    <x v="4"/>
    <x v="0"/>
    <x v="2"/>
    <x v="1"/>
    <n v="4745.3"/>
    <n v="72846"/>
    <n v="5169.53"/>
    <n v="76.709999999999994"/>
  </r>
  <r>
    <s v="F098"/>
    <x v="4"/>
    <x v="3"/>
    <x v="0"/>
    <x v="0"/>
    <n v="693.43404539999995"/>
    <n v="28704"/>
    <n v="6009.24"/>
    <n v="39.31"/>
  </r>
  <r>
    <s v="F149"/>
    <x v="1"/>
    <x v="0"/>
    <x v="1"/>
    <x v="1"/>
    <n v="3285.65"/>
    <n v="61207"/>
    <n v="6922.33"/>
    <n v="9.1999999999999993"/>
  </r>
  <r>
    <s v="F135"/>
    <x v="3"/>
    <x v="3"/>
    <x v="2"/>
    <x v="2"/>
    <n v="2731.22"/>
    <n v="56531"/>
    <n v="8958.07"/>
    <n v="83.44"/>
  </r>
  <r>
    <s v="F036"/>
    <x v="3"/>
    <x v="0"/>
    <x v="0"/>
    <x v="0"/>
    <n v="2767.5414519999999"/>
    <n v="53942"/>
    <n v="5904.31"/>
    <n v="32.78"/>
  </r>
  <r>
    <s v="F200"/>
    <x v="1"/>
    <x v="1"/>
    <x v="2"/>
    <x v="2"/>
    <n v="1719.12"/>
    <n v="21081"/>
    <n v="9001.77"/>
    <n v="49.27"/>
  </r>
  <r>
    <s v="F030"/>
    <x v="0"/>
    <x v="3"/>
    <x v="1"/>
    <x v="2"/>
    <n v="2475.83"/>
    <n v="49924"/>
    <n v="2199.16"/>
    <n v="75.48"/>
  </r>
  <r>
    <s v="F118"/>
    <x v="0"/>
    <x v="1"/>
    <x v="0"/>
    <x v="0"/>
    <n v="891.04242390000002"/>
    <n v="14170"/>
    <n v="5455.23"/>
    <n v="25.46"/>
  </r>
  <r>
    <s v="F043"/>
    <x v="0"/>
    <x v="3"/>
    <x v="1"/>
    <x v="0"/>
    <n v="4421.93"/>
    <n v="14009"/>
    <n v="7528.98"/>
    <n v="77.62"/>
  </r>
  <r>
    <s v="F091"/>
    <x v="4"/>
    <x v="2"/>
    <x v="1"/>
    <x v="0"/>
    <n v="3545.18"/>
    <n v="43490"/>
    <n v="9300.8799999999992"/>
    <n v="58.43"/>
  </r>
  <r>
    <s v="F092"/>
    <x v="4"/>
    <x v="3"/>
    <x v="1"/>
    <x v="1"/>
    <n v="3073.82"/>
    <n v="79495"/>
    <n v="7157.48"/>
    <n v="26.84"/>
  </r>
  <r>
    <s v="F118"/>
    <x v="0"/>
    <x v="1"/>
    <x v="2"/>
    <x v="1"/>
    <n v="1458.83"/>
    <n v="14170"/>
    <n v="5455.23"/>
    <n v="25.46"/>
  </r>
  <r>
    <s v="F066"/>
    <x v="4"/>
    <x v="0"/>
    <x v="2"/>
    <x v="2"/>
    <n v="3457.1"/>
    <n v="13543"/>
    <n v="7854.96"/>
    <n v="85.57"/>
  </r>
  <r>
    <s v="F175"/>
    <x v="3"/>
    <x v="0"/>
    <x v="0"/>
    <x v="1"/>
    <n v="1857.3661520000001"/>
    <n v="94949"/>
    <n v="9714.76"/>
    <n v="64.900000000000006"/>
  </r>
  <r>
    <s v="F032"/>
    <x v="1"/>
    <x v="3"/>
    <x v="0"/>
    <x v="0"/>
    <n v="877.72838560000002"/>
    <n v="33688"/>
    <n v="9495.48"/>
    <n v="55.55"/>
  </r>
  <r>
    <s v="F125"/>
    <x v="1"/>
    <x v="3"/>
    <x v="0"/>
    <x v="0"/>
    <n v="1349.7273479999999"/>
    <n v="82332"/>
    <n v="7134.86"/>
    <n v="22.44"/>
  </r>
  <r>
    <s v="F042"/>
    <x v="1"/>
    <x v="3"/>
    <x v="0"/>
    <x v="2"/>
    <n v="5028.9440119999999"/>
    <n v="58111"/>
    <n v="4610.8999999999996"/>
    <n v="21.53"/>
  </r>
  <r>
    <s v="F087"/>
    <x v="4"/>
    <x v="3"/>
    <x v="0"/>
    <x v="1"/>
    <n v="4368.4298479999998"/>
    <n v="44164"/>
    <n v="3869.32"/>
    <n v="13.81"/>
  </r>
  <r>
    <s v="F023"/>
    <x v="1"/>
    <x v="2"/>
    <x v="1"/>
    <x v="1"/>
    <n v="3793.84"/>
    <n v="47484"/>
    <n v="3396.39"/>
    <n v="19.510000000000002"/>
  </r>
  <r>
    <s v="F030"/>
    <x v="0"/>
    <x v="0"/>
    <x v="2"/>
    <x v="1"/>
    <n v="944.95"/>
    <n v="49924"/>
    <n v="2199.16"/>
    <n v="75.48"/>
  </r>
  <r>
    <s v="F054"/>
    <x v="3"/>
    <x v="2"/>
    <x v="0"/>
    <x v="1"/>
    <n v="2973.3029620000002"/>
    <n v="38869"/>
    <n v="5109.76"/>
    <n v="35.270000000000003"/>
  </r>
  <r>
    <s v="F064"/>
    <x v="1"/>
    <x v="0"/>
    <x v="0"/>
    <x v="2"/>
    <n v="3422.23"/>
    <n v="70481"/>
    <n v="4452.83"/>
    <n v="91.26"/>
  </r>
  <r>
    <s v="F121"/>
    <x v="3"/>
    <x v="1"/>
    <x v="2"/>
    <x v="1"/>
    <n v="3754.94"/>
    <n v="11952"/>
    <n v="4637.74"/>
    <n v="63.78"/>
  </r>
  <r>
    <s v="F185"/>
    <x v="0"/>
    <x v="0"/>
    <x v="0"/>
    <x v="2"/>
    <n v="1213.4732180000001"/>
    <n v="68820"/>
    <n v="9612.25"/>
    <n v="83.51"/>
  </r>
  <r>
    <s v="F099"/>
    <x v="3"/>
    <x v="1"/>
    <x v="2"/>
    <x v="2"/>
    <n v="358.65"/>
    <n v="17162"/>
    <n v="5079.95"/>
    <n v="19.239999999999998"/>
  </r>
  <r>
    <s v="F035"/>
    <x v="4"/>
    <x v="1"/>
    <x v="1"/>
    <x v="2"/>
    <n v="3630.35"/>
    <n v="24913"/>
    <n v="5727.27"/>
    <n v="78.849999999999994"/>
  </r>
  <r>
    <s v="F185"/>
    <x v="0"/>
    <x v="2"/>
    <x v="2"/>
    <x v="0"/>
    <n v="3966.5"/>
    <n v="68820"/>
    <n v="9612.25"/>
    <n v="83.51"/>
  </r>
  <r>
    <s v="F185"/>
    <x v="0"/>
    <x v="3"/>
    <x v="0"/>
    <x v="0"/>
    <n v="3886.2318919999998"/>
    <n v="68820"/>
    <n v="9612.25"/>
    <n v="83.51"/>
  </r>
  <r>
    <s v="F110"/>
    <x v="4"/>
    <x v="2"/>
    <x v="0"/>
    <x v="0"/>
    <n v="1898.1840259999999"/>
    <n v="85868"/>
    <n v="907.72"/>
    <n v="90.36"/>
  </r>
  <r>
    <s v="F064"/>
    <x v="1"/>
    <x v="2"/>
    <x v="2"/>
    <x v="1"/>
    <n v="1366.72"/>
    <n v="70481"/>
    <n v="4452.83"/>
    <n v="91.26"/>
  </r>
  <r>
    <s v="F095"/>
    <x v="2"/>
    <x v="2"/>
    <x v="0"/>
    <x v="2"/>
    <n v="1988.1353349999999"/>
    <n v="49885"/>
    <n v="6845.46"/>
    <n v="58.4"/>
  </r>
  <r>
    <s v="F132"/>
    <x v="4"/>
    <x v="1"/>
    <x v="2"/>
    <x v="1"/>
    <n v="2529.38"/>
    <n v="76544"/>
    <n v="8632.77"/>
    <n v="12.87"/>
  </r>
  <r>
    <s v="F074"/>
    <x v="1"/>
    <x v="1"/>
    <x v="2"/>
    <x v="0"/>
    <n v="3229.82"/>
    <n v="25148"/>
    <n v="9604.5499999999993"/>
    <n v="63.47"/>
  </r>
  <r>
    <s v="F042"/>
    <x v="1"/>
    <x v="1"/>
    <x v="1"/>
    <x v="2"/>
    <n v="1835.81"/>
    <n v="58111"/>
    <n v="4610.8999999999996"/>
    <n v="21.53"/>
  </r>
  <r>
    <s v="F065"/>
    <x v="1"/>
    <x v="2"/>
    <x v="0"/>
    <x v="2"/>
    <n v="4463.7645069999999"/>
    <n v="91031"/>
    <n v="1783.57"/>
    <n v="32.049999999999997"/>
  </r>
  <r>
    <s v="F047"/>
    <x v="0"/>
    <x v="1"/>
    <x v="0"/>
    <x v="0"/>
    <n v="2646.5870319999999"/>
    <n v="39568"/>
    <n v="3580.54"/>
    <n v="78.08"/>
  </r>
  <r>
    <s v="F002"/>
    <x v="4"/>
    <x v="2"/>
    <x v="0"/>
    <x v="2"/>
    <n v="3222.4658469999999"/>
    <n v="53661"/>
    <n v="6965.81"/>
    <n v="69.400000000000006"/>
  </r>
  <r>
    <s v="F007"/>
    <x v="4"/>
    <x v="2"/>
    <x v="1"/>
    <x v="0"/>
    <n v="3493.4"/>
    <n v="35506"/>
    <n v="1892.04"/>
    <n v="61.53"/>
  </r>
  <r>
    <s v="F054"/>
    <x v="3"/>
    <x v="2"/>
    <x v="2"/>
    <x v="2"/>
    <n v="871.61"/>
    <n v="38869"/>
    <n v="5109.76"/>
    <n v="35.270000000000003"/>
  </r>
  <r>
    <s v="F126"/>
    <x v="2"/>
    <x v="2"/>
    <x v="2"/>
    <x v="1"/>
    <n v="407.43"/>
    <n v="75508"/>
    <n v="6856.22"/>
    <n v="18.2"/>
  </r>
  <r>
    <s v="F019"/>
    <x v="0"/>
    <x v="2"/>
    <x v="2"/>
    <x v="0"/>
    <n v="4341.34"/>
    <n v="68018"/>
    <n v="3523.4"/>
    <n v="92.26"/>
  </r>
  <r>
    <s v="F178"/>
    <x v="3"/>
    <x v="1"/>
    <x v="0"/>
    <x v="1"/>
    <n v="1935.295691"/>
    <n v="94861"/>
    <n v="8363.57"/>
    <n v="90.29"/>
  </r>
  <r>
    <s v="F038"/>
    <x v="4"/>
    <x v="2"/>
    <x v="1"/>
    <x v="0"/>
    <n v="3547.68"/>
    <n v="18341"/>
    <n v="8465.57"/>
    <n v="38.39"/>
  </r>
  <r>
    <s v="F095"/>
    <x v="2"/>
    <x v="3"/>
    <x v="1"/>
    <x v="2"/>
    <n v="4904.09"/>
    <n v="49885"/>
    <n v="6845.46"/>
    <n v="58.4"/>
  </r>
  <r>
    <s v="F101"/>
    <x v="3"/>
    <x v="0"/>
    <x v="1"/>
    <x v="0"/>
    <n v="3391.08"/>
    <n v="65719"/>
    <n v="9362.41"/>
    <n v="86.55"/>
  </r>
  <r>
    <s v="F077"/>
    <x v="4"/>
    <x v="0"/>
    <x v="2"/>
    <x v="0"/>
    <n v="589.80999999999995"/>
    <n v="52836"/>
    <n v="9330.2999999999993"/>
    <n v="87.27"/>
  </r>
  <r>
    <s v="F014"/>
    <x v="2"/>
    <x v="1"/>
    <x v="2"/>
    <x v="2"/>
    <n v="1487.46"/>
    <n v="17416"/>
    <n v="812.06"/>
    <n v="5.7"/>
  </r>
  <r>
    <s v="F065"/>
    <x v="1"/>
    <x v="1"/>
    <x v="1"/>
    <x v="2"/>
    <n v="2879.35"/>
    <n v="91031"/>
    <n v="1783.57"/>
    <n v="32.049999999999997"/>
  </r>
  <r>
    <s v="F030"/>
    <x v="0"/>
    <x v="1"/>
    <x v="2"/>
    <x v="2"/>
    <n v="3544.12"/>
    <n v="49924"/>
    <n v="2199.16"/>
    <n v="75.48"/>
  </r>
  <r>
    <s v="F065"/>
    <x v="1"/>
    <x v="0"/>
    <x v="1"/>
    <x v="0"/>
    <n v="646.33000000000004"/>
    <n v="91031"/>
    <n v="1783.57"/>
    <n v="32.049999999999997"/>
  </r>
  <r>
    <s v="F006"/>
    <x v="4"/>
    <x v="2"/>
    <x v="1"/>
    <x v="0"/>
    <n v="1569.86"/>
    <n v="11426"/>
    <n v="4439.5600000000004"/>
    <n v="52.71"/>
  </r>
  <r>
    <s v="F109"/>
    <x v="0"/>
    <x v="3"/>
    <x v="2"/>
    <x v="1"/>
    <n v="2728.09"/>
    <n v="34318"/>
    <n v="675.67"/>
    <n v="41.05"/>
  </r>
  <r>
    <s v="F197"/>
    <x v="2"/>
    <x v="2"/>
    <x v="2"/>
    <x v="1"/>
    <n v="1865.65"/>
    <n v="59617"/>
    <n v="5000.95"/>
    <n v="80.36"/>
  </r>
  <r>
    <s v="F114"/>
    <x v="1"/>
    <x v="1"/>
    <x v="2"/>
    <x v="0"/>
    <n v="4048.31"/>
    <n v="57353"/>
    <n v="2274.71"/>
    <n v="65.34"/>
  </r>
  <r>
    <s v="F139"/>
    <x v="0"/>
    <x v="3"/>
    <x v="2"/>
    <x v="1"/>
    <n v="468.34"/>
    <n v="80904"/>
    <n v="3263.09"/>
    <n v="58.37"/>
  </r>
  <r>
    <s v="F075"/>
    <x v="3"/>
    <x v="1"/>
    <x v="2"/>
    <x v="0"/>
    <n v="802.1"/>
    <n v="60513"/>
    <n v="4578.16"/>
    <n v="65.53"/>
  </r>
  <r>
    <s v="F108"/>
    <x v="3"/>
    <x v="3"/>
    <x v="0"/>
    <x v="0"/>
    <n v="3548.259994"/>
    <n v="39050"/>
    <n v="5885.73"/>
    <n v="93.04"/>
  </r>
  <r>
    <s v="F155"/>
    <x v="2"/>
    <x v="0"/>
    <x v="1"/>
    <x v="1"/>
    <n v="647.30999999999995"/>
    <n v="75736"/>
    <n v="6287.07"/>
    <n v="63.11"/>
  </r>
  <r>
    <s v="F112"/>
    <x v="4"/>
    <x v="3"/>
    <x v="1"/>
    <x v="2"/>
    <n v="1024.8599999999999"/>
    <n v="88188"/>
    <n v="815.86"/>
    <n v="57.53"/>
  </r>
  <r>
    <s v="F185"/>
    <x v="0"/>
    <x v="2"/>
    <x v="1"/>
    <x v="2"/>
    <n v="304.14999999999998"/>
    <n v="68820"/>
    <n v="9612.25"/>
    <n v="83.51"/>
  </r>
  <r>
    <s v="F086"/>
    <x v="4"/>
    <x v="2"/>
    <x v="2"/>
    <x v="2"/>
    <n v="4794.1899999999996"/>
    <n v="55974"/>
    <n v="7542.28"/>
    <n v="72.430000000000007"/>
  </r>
  <r>
    <s v="F115"/>
    <x v="3"/>
    <x v="3"/>
    <x v="2"/>
    <x v="2"/>
    <n v="2331.7399999999998"/>
    <n v="29318"/>
    <n v="9860.6200000000008"/>
    <n v="14.58"/>
  </r>
  <r>
    <s v="F070"/>
    <x v="2"/>
    <x v="1"/>
    <x v="2"/>
    <x v="0"/>
    <n v="4183.93"/>
    <n v="15128"/>
    <n v="8847.09"/>
    <n v="5.25"/>
  </r>
  <r>
    <s v="F023"/>
    <x v="1"/>
    <x v="1"/>
    <x v="1"/>
    <x v="1"/>
    <n v="1515.76"/>
    <n v="47484"/>
    <n v="3396.39"/>
    <n v="19.510000000000002"/>
  </r>
  <r>
    <s v="F003"/>
    <x v="3"/>
    <x v="2"/>
    <x v="0"/>
    <x v="0"/>
    <n v="4299.7299999999996"/>
    <n v="27681"/>
    <n v="928.26"/>
    <n v="44.97"/>
  </r>
  <r>
    <s v="F161"/>
    <x v="2"/>
    <x v="1"/>
    <x v="2"/>
    <x v="2"/>
    <n v="303.22000000000003"/>
    <n v="36171"/>
    <n v="6864.38"/>
    <n v="37.03"/>
  </r>
  <r>
    <s v="F089"/>
    <x v="4"/>
    <x v="0"/>
    <x v="1"/>
    <x v="0"/>
    <n v="2427.3000000000002"/>
    <n v="58895"/>
    <n v="3039.17"/>
    <n v="59.82"/>
  </r>
  <r>
    <s v="F076"/>
    <x v="2"/>
    <x v="1"/>
    <x v="1"/>
    <x v="1"/>
    <n v="3481.31"/>
    <n v="41953"/>
    <n v="2379.14"/>
    <n v="65.67"/>
  </r>
  <r>
    <s v="F036"/>
    <x v="3"/>
    <x v="2"/>
    <x v="2"/>
    <x v="0"/>
    <n v="2451.0100000000002"/>
    <n v="53942"/>
    <n v="5904.31"/>
    <n v="32.78"/>
  </r>
  <r>
    <s v="F198"/>
    <x v="3"/>
    <x v="0"/>
    <x v="0"/>
    <x v="0"/>
    <n v="2726.5885549999998"/>
    <n v="40577"/>
    <n v="4280.82"/>
    <n v="79.88"/>
  </r>
  <r>
    <s v="F170"/>
    <x v="2"/>
    <x v="1"/>
    <x v="2"/>
    <x v="2"/>
    <n v="4059.4"/>
    <n v="24502"/>
    <n v="7466.86"/>
    <n v="88.83"/>
  </r>
  <r>
    <s v="F192"/>
    <x v="4"/>
    <x v="3"/>
    <x v="2"/>
    <x v="0"/>
    <n v="3874.1"/>
    <n v="21914"/>
    <n v="5897.27"/>
    <n v="49.41"/>
  </r>
  <r>
    <s v="F118"/>
    <x v="0"/>
    <x v="3"/>
    <x v="1"/>
    <x v="0"/>
    <n v="870.3"/>
    <n v="14170"/>
    <n v="5455.23"/>
    <n v="25.46"/>
  </r>
  <r>
    <s v="F170"/>
    <x v="2"/>
    <x v="0"/>
    <x v="2"/>
    <x v="2"/>
    <n v="1471.82"/>
    <n v="24502"/>
    <n v="7466.86"/>
    <n v="88.83"/>
  </r>
  <r>
    <s v="F136"/>
    <x v="1"/>
    <x v="0"/>
    <x v="0"/>
    <x v="0"/>
    <n v="3436.0007540000001"/>
    <n v="43346"/>
    <n v="5559.12"/>
    <n v="39.4"/>
  </r>
  <r>
    <s v="F148"/>
    <x v="1"/>
    <x v="1"/>
    <x v="0"/>
    <x v="2"/>
    <n v="479.22266450000001"/>
    <n v="47491"/>
    <n v="5781.05"/>
    <n v="92.18"/>
  </r>
  <r>
    <s v="F043"/>
    <x v="0"/>
    <x v="2"/>
    <x v="1"/>
    <x v="1"/>
    <n v="2840.69"/>
    <n v="14009"/>
    <n v="7528.98"/>
    <n v="77.62"/>
  </r>
  <r>
    <s v="F019"/>
    <x v="0"/>
    <x v="1"/>
    <x v="2"/>
    <x v="1"/>
    <n v="1808.08"/>
    <n v="68018"/>
    <n v="3523.4"/>
    <n v="92.26"/>
  </r>
  <r>
    <s v="F143"/>
    <x v="1"/>
    <x v="3"/>
    <x v="2"/>
    <x v="2"/>
    <n v="425.7"/>
    <n v="29406"/>
    <n v="5281.69"/>
    <n v="27.01"/>
  </r>
  <r>
    <s v="F145"/>
    <x v="4"/>
    <x v="3"/>
    <x v="1"/>
    <x v="0"/>
    <n v="981.92"/>
    <n v="68492"/>
    <n v="3533.88"/>
    <n v="52.99"/>
  </r>
  <r>
    <s v="F017"/>
    <x v="2"/>
    <x v="0"/>
    <x v="0"/>
    <x v="1"/>
    <n v="1089.2861559999999"/>
    <n v="71747"/>
    <n v="9838.66"/>
    <n v="7.25"/>
  </r>
  <r>
    <s v="F130"/>
    <x v="3"/>
    <x v="3"/>
    <x v="0"/>
    <x v="2"/>
    <n v="4336.6087239999997"/>
    <n v="43227"/>
    <n v="5199.53"/>
    <n v="44.09"/>
  </r>
  <r>
    <s v="F026"/>
    <x v="2"/>
    <x v="2"/>
    <x v="0"/>
    <x v="1"/>
    <n v="1820.9864809999999"/>
    <n v="32246"/>
    <n v="7903.93"/>
    <n v="42.12"/>
  </r>
  <r>
    <s v="F126"/>
    <x v="2"/>
    <x v="1"/>
    <x v="1"/>
    <x v="1"/>
    <n v="2772.88"/>
    <n v="75508"/>
    <n v="6856.22"/>
    <n v="18.2"/>
  </r>
  <r>
    <s v="F084"/>
    <x v="3"/>
    <x v="1"/>
    <x v="1"/>
    <x v="2"/>
    <n v="4985.09"/>
    <n v="54136"/>
    <n v="2775.38"/>
    <n v="75.459999999999994"/>
  </r>
  <r>
    <s v="F075"/>
    <x v="3"/>
    <x v="2"/>
    <x v="0"/>
    <x v="0"/>
    <n v="4859.13"/>
    <n v="60513"/>
    <n v="4578.16"/>
    <n v="65.53"/>
  </r>
  <r>
    <s v="F139"/>
    <x v="0"/>
    <x v="3"/>
    <x v="2"/>
    <x v="1"/>
    <n v="3855.03"/>
    <n v="80904"/>
    <n v="3263.09"/>
    <n v="58.37"/>
  </r>
  <r>
    <s v="F124"/>
    <x v="3"/>
    <x v="0"/>
    <x v="0"/>
    <x v="2"/>
    <n v="1087.933657"/>
    <n v="37309"/>
    <n v="4508.54"/>
    <n v="47.15"/>
  </r>
  <r>
    <s v="F079"/>
    <x v="2"/>
    <x v="0"/>
    <x v="1"/>
    <x v="0"/>
    <n v="3311.86"/>
    <n v="17311"/>
    <n v="2257.38"/>
    <n v="91.07"/>
  </r>
  <r>
    <s v="F075"/>
    <x v="3"/>
    <x v="0"/>
    <x v="0"/>
    <x v="2"/>
    <n v="3496.49"/>
    <n v="60513"/>
    <n v="4578.16"/>
    <n v="65.53"/>
  </r>
  <r>
    <s v="F046"/>
    <x v="4"/>
    <x v="3"/>
    <x v="2"/>
    <x v="0"/>
    <n v="3355.28"/>
    <n v="87337"/>
    <n v="3603.06"/>
    <n v="67.13"/>
  </r>
  <r>
    <s v="F174"/>
    <x v="3"/>
    <x v="0"/>
    <x v="0"/>
    <x v="0"/>
    <n v="4871.4203090000001"/>
    <n v="95962"/>
    <n v="524.72"/>
    <n v="49.55"/>
  </r>
  <r>
    <s v="F008"/>
    <x v="3"/>
    <x v="1"/>
    <x v="0"/>
    <x v="0"/>
    <n v="1245.54"/>
    <n v="50306"/>
    <n v="7031.37"/>
    <n v="13.27"/>
  </r>
  <r>
    <s v="F028"/>
    <x v="4"/>
    <x v="3"/>
    <x v="1"/>
    <x v="1"/>
    <n v="2891.84"/>
    <n v="73977"/>
    <n v="1646.75"/>
    <n v="43.77"/>
  </r>
  <r>
    <s v="F042"/>
    <x v="1"/>
    <x v="0"/>
    <x v="1"/>
    <x v="0"/>
    <n v="2482.64"/>
    <n v="58111"/>
    <n v="4610.8999999999996"/>
    <n v="21.53"/>
  </r>
  <r>
    <s v="F140"/>
    <x v="4"/>
    <x v="2"/>
    <x v="0"/>
    <x v="0"/>
    <n v="3463.8851949999998"/>
    <n v="94347"/>
    <n v="2272.58"/>
    <n v="34.75"/>
  </r>
  <r>
    <s v="F147"/>
    <x v="1"/>
    <x v="0"/>
    <x v="0"/>
    <x v="2"/>
    <n v="2901.3369090000001"/>
    <n v="13333"/>
    <n v="6102.15"/>
    <n v="17.670000000000002"/>
  </r>
  <r>
    <s v="F020"/>
    <x v="2"/>
    <x v="3"/>
    <x v="1"/>
    <x v="1"/>
    <n v="1323.76"/>
    <n v="95165"/>
    <n v="8562.76"/>
    <n v="37.54"/>
  </r>
  <r>
    <s v="F076"/>
    <x v="2"/>
    <x v="0"/>
    <x v="0"/>
    <x v="2"/>
    <n v="2332.1231010000001"/>
    <n v="41953"/>
    <n v="2379.14"/>
    <n v="65.67"/>
  </r>
  <r>
    <s v="F009"/>
    <x v="0"/>
    <x v="0"/>
    <x v="2"/>
    <x v="2"/>
    <n v="462.78"/>
    <n v="45644"/>
    <n v="7724.73"/>
    <n v="31"/>
  </r>
  <r>
    <s v="F147"/>
    <x v="1"/>
    <x v="2"/>
    <x v="1"/>
    <x v="1"/>
    <n v="1229.33"/>
    <n v="13333"/>
    <n v="6102.15"/>
    <n v="17.670000000000002"/>
  </r>
  <r>
    <s v="F176"/>
    <x v="4"/>
    <x v="1"/>
    <x v="1"/>
    <x v="1"/>
    <n v="3457.79"/>
    <n v="18726"/>
    <n v="5099.54"/>
    <n v="71.05"/>
  </r>
  <r>
    <s v="F161"/>
    <x v="2"/>
    <x v="0"/>
    <x v="1"/>
    <x v="1"/>
    <n v="3519.41"/>
    <n v="36171"/>
    <n v="6864.38"/>
    <n v="37.03"/>
  </r>
  <r>
    <s v="F170"/>
    <x v="2"/>
    <x v="0"/>
    <x v="2"/>
    <x v="2"/>
    <n v="2913.47"/>
    <n v="24502"/>
    <n v="7466.86"/>
    <n v="88.83"/>
  </r>
  <r>
    <s v="F142"/>
    <x v="0"/>
    <x v="3"/>
    <x v="2"/>
    <x v="1"/>
    <n v="1431.51"/>
    <n v="68278"/>
    <n v="3272.65"/>
    <n v="30.47"/>
  </r>
  <r>
    <s v="F063"/>
    <x v="4"/>
    <x v="3"/>
    <x v="2"/>
    <x v="2"/>
    <n v="2346.0500000000002"/>
    <n v="45519"/>
    <n v="7987.69"/>
    <n v="10.86"/>
  </r>
  <r>
    <s v="F174"/>
    <x v="3"/>
    <x v="0"/>
    <x v="2"/>
    <x v="1"/>
    <n v="4191.3599999999997"/>
    <n v="95962"/>
    <n v="524.72"/>
    <n v="49.55"/>
  </r>
  <r>
    <s v="F193"/>
    <x v="1"/>
    <x v="3"/>
    <x v="0"/>
    <x v="1"/>
    <n v="2422.4672390000001"/>
    <n v="15333"/>
    <n v="2570.54"/>
    <n v="41.07"/>
  </r>
  <r>
    <s v="F197"/>
    <x v="2"/>
    <x v="1"/>
    <x v="0"/>
    <x v="0"/>
    <n v="3331.6588299999999"/>
    <n v="59617"/>
    <n v="5000.95"/>
    <n v="80.36"/>
  </r>
  <r>
    <s v="F113"/>
    <x v="3"/>
    <x v="3"/>
    <x v="1"/>
    <x v="1"/>
    <n v="1833.49"/>
    <n v="69636"/>
    <n v="4246.55"/>
    <n v="69.290000000000006"/>
  </r>
  <r>
    <s v="F062"/>
    <x v="2"/>
    <x v="2"/>
    <x v="1"/>
    <x v="0"/>
    <n v="4018.22"/>
    <n v="19265"/>
    <n v="776.6"/>
    <n v="39.75"/>
  </r>
  <r>
    <s v="F156"/>
    <x v="2"/>
    <x v="2"/>
    <x v="0"/>
    <x v="0"/>
    <n v="2681.922975"/>
    <n v="88308"/>
    <n v="7802.07"/>
    <n v="36.130000000000003"/>
  </r>
  <r>
    <s v="F161"/>
    <x v="2"/>
    <x v="1"/>
    <x v="0"/>
    <x v="2"/>
    <n v="1889.493285"/>
    <n v="36171"/>
    <n v="6864.38"/>
    <n v="37.03"/>
  </r>
  <r>
    <s v="F029"/>
    <x v="4"/>
    <x v="3"/>
    <x v="1"/>
    <x v="0"/>
    <n v="1407.92"/>
    <n v="12262"/>
    <n v="7106.18"/>
    <n v="45.69"/>
  </r>
  <r>
    <s v="F127"/>
    <x v="3"/>
    <x v="3"/>
    <x v="1"/>
    <x v="1"/>
    <n v="4935.72"/>
    <n v="77400"/>
    <n v="7504.8"/>
    <n v="68.819999999999993"/>
  </r>
  <r>
    <s v="F093"/>
    <x v="2"/>
    <x v="0"/>
    <x v="0"/>
    <x v="1"/>
    <n v="2103.19"/>
    <n v="15553"/>
    <n v="3909.51"/>
    <n v="46.44"/>
  </r>
  <r>
    <s v="F169"/>
    <x v="2"/>
    <x v="2"/>
    <x v="2"/>
    <x v="0"/>
    <n v="2046.76"/>
    <n v="44994"/>
    <n v="7305.59"/>
    <n v="91.53"/>
  </r>
  <r>
    <s v="F063"/>
    <x v="4"/>
    <x v="0"/>
    <x v="1"/>
    <x v="2"/>
    <n v="3397.43"/>
    <n v="45519"/>
    <n v="7987.69"/>
    <n v="10.86"/>
  </r>
  <r>
    <s v="F142"/>
    <x v="0"/>
    <x v="1"/>
    <x v="0"/>
    <x v="0"/>
    <n v="3221.574627"/>
    <n v="68278"/>
    <n v="3272.65"/>
    <n v="30.47"/>
  </r>
  <r>
    <s v="F089"/>
    <x v="4"/>
    <x v="1"/>
    <x v="0"/>
    <x v="1"/>
    <n v="4882.4680390000003"/>
    <n v="58895"/>
    <n v="3039.17"/>
    <n v="59.82"/>
  </r>
  <r>
    <s v="F051"/>
    <x v="4"/>
    <x v="1"/>
    <x v="2"/>
    <x v="2"/>
    <n v="2857.09"/>
    <n v="56752"/>
    <n v="4177.68"/>
    <n v="10.96"/>
  </r>
  <r>
    <s v="F083"/>
    <x v="2"/>
    <x v="0"/>
    <x v="1"/>
    <x v="2"/>
    <n v="1140.1600000000001"/>
    <n v="94704"/>
    <n v="6632.95"/>
    <n v="14.76"/>
  </r>
  <r>
    <s v="F175"/>
    <x v="3"/>
    <x v="3"/>
    <x v="0"/>
    <x v="2"/>
    <n v="2822.9423630000001"/>
    <n v="94949"/>
    <n v="9714.76"/>
    <n v="64.900000000000006"/>
  </r>
  <r>
    <s v="F072"/>
    <x v="2"/>
    <x v="2"/>
    <x v="2"/>
    <x v="1"/>
    <n v="727.78"/>
    <n v="95292"/>
    <n v="697.47"/>
    <n v="88.35"/>
  </r>
  <r>
    <s v="F043"/>
    <x v="0"/>
    <x v="0"/>
    <x v="0"/>
    <x v="0"/>
    <n v="367.90000450000002"/>
    <n v="14009"/>
    <n v="7528.98"/>
    <n v="77.62"/>
  </r>
  <r>
    <s v="F123"/>
    <x v="1"/>
    <x v="3"/>
    <x v="1"/>
    <x v="0"/>
    <n v="2303.56"/>
    <n v="58113"/>
    <n v="6382.12"/>
    <n v="56.66"/>
  </r>
  <r>
    <s v="F168"/>
    <x v="2"/>
    <x v="3"/>
    <x v="1"/>
    <x v="1"/>
    <n v="1650.12"/>
    <n v="24095"/>
    <n v="3167.52"/>
    <n v="31.02"/>
  </r>
  <r>
    <s v="F047"/>
    <x v="0"/>
    <x v="0"/>
    <x v="0"/>
    <x v="1"/>
    <n v="4564.4035119999999"/>
    <n v="39568"/>
    <n v="3580.54"/>
    <n v="78.08"/>
  </r>
  <r>
    <s v="F148"/>
    <x v="1"/>
    <x v="0"/>
    <x v="1"/>
    <x v="2"/>
    <n v="3466.51"/>
    <n v="47491"/>
    <n v="5781.05"/>
    <n v="92.18"/>
  </r>
  <r>
    <s v="F185"/>
    <x v="0"/>
    <x v="1"/>
    <x v="1"/>
    <x v="1"/>
    <n v="4237.8100000000004"/>
    <n v="68820"/>
    <n v="9612.25"/>
    <n v="83.51"/>
  </r>
  <r>
    <s v="F057"/>
    <x v="1"/>
    <x v="2"/>
    <x v="2"/>
    <x v="2"/>
    <n v="323.04000000000002"/>
    <n v="40226"/>
    <n v="7868.86"/>
    <n v="80.53"/>
  </r>
  <r>
    <s v="F047"/>
    <x v="0"/>
    <x v="2"/>
    <x v="2"/>
    <x v="2"/>
    <n v="3867.63"/>
    <n v="39568"/>
    <n v="3580.54"/>
    <n v="78.08"/>
  </r>
  <r>
    <s v="F185"/>
    <x v="0"/>
    <x v="2"/>
    <x v="0"/>
    <x v="1"/>
    <n v="748.11408010000002"/>
    <n v="68820"/>
    <n v="9612.25"/>
    <n v="83.51"/>
  </r>
  <r>
    <s v="F017"/>
    <x v="2"/>
    <x v="2"/>
    <x v="0"/>
    <x v="1"/>
    <n v="654.85997269999996"/>
    <n v="71747"/>
    <n v="9838.66"/>
    <n v="7.25"/>
  </r>
  <r>
    <s v="F198"/>
    <x v="3"/>
    <x v="0"/>
    <x v="1"/>
    <x v="2"/>
    <n v="2241.89"/>
    <n v="40577"/>
    <n v="4280.82"/>
    <n v="79.88"/>
  </r>
  <r>
    <s v="F121"/>
    <x v="3"/>
    <x v="1"/>
    <x v="2"/>
    <x v="0"/>
    <n v="3489.31"/>
    <n v="11952"/>
    <n v="4637.74"/>
    <n v="63.78"/>
  </r>
  <r>
    <s v="F028"/>
    <x v="4"/>
    <x v="2"/>
    <x v="1"/>
    <x v="1"/>
    <n v="2200.2199999999998"/>
    <n v="73977"/>
    <n v="1646.75"/>
    <n v="43.77"/>
  </r>
  <r>
    <s v="F123"/>
    <x v="1"/>
    <x v="2"/>
    <x v="1"/>
    <x v="1"/>
    <n v="3247.72"/>
    <n v="58113"/>
    <n v="6382.12"/>
    <n v="56.66"/>
  </r>
  <r>
    <s v="F045"/>
    <x v="0"/>
    <x v="1"/>
    <x v="2"/>
    <x v="2"/>
    <n v="3855.39"/>
    <n v="34725"/>
    <n v="3269.89"/>
    <n v="78.86"/>
  </r>
  <r>
    <s v="F194"/>
    <x v="3"/>
    <x v="0"/>
    <x v="0"/>
    <x v="2"/>
    <n v="3111.261825"/>
    <n v="42382"/>
    <n v="5116.6899999999996"/>
    <n v="80.42"/>
  </r>
  <r>
    <s v="F025"/>
    <x v="4"/>
    <x v="3"/>
    <x v="1"/>
    <x v="0"/>
    <n v="2036.83"/>
    <n v="32131"/>
    <n v="1474.23"/>
    <n v="45.47"/>
  </r>
  <r>
    <s v="F032"/>
    <x v="1"/>
    <x v="0"/>
    <x v="1"/>
    <x v="1"/>
    <n v="4876.37"/>
    <n v="33688"/>
    <n v="9495.48"/>
    <n v="55.55"/>
  </r>
  <r>
    <s v="F095"/>
    <x v="2"/>
    <x v="0"/>
    <x v="1"/>
    <x v="2"/>
    <n v="4256.16"/>
    <n v="49885"/>
    <n v="6845.46"/>
    <n v="58.4"/>
  </r>
  <r>
    <s v="F057"/>
    <x v="1"/>
    <x v="1"/>
    <x v="1"/>
    <x v="1"/>
    <n v="4947.18"/>
    <n v="40226"/>
    <n v="7868.86"/>
    <n v="80.53"/>
  </r>
  <r>
    <s v="F120"/>
    <x v="4"/>
    <x v="3"/>
    <x v="2"/>
    <x v="0"/>
    <n v="425.91"/>
    <n v="57215"/>
    <n v="3227.1"/>
    <n v="32.909999999999997"/>
  </r>
  <r>
    <s v="F200"/>
    <x v="1"/>
    <x v="0"/>
    <x v="2"/>
    <x v="0"/>
    <n v="4620.84"/>
    <n v="21081"/>
    <n v="9001.77"/>
    <n v="49.27"/>
  </r>
  <r>
    <s v="F193"/>
    <x v="1"/>
    <x v="0"/>
    <x v="0"/>
    <x v="2"/>
    <n v="4302.503428"/>
    <n v="15333"/>
    <n v="2570.54"/>
    <n v="41.07"/>
  </r>
  <r>
    <s v="F033"/>
    <x v="0"/>
    <x v="3"/>
    <x v="1"/>
    <x v="1"/>
    <n v="2571.46"/>
    <n v="47727"/>
    <n v="8907.33"/>
    <n v="47.4"/>
  </r>
  <r>
    <s v="F061"/>
    <x v="1"/>
    <x v="0"/>
    <x v="1"/>
    <x v="1"/>
    <n v="968.92"/>
    <n v="21386"/>
    <n v="2271.92"/>
    <n v="49.67"/>
  </r>
  <r>
    <s v="F106"/>
    <x v="3"/>
    <x v="2"/>
    <x v="0"/>
    <x v="2"/>
    <n v="2916.987545"/>
    <n v="98682"/>
    <n v="6220.56"/>
    <n v="70.099999999999994"/>
  </r>
  <r>
    <s v="F101"/>
    <x v="3"/>
    <x v="0"/>
    <x v="0"/>
    <x v="0"/>
    <n v="4400.8911360000002"/>
    <n v="65719"/>
    <n v="9362.41"/>
    <n v="86.55"/>
  </r>
  <r>
    <s v="F142"/>
    <x v="0"/>
    <x v="1"/>
    <x v="0"/>
    <x v="0"/>
    <n v="1791.2917809999999"/>
    <n v="68278"/>
    <n v="3272.65"/>
    <n v="30.47"/>
  </r>
  <r>
    <s v="F024"/>
    <x v="4"/>
    <x v="0"/>
    <x v="1"/>
    <x v="1"/>
    <n v="594.47"/>
    <n v="95718"/>
    <n v="2443.12"/>
    <n v="35.49"/>
  </r>
  <r>
    <s v="F187"/>
    <x v="2"/>
    <x v="3"/>
    <x v="2"/>
    <x v="1"/>
    <n v="2602.85"/>
    <n v="77317"/>
    <n v="4862.95"/>
    <n v="89.78"/>
  </r>
  <r>
    <s v="F104"/>
    <x v="4"/>
    <x v="0"/>
    <x v="1"/>
    <x v="2"/>
    <n v="558.53"/>
    <n v="84851"/>
    <n v="560.75"/>
    <n v="80.23"/>
  </r>
  <r>
    <s v="F046"/>
    <x v="4"/>
    <x v="2"/>
    <x v="2"/>
    <x v="2"/>
    <n v="3004.54"/>
    <n v="87337"/>
    <n v="3603.06"/>
    <n v="67.13"/>
  </r>
  <r>
    <s v="F144"/>
    <x v="2"/>
    <x v="3"/>
    <x v="1"/>
    <x v="1"/>
    <n v="1288.92"/>
    <n v="16868"/>
    <n v="1378.01"/>
    <n v="47.52"/>
  </r>
  <r>
    <s v="F150"/>
    <x v="4"/>
    <x v="0"/>
    <x v="0"/>
    <x v="2"/>
    <n v="4950.7719509999997"/>
    <n v="46863"/>
    <n v="6762.98"/>
    <n v="23.45"/>
  </r>
  <r>
    <s v="F101"/>
    <x v="3"/>
    <x v="3"/>
    <x v="2"/>
    <x v="2"/>
    <n v="3982.02"/>
    <n v="65719"/>
    <n v="9362.41"/>
    <n v="86.55"/>
  </r>
  <r>
    <s v="F029"/>
    <x v="4"/>
    <x v="0"/>
    <x v="2"/>
    <x v="2"/>
    <n v="106.32"/>
    <n v="12262"/>
    <n v="7106.18"/>
    <n v="45.69"/>
  </r>
  <r>
    <s v="F129"/>
    <x v="1"/>
    <x v="3"/>
    <x v="0"/>
    <x v="0"/>
    <n v="1752.0338509999999"/>
    <n v="58439"/>
    <n v="5817.93"/>
    <n v="63.77"/>
  </r>
  <r>
    <s v="F072"/>
    <x v="2"/>
    <x v="1"/>
    <x v="2"/>
    <x v="1"/>
    <n v="2963"/>
    <n v="95292"/>
    <n v="697.47"/>
    <n v="88.35"/>
  </r>
  <r>
    <s v="F011"/>
    <x v="4"/>
    <x v="1"/>
    <x v="2"/>
    <x v="0"/>
    <n v="2067.13"/>
    <n v="72846"/>
    <n v="5169.53"/>
    <n v="76.709999999999994"/>
  </r>
  <r>
    <s v="F098"/>
    <x v="4"/>
    <x v="0"/>
    <x v="2"/>
    <x v="1"/>
    <n v="1493.38"/>
    <n v="28704"/>
    <n v="6009.24"/>
    <n v="39.31"/>
  </r>
  <r>
    <s v="F122"/>
    <x v="4"/>
    <x v="0"/>
    <x v="0"/>
    <x v="2"/>
    <n v="1311.8245979999999"/>
    <n v="49620"/>
    <n v="2424.31"/>
    <n v="62.09"/>
  </r>
  <r>
    <s v="F150"/>
    <x v="4"/>
    <x v="0"/>
    <x v="0"/>
    <x v="1"/>
    <n v="3998.6273169999999"/>
    <n v="46863"/>
    <n v="6762.98"/>
    <n v="23.45"/>
  </r>
  <r>
    <s v="F101"/>
    <x v="3"/>
    <x v="3"/>
    <x v="1"/>
    <x v="0"/>
    <n v="4224.63"/>
    <n v="65719"/>
    <n v="9362.41"/>
    <n v="86.55"/>
  </r>
  <r>
    <s v="F036"/>
    <x v="3"/>
    <x v="3"/>
    <x v="0"/>
    <x v="1"/>
    <n v="2249.1121229999999"/>
    <n v="53942"/>
    <n v="5904.31"/>
    <n v="32.78"/>
  </r>
  <r>
    <s v="F046"/>
    <x v="4"/>
    <x v="2"/>
    <x v="2"/>
    <x v="2"/>
    <n v="1492.82"/>
    <n v="87337"/>
    <n v="3603.06"/>
    <n v="67.13"/>
  </r>
  <r>
    <s v="F183"/>
    <x v="3"/>
    <x v="0"/>
    <x v="0"/>
    <x v="2"/>
    <n v="4652.8755929999998"/>
    <n v="29860"/>
    <n v="3956.23"/>
    <n v="57.5"/>
  </r>
  <r>
    <s v="F045"/>
    <x v="0"/>
    <x v="3"/>
    <x v="1"/>
    <x v="0"/>
    <n v="2725.88"/>
    <n v="34725"/>
    <n v="3269.89"/>
    <n v="78.86"/>
  </r>
  <r>
    <s v="F084"/>
    <x v="3"/>
    <x v="2"/>
    <x v="0"/>
    <x v="2"/>
    <n v="3666.3757099999998"/>
    <n v="54136"/>
    <n v="2775.38"/>
    <n v="75.459999999999994"/>
  </r>
  <r>
    <s v="F067"/>
    <x v="1"/>
    <x v="2"/>
    <x v="2"/>
    <x v="1"/>
    <n v="216.52"/>
    <n v="28400"/>
    <n v="3056.67"/>
    <n v="52.68"/>
  </r>
  <r>
    <s v="F058"/>
    <x v="1"/>
    <x v="3"/>
    <x v="1"/>
    <x v="0"/>
    <n v="1898.59"/>
    <n v="66398"/>
    <n v="8713.61"/>
    <n v="83.44"/>
  </r>
  <r>
    <s v="F048"/>
    <x v="0"/>
    <x v="2"/>
    <x v="0"/>
    <x v="0"/>
    <n v="3557.5735020000002"/>
    <n v="26338"/>
    <n v="578.73"/>
    <n v="72.52"/>
  </r>
  <r>
    <s v="F128"/>
    <x v="2"/>
    <x v="1"/>
    <x v="0"/>
    <x v="1"/>
    <n v="1488.084012"/>
    <n v="68216"/>
    <n v="9562.33"/>
    <n v="63.59"/>
  </r>
  <r>
    <s v="F088"/>
    <x v="0"/>
    <x v="2"/>
    <x v="1"/>
    <x v="0"/>
    <n v="4949.0200000000004"/>
    <n v="77330"/>
    <n v="6936.58"/>
    <n v="82.3"/>
  </r>
  <r>
    <s v="F012"/>
    <x v="3"/>
    <x v="3"/>
    <x v="0"/>
    <x v="1"/>
    <n v="601.16792499999997"/>
    <n v="43747"/>
    <n v="3453.48"/>
    <n v="98.78"/>
  </r>
  <r>
    <s v="F137"/>
    <x v="0"/>
    <x v="2"/>
    <x v="0"/>
    <x v="1"/>
    <n v="4121.8599999999997"/>
    <n v="10933"/>
    <n v="9004.3700000000008"/>
    <n v="26.84"/>
  </r>
  <r>
    <s v="F036"/>
    <x v="3"/>
    <x v="1"/>
    <x v="2"/>
    <x v="1"/>
    <n v="2038.67"/>
    <n v="53942"/>
    <n v="5904.31"/>
    <n v="32.78"/>
  </r>
  <r>
    <s v="F149"/>
    <x v="1"/>
    <x v="2"/>
    <x v="1"/>
    <x v="0"/>
    <n v="1823.3"/>
    <n v="61207"/>
    <n v="6922.33"/>
    <n v="9.1999999999999993"/>
  </r>
  <r>
    <s v="F160"/>
    <x v="4"/>
    <x v="0"/>
    <x v="0"/>
    <x v="0"/>
    <n v="380.59776870000002"/>
    <n v="36423"/>
    <n v="589.96"/>
    <n v="30.9"/>
  </r>
  <r>
    <s v="F003"/>
    <x v="3"/>
    <x v="1"/>
    <x v="2"/>
    <x v="1"/>
    <n v="3069.63"/>
    <n v="27681"/>
    <n v="928.26"/>
    <n v="44.97"/>
  </r>
  <r>
    <s v="F089"/>
    <x v="4"/>
    <x v="0"/>
    <x v="2"/>
    <x v="1"/>
    <n v="1532.06"/>
    <n v="58895"/>
    <n v="3039.17"/>
    <n v="59.82"/>
  </r>
  <r>
    <s v="F053"/>
    <x v="0"/>
    <x v="0"/>
    <x v="2"/>
    <x v="0"/>
    <n v="3269.38"/>
    <n v="56392"/>
    <n v="5703.76"/>
    <n v="23.04"/>
  </r>
  <r>
    <s v="F084"/>
    <x v="3"/>
    <x v="0"/>
    <x v="0"/>
    <x v="0"/>
    <n v="2397.750059"/>
    <n v="54136"/>
    <n v="2775.38"/>
    <n v="75.459999999999994"/>
  </r>
  <r>
    <s v="F026"/>
    <x v="2"/>
    <x v="3"/>
    <x v="1"/>
    <x v="0"/>
    <n v="1104.3599999999999"/>
    <n v="32246"/>
    <n v="7903.93"/>
    <n v="42.12"/>
  </r>
  <r>
    <s v="F161"/>
    <x v="2"/>
    <x v="0"/>
    <x v="0"/>
    <x v="2"/>
    <n v="5406.2894820000001"/>
    <n v="36171"/>
    <n v="6864.38"/>
    <n v="37.03"/>
  </r>
  <r>
    <s v="F078"/>
    <x v="0"/>
    <x v="0"/>
    <x v="2"/>
    <x v="1"/>
    <n v="2419.31"/>
    <n v="78624"/>
    <n v="2373.27"/>
    <n v="25.07"/>
  </r>
  <r>
    <s v="F096"/>
    <x v="0"/>
    <x v="3"/>
    <x v="0"/>
    <x v="2"/>
    <n v="1984.2661450000001"/>
    <n v="21388"/>
    <n v="5249.39"/>
    <n v="64.2"/>
  </r>
  <r>
    <s v="F162"/>
    <x v="3"/>
    <x v="1"/>
    <x v="2"/>
    <x v="1"/>
    <n v="2554.5100000000002"/>
    <n v="18175"/>
    <n v="8349.49"/>
    <n v="39.97"/>
  </r>
  <r>
    <s v="F147"/>
    <x v="1"/>
    <x v="2"/>
    <x v="1"/>
    <x v="0"/>
    <n v="2087.4"/>
    <n v="13333"/>
    <n v="6102.15"/>
    <n v="17.670000000000002"/>
  </r>
  <r>
    <s v="F089"/>
    <x v="4"/>
    <x v="3"/>
    <x v="2"/>
    <x v="1"/>
    <n v="3785.96"/>
    <n v="58895"/>
    <n v="3039.17"/>
    <n v="59.82"/>
  </r>
  <r>
    <s v="F064"/>
    <x v="1"/>
    <x v="2"/>
    <x v="1"/>
    <x v="1"/>
    <n v="4818.79"/>
    <n v="70481"/>
    <n v="4452.83"/>
    <n v="91.26"/>
  </r>
  <r>
    <s v="F046"/>
    <x v="4"/>
    <x v="1"/>
    <x v="1"/>
    <x v="1"/>
    <n v="4888.34"/>
    <n v="87337"/>
    <n v="3603.06"/>
    <n v="67.13"/>
  </r>
  <r>
    <s v="F107"/>
    <x v="2"/>
    <x v="3"/>
    <x v="1"/>
    <x v="1"/>
    <n v="3595.37"/>
    <n v="43512"/>
    <n v="5352.18"/>
    <n v="6.17"/>
  </r>
  <r>
    <s v="F041"/>
    <x v="1"/>
    <x v="3"/>
    <x v="1"/>
    <x v="0"/>
    <n v="4258.79"/>
    <n v="84721"/>
    <n v="2278.9699999999998"/>
    <n v="68.53"/>
  </r>
  <r>
    <s v="F110"/>
    <x v="4"/>
    <x v="3"/>
    <x v="2"/>
    <x v="1"/>
    <n v="2679.07"/>
    <n v="85868"/>
    <n v="907.72"/>
    <n v="90.36"/>
  </r>
  <r>
    <s v="F100"/>
    <x v="0"/>
    <x v="0"/>
    <x v="2"/>
    <x v="2"/>
    <n v="3884.75"/>
    <n v="90632"/>
    <n v="5292.17"/>
    <n v="78.45"/>
  </r>
  <r>
    <s v="F175"/>
    <x v="3"/>
    <x v="3"/>
    <x v="2"/>
    <x v="2"/>
    <n v="3771"/>
    <n v="94949"/>
    <n v="9714.76"/>
    <n v="64.900000000000006"/>
  </r>
  <r>
    <s v="F192"/>
    <x v="4"/>
    <x v="0"/>
    <x v="0"/>
    <x v="0"/>
    <n v="3711.3889049999998"/>
    <n v="21914"/>
    <n v="5897.27"/>
    <n v="49.41"/>
  </r>
  <r>
    <s v="F162"/>
    <x v="3"/>
    <x v="3"/>
    <x v="1"/>
    <x v="1"/>
    <n v="506.34"/>
    <n v="18175"/>
    <n v="8349.49"/>
    <n v="39.97"/>
  </r>
  <r>
    <s v="F190"/>
    <x v="0"/>
    <x v="0"/>
    <x v="0"/>
    <x v="0"/>
    <n v="2868.75"/>
    <n v="70582"/>
    <n v="7517.59"/>
    <n v="95.71"/>
  </r>
  <r>
    <s v="F011"/>
    <x v="4"/>
    <x v="1"/>
    <x v="2"/>
    <x v="1"/>
    <n v="4633.6899999999996"/>
    <n v="72846"/>
    <n v="5169.53"/>
    <n v="76.709999999999994"/>
  </r>
  <r>
    <s v="F032"/>
    <x v="1"/>
    <x v="2"/>
    <x v="2"/>
    <x v="1"/>
    <n v="822.11"/>
    <n v="33688"/>
    <n v="9495.48"/>
    <n v="55.55"/>
  </r>
  <r>
    <s v="F015"/>
    <x v="4"/>
    <x v="3"/>
    <x v="2"/>
    <x v="2"/>
    <n v="381.04"/>
    <n v="80488"/>
    <n v="7629.95"/>
    <n v="63.83"/>
  </r>
  <r>
    <s v="F152"/>
    <x v="4"/>
    <x v="2"/>
    <x v="1"/>
    <x v="0"/>
    <n v="4854.5"/>
    <n v="90679"/>
    <n v="7266.82"/>
    <n v="23.3"/>
  </r>
  <r>
    <s v="F120"/>
    <x v="4"/>
    <x v="3"/>
    <x v="1"/>
    <x v="0"/>
    <n v="4069.56"/>
    <n v="57215"/>
    <n v="3227.1"/>
    <n v="32.909999999999997"/>
  </r>
  <r>
    <s v="F009"/>
    <x v="0"/>
    <x v="0"/>
    <x v="2"/>
    <x v="2"/>
    <n v="4573.76"/>
    <n v="45644"/>
    <n v="7724.73"/>
    <n v="31"/>
  </r>
  <r>
    <s v="F038"/>
    <x v="4"/>
    <x v="3"/>
    <x v="2"/>
    <x v="1"/>
    <n v="202.63"/>
    <n v="18341"/>
    <n v="8465.57"/>
    <n v="38.39"/>
  </r>
  <r>
    <s v="F018"/>
    <x v="4"/>
    <x v="3"/>
    <x v="1"/>
    <x v="0"/>
    <n v="948.57"/>
    <n v="69305"/>
    <n v="3203.67"/>
    <n v="83.65"/>
  </r>
  <r>
    <s v="F159"/>
    <x v="0"/>
    <x v="2"/>
    <x v="0"/>
    <x v="2"/>
    <n v="1391.940732"/>
    <n v="72224"/>
    <n v="1613.32"/>
    <n v="39.21"/>
  </r>
  <r>
    <s v="F054"/>
    <x v="3"/>
    <x v="0"/>
    <x v="0"/>
    <x v="0"/>
    <n v="262.76459319999998"/>
    <n v="38869"/>
    <n v="5109.76"/>
    <n v="35.270000000000003"/>
  </r>
  <r>
    <s v="F100"/>
    <x v="0"/>
    <x v="2"/>
    <x v="2"/>
    <x v="2"/>
    <n v="1987.36"/>
    <n v="90632"/>
    <n v="5292.17"/>
    <n v="78.45"/>
  </r>
  <r>
    <s v="F112"/>
    <x v="4"/>
    <x v="3"/>
    <x v="1"/>
    <x v="0"/>
    <n v="4710.57"/>
    <n v="88188"/>
    <n v="815.86"/>
    <n v="57.53"/>
  </r>
  <r>
    <s v="F081"/>
    <x v="1"/>
    <x v="2"/>
    <x v="0"/>
    <x v="1"/>
    <n v="897.12"/>
    <n v="39560"/>
    <n v="8380.77"/>
    <n v="94.01"/>
  </r>
  <r>
    <s v="F175"/>
    <x v="3"/>
    <x v="0"/>
    <x v="2"/>
    <x v="0"/>
    <n v="4466.1000000000004"/>
    <n v="94949"/>
    <n v="9714.76"/>
    <n v="64.900000000000006"/>
  </r>
  <r>
    <s v="F173"/>
    <x v="1"/>
    <x v="1"/>
    <x v="2"/>
    <x v="2"/>
    <n v="4306.16"/>
    <n v="38181"/>
    <n v="691.84"/>
    <n v="33.53"/>
  </r>
  <r>
    <s v="F117"/>
    <x v="2"/>
    <x v="1"/>
    <x v="2"/>
    <x v="2"/>
    <n v="3510.58"/>
    <n v="52594"/>
    <n v="8715.0400000000009"/>
    <n v="90.54"/>
  </r>
  <r>
    <s v="F198"/>
    <x v="3"/>
    <x v="1"/>
    <x v="1"/>
    <x v="2"/>
    <n v="1053.8399999999999"/>
    <n v="40577"/>
    <n v="4280.82"/>
    <n v="79.88"/>
  </r>
  <r>
    <s v="F035"/>
    <x v="4"/>
    <x v="1"/>
    <x v="1"/>
    <x v="1"/>
    <n v="1084.81"/>
    <n v="24913"/>
    <n v="5727.27"/>
    <n v="78.849999999999994"/>
  </r>
  <r>
    <s v="F148"/>
    <x v="1"/>
    <x v="3"/>
    <x v="1"/>
    <x v="0"/>
    <n v="618.54"/>
    <n v="47491"/>
    <n v="5781.05"/>
    <n v="92.18"/>
  </r>
  <r>
    <s v="F114"/>
    <x v="1"/>
    <x v="1"/>
    <x v="2"/>
    <x v="2"/>
    <n v="3730.83"/>
    <n v="57353"/>
    <n v="2274.71"/>
    <n v="65.34"/>
  </r>
  <r>
    <s v="F112"/>
    <x v="4"/>
    <x v="0"/>
    <x v="0"/>
    <x v="2"/>
    <n v="3608.0164239999999"/>
    <n v="88188"/>
    <n v="815.86"/>
    <n v="57.53"/>
  </r>
  <r>
    <s v="F072"/>
    <x v="2"/>
    <x v="3"/>
    <x v="1"/>
    <x v="2"/>
    <n v="4037.93"/>
    <n v="95292"/>
    <n v="697.47"/>
    <n v="88.35"/>
  </r>
  <r>
    <s v="F194"/>
    <x v="3"/>
    <x v="0"/>
    <x v="0"/>
    <x v="2"/>
    <n v="454.38129889999999"/>
    <n v="42382"/>
    <n v="5116.6899999999996"/>
    <n v="80.42"/>
  </r>
  <r>
    <s v="F145"/>
    <x v="4"/>
    <x v="3"/>
    <x v="1"/>
    <x v="2"/>
    <n v="3824.73"/>
    <n v="68492"/>
    <n v="3533.88"/>
    <n v="52.99"/>
  </r>
  <r>
    <s v="F014"/>
    <x v="2"/>
    <x v="2"/>
    <x v="0"/>
    <x v="1"/>
    <n v="2188.666952"/>
    <n v="17416"/>
    <n v="812.06"/>
    <n v="5.7"/>
  </r>
  <r>
    <s v="F182"/>
    <x v="3"/>
    <x v="2"/>
    <x v="1"/>
    <x v="2"/>
    <n v="1638.41"/>
    <n v="41027"/>
    <n v="7285.85"/>
    <n v="59.87"/>
  </r>
  <r>
    <s v="F005"/>
    <x v="4"/>
    <x v="0"/>
    <x v="1"/>
    <x v="1"/>
    <n v="4638.62"/>
    <n v="61743"/>
    <n v="7426.75"/>
    <n v="26.39"/>
  </r>
  <r>
    <s v="F158"/>
    <x v="3"/>
    <x v="1"/>
    <x v="1"/>
    <x v="1"/>
    <n v="2700.91"/>
    <n v="61157"/>
    <n v="7331.54"/>
    <n v="55.52"/>
  </r>
  <r>
    <s v="F057"/>
    <x v="1"/>
    <x v="0"/>
    <x v="1"/>
    <x v="2"/>
    <n v="4888.18"/>
    <n v="40226"/>
    <n v="7868.86"/>
    <n v="80.53"/>
  </r>
  <r>
    <s v="F039"/>
    <x v="2"/>
    <x v="0"/>
    <x v="0"/>
    <x v="0"/>
    <n v="1395.928737"/>
    <n v="40503"/>
    <n v="7447.46"/>
    <n v="98.27"/>
  </r>
  <r>
    <s v="F110"/>
    <x v="4"/>
    <x v="3"/>
    <x v="2"/>
    <x v="2"/>
    <n v="2978"/>
    <n v="85868"/>
    <n v="907.72"/>
    <n v="90.36"/>
  </r>
  <r>
    <s v="F043"/>
    <x v="0"/>
    <x v="2"/>
    <x v="1"/>
    <x v="0"/>
    <n v="2047.72"/>
    <n v="14009"/>
    <n v="7528.98"/>
    <n v="77.62"/>
  </r>
  <r>
    <s v="F080"/>
    <x v="3"/>
    <x v="2"/>
    <x v="1"/>
    <x v="1"/>
    <n v="2384.92"/>
    <n v="10250"/>
    <n v="4717"/>
    <n v="16.600000000000001"/>
  </r>
  <r>
    <s v="F126"/>
    <x v="2"/>
    <x v="2"/>
    <x v="0"/>
    <x v="0"/>
    <n v="1560.1904489999999"/>
    <n v="75508"/>
    <n v="6856.22"/>
    <n v="18.2"/>
  </r>
  <r>
    <s v="F077"/>
    <x v="4"/>
    <x v="0"/>
    <x v="1"/>
    <x v="2"/>
    <n v="4290.7299999999996"/>
    <n v="52836"/>
    <n v="9330.2999999999993"/>
    <n v="87.27"/>
  </r>
  <r>
    <s v="F130"/>
    <x v="3"/>
    <x v="0"/>
    <x v="0"/>
    <x v="2"/>
    <n v="2521.882044"/>
    <n v="43227"/>
    <n v="5199.53"/>
    <n v="44.09"/>
  </r>
  <r>
    <s v="F154"/>
    <x v="0"/>
    <x v="1"/>
    <x v="2"/>
    <x v="1"/>
    <n v="3941.05"/>
    <n v="17097"/>
    <n v="9061.7800000000007"/>
    <n v="95.92"/>
  </r>
  <r>
    <s v="F003"/>
    <x v="3"/>
    <x v="2"/>
    <x v="1"/>
    <x v="2"/>
    <n v="992.87"/>
    <n v="27681"/>
    <n v="928.26"/>
    <n v="44.97"/>
  </r>
  <r>
    <s v="F162"/>
    <x v="3"/>
    <x v="3"/>
    <x v="1"/>
    <x v="0"/>
    <n v="3998.2"/>
    <n v="18175"/>
    <n v="8349.49"/>
    <n v="39.97"/>
  </r>
  <r>
    <s v="F128"/>
    <x v="2"/>
    <x v="1"/>
    <x v="2"/>
    <x v="2"/>
    <n v="951.15"/>
    <n v="68216"/>
    <n v="9562.33"/>
    <n v="63.59"/>
  </r>
  <r>
    <s v="F146"/>
    <x v="2"/>
    <x v="3"/>
    <x v="0"/>
    <x v="0"/>
    <n v="602.29235949999998"/>
    <n v="99115"/>
    <n v="827.26"/>
    <n v="28.88"/>
  </r>
  <r>
    <s v="F158"/>
    <x v="3"/>
    <x v="1"/>
    <x v="1"/>
    <x v="1"/>
    <n v="4791.01"/>
    <n v="61157"/>
    <n v="7331.54"/>
    <n v="55.52"/>
  </r>
  <r>
    <s v="F181"/>
    <x v="3"/>
    <x v="2"/>
    <x v="1"/>
    <x v="1"/>
    <n v="2408.38"/>
    <n v="42485"/>
    <n v="4755.75"/>
    <n v="10.19"/>
  </r>
  <r>
    <s v="F166"/>
    <x v="3"/>
    <x v="1"/>
    <x v="0"/>
    <x v="0"/>
    <n v="2703.065008"/>
    <n v="96474"/>
    <n v="7574.39"/>
    <n v="95.54"/>
  </r>
  <r>
    <s v="F003"/>
    <x v="3"/>
    <x v="3"/>
    <x v="2"/>
    <x v="1"/>
    <n v="4204.6899999999996"/>
    <n v="27681"/>
    <n v="928.26"/>
    <n v="44.97"/>
  </r>
  <r>
    <s v="F106"/>
    <x v="3"/>
    <x v="3"/>
    <x v="0"/>
    <x v="2"/>
    <n v="947.61289599999998"/>
    <n v="98682"/>
    <n v="6220.56"/>
    <n v="70.099999999999994"/>
  </r>
  <r>
    <s v="F132"/>
    <x v="4"/>
    <x v="1"/>
    <x v="2"/>
    <x v="0"/>
    <n v="3632.9"/>
    <n v="76544"/>
    <n v="8632.77"/>
    <n v="12.87"/>
  </r>
  <r>
    <s v="F184"/>
    <x v="0"/>
    <x v="0"/>
    <x v="0"/>
    <x v="1"/>
    <n v="3124.8907899999999"/>
    <n v="22201"/>
    <n v="2853.66"/>
    <n v="71.94"/>
  </r>
  <r>
    <s v="F032"/>
    <x v="1"/>
    <x v="3"/>
    <x v="1"/>
    <x v="2"/>
    <n v="4679.05"/>
    <n v="33688"/>
    <n v="9495.48"/>
    <n v="55.55"/>
  </r>
  <r>
    <s v="F168"/>
    <x v="2"/>
    <x v="0"/>
    <x v="0"/>
    <x v="0"/>
    <n v="4154.095757"/>
    <n v="24095"/>
    <n v="3167.52"/>
    <n v="31.02"/>
  </r>
  <r>
    <s v="F145"/>
    <x v="4"/>
    <x v="0"/>
    <x v="1"/>
    <x v="0"/>
    <n v="132.24"/>
    <n v="68492"/>
    <n v="3533.88"/>
    <n v="52.99"/>
  </r>
  <r>
    <s v="F129"/>
    <x v="1"/>
    <x v="3"/>
    <x v="1"/>
    <x v="1"/>
    <n v="3066.65"/>
    <n v="58439"/>
    <n v="5817.93"/>
    <n v="63.77"/>
  </r>
  <r>
    <s v="F155"/>
    <x v="2"/>
    <x v="2"/>
    <x v="0"/>
    <x v="1"/>
    <n v="1342.8827699999999"/>
    <n v="75736"/>
    <n v="6287.07"/>
    <n v="63.11"/>
  </r>
  <r>
    <s v="F056"/>
    <x v="4"/>
    <x v="2"/>
    <x v="1"/>
    <x v="2"/>
    <n v="3919.95"/>
    <n v="99026"/>
    <n v="5453.2"/>
    <n v="57.49"/>
  </r>
  <r>
    <s v="F083"/>
    <x v="2"/>
    <x v="0"/>
    <x v="1"/>
    <x v="2"/>
    <n v="4408.78"/>
    <n v="94704"/>
    <n v="6632.95"/>
    <n v="14.76"/>
  </r>
  <r>
    <s v="F092"/>
    <x v="4"/>
    <x v="3"/>
    <x v="1"/>
    <x v="1"/>
    <n v="4970.6899999999996"/>
    <n v="79495"/>
    <n v="7157.48"/>
    <n v="26.84"/>
  </r>
  <r>
    <s v="F130"/>
    <x v="3"/>
    <x v="0"/>
    <x v="0"/>
    <x v="1"/>
    <n v="1694.1939150000001"/>
    <n v="43227"/>
    <n v="5199.53"/>
    <n v="44.09"/>
  </r>
  <r>
    <s v="F054"/>
    <x v="3"/>
    <x v="3"/>
    <x v="1"/>
    <x v="1"/>
    <n v="4225.8"/>
    <n v="38869"/>
    <n v="5109.76"/>
    <n v="35.270000000000003"/>
  </r>
  <r>
    <s v="F161"/>
    <x v="2"/>
    <x v="0"/>
    <x v="1"/>
    <x v="1"/>
    <n v="2933.56"/>
    <n v="36171"/>
    <n v="6864.38"/>
    <n v="37.03"/>
  </r>
  <r>
    <s v="F124"/>
    <x v="3"/>
    <x v="2"/>
    <x v="0"/>
    <x v="0"/>
    <n v="1192.3339940000001"/>
    <n v="37309"/>
    <n v="4508.54"/>
    <n v="47.15"/>
  </r>
  <r>
    <s v="F043"/>
    <x v="0"/>
    <x v="0"/>
    <x v="1"/>
    <x v="2"/>
    <n v="2457.1"/>
    <n v="14009"/>
    <n v="7528.98"/>
    <n v="77.62"/>
  </r>
  <r>
    <s v="F128"/>
    <x v="2"/>
    <x v="1"/>
    <x v="2"/>
    <x v="2"/>
    <n v="3801.93"/>
    <n v="68216"/>
    <n v="9562.33"/>
    <n v="63.59"/>
  </r>
  <r>
    <s v="F115"/>
    <x v="3"/>
    <x v="3"/>
    <x v="2"/>
    <x v="2"/>
    <n v="2334.69"/>
    <n v="29318"/>
    <n v="9860.6200000000008"/>
    <n v="14.58"/>
  </r>
  <r>
    <s v="F048"/>
    <x v="0"/>
    <x v="1"/>
    <x v="2"/>
    <x v="0"/>
    <n v="4761.95"/>
    <n v="26338"/>
    <n v="578.73"/>
    <n v="72.52"/>
  </r>
  <r>
    <s v="F081"/>
    <x v="1"/>
    <x v="3"/>
    <x v="1"/>
    <x v="2"/>
    <n v="4516.03"/>
    <n v="39560"/>
    <n v="8380.77"/>
    <n v="94.01"/>
  </r>
  <r>
    <s v="F076"/>
    <x v="2"/>
    <x v="0"/>
    <x v="0"/>
    <x v="2"/>
    <n v="4645.5949979999996"/>
    <n v="41953"/>
    <n v="2379.14"/>
    <n v="65.67"/>
  </r>
  <r>
    <s v="F032"/>
    <x v="1"/>
    <x v="2"/>
    <x v="2"/>
    <x v="2"/>
    <n v="3245.36"/>
    <n v="33688"/>
    <n v="9495.48"/>
    <n v="55.55"/>
  </r>
  <r>
    <s v="F094"/>
    <x v="3"/>
    <x v="2"/>
    <x v="1"/>
    <x v="0"/>
    <n v="3907.47"/>
    <n v="40553"/>
    <n v="4875.2299999999996"/>
    <n v="23.33"/>
  </r>
  <r>
    <s v="F111"/>
    <x v="3"/>
    <x v="1"/>
    <x v="0"/>
    <x v="0"/>
    <n v="1337.8548840000001"/>
    <n v="10907"/>
    <n v="4748.66"/>
    <n v="39.36"/>
  </r>
  <r>
    <s v="F133"/>
    <x v="2"/>
    <x v="2"/>
    <x v="2"/>
    <x v="0"/>
    <n v="3487.09"/>
    <n v="41168"/>
    <n v="8226.77"/>
    <n v="42.55"/>
  </r>
  <r>
    <s v="F040"/>
    <x v="0"/>
    <x v="2"/>
    <x v="0"/>
    <x v="1"/>
    <n v="4959.5938470000001"/>
    <n v="52357"/>
    <n v="5643.16"/>
    <n v="37.130000000000003"/>
  </r>
  <r>
    <s v="F072"/>
    <x v="2"/>
    <x v="0"/>
    <x v="2"/>
    <x v="1"/>
    <n v="4294.03"/>
    <n v="95292"/>
    <n v="697.47"/>
    <n v="88.35"/>
  </r>
  <r>
    <s v="F153"/>
    <x v="3"/>
    <x v="0"/>
    <x v="1"/>
    <x v="0"/>
    <n v="648.78"/>
    <n v="95306"/>
    <n v="9037.76"/>
    <n v="13.35"/>
  </r>
  <r>
    <s v="F153"/>
    <x v="3"/>
    <x v="1"/>
    <x v="1"/>
    <x v="0"/>
    <n v="3771.9"/>
    <n v="95306"/>
    <n v="9037.76"/>
    <n v="13.35"/>
  </r>
  <r>
    <s v="F128"/>
    <x v="2"/>
    <x v="3"/>
    <x v="0"/>
    <x v="2"/>
    <n v="3071.55413"/>
    <n v="68216"/>
    <n v="9562.33"/>
    <n v="63.59"/>
  </r>
  <r>
    <s v="F198"/>
    <x v="3"/>
    <x v="1"/>
    <x v="2"/>
    <x v="2"/>
    <n v="2591.1799999999998"/>
    <n v="40577"/>
    <n v="4280.82"/>
    <n v="79.88"/>
  </r>
  <r>
    <s v="F057"/>
    <x v="1"/>
    <x v="2"/>
    <x v="1"/>
    <x v="1"/>
    <n v="3280.07"/>
    <n v="40226"/>
    <n v="7868.86"/>
    <n v="80.53"/>
  </r>
  <r>
    <s v="F091"/>
    <x v="4"/>
    <x v="3"/>
    <x v="2"/>
    <x v="1"/>
    <n v="632.11"/>
    <n v="43490"/>
    <n v="9300.8799999999992"/>
    <n v="58.43"/>
  </r>
  <r>
    <s v="F004"/>
    <x v="0"/>
    <x v="1"/>
    <x v="1"/>
    <x v="0"/>
    <n v="2914.08"/>
    <n v="83923"/>
    <n v="8768.7999999999993"/>
    <n v="65.290000000000006"/>
  </r>
  <r>
    <s v="F032"/>
    <x v="1"/>
    <x v="3"/>
    <x v="2"/>
    <x v="0"/>
    <n v="637.63"/>
    <n v="33688"/>
    <n v="9495.48"/>
    <n v="55.55"/>
  </r>
  <r>
    <s v="F078"/>
    <x v="0"/>
    <x v="2"/>
    <x v="1"/>
    <x v="2"/>
    <n v="1996.46"/>
    <n v="78624"/>
    <n v="2373.27"/>
    <n v="25.07"/>
  </r>
  <r>
    <s v="F121"/>
    <x v="3"/>
    <x v="2"/>
    <x v="1"/>
    <x v="2"/>
    <n v="1059.26"/>
    <n v="11952"/>
    <n v="4637.74"/>
    <n v="63.78"/>
  </r>
  <r>
    <s v="F057"/>
    <x v="1"/>
    <x v="1"/>
    <x v="0"/>
    <x v="2"/>
    <n v="3555.9372720000001"/>
    <n v="40226"/>
    <n v="7868.86"/>
    <n v="80.53"/>
  </r>
  <r>
    <s v="F127"/>
    <x v="3"/>
    <x v="3"/>
    <x v="1"/>
    <x v="1"/>
    <n v="3698.27"/>
    <n v="77400"/>
    <n v="7504.8"/>
    <n v="68.819999999999993"/>
  </r>
  <r>
    <s v="F004"/>
    <x v="0"/>
    <x v="3"/>
    <x v="1"/>
    <x v="1"/>
    <n v="2286.9699999999998"/>
    <n v="83923"/>
    <n v="8768.7999999999993"/>
    <n v="65.290000000000006"/>
  </r>
  <r>
    <s v="F005"/>
    <x v="4"/>
    <x v="3"/>
    <x v="1"/>
    <x v="2"/>
    <n v="3316.45"/>
    <n v="61743"/>
    <n v="7426.75"/>
    <n v="26.39"/>
  </r>
  <r>
    <s v="F027"/>
    <x v="4"/>
    <x v="2"/>
    <x v="2"/>
    <x v="2"/>
    <n v="1242.96"/>
    <n v="51800"/>
    <n v="3042.95"/>
    <n v="71.87"/>
  </r>
  <r>
    <s v="F121"/>
    <x v="3"/>
    <x v="3"/>
    <x v="2"/>
    <x v="0"/>
    <n v="3792.28"/>
    <n v="11952"/>
    <n v="4637.74"/>
    <n v="63.78"/>
  </r>
  <r>
    <s v="F018"/>
    <x v="4"/>
    <x v="3"/>
    <x v="0"/>
    <x v="1"/>
    <n v="4685.3057760000002"/>
    <n v="69305"/>
    <n v="3203.67"/>
    <n v="83.65"/>
  </r>
  <r>
    <s v="F079"/>
    <x v="2"/>
    <x v="1"/>
    <x v="2"/>
    <x v="2"/>
    <n v="2273.65"/>
    <n v="17311"/>
    <n v="2257.38"/>
    <n v="91.07"/>
  </r>
  <r>
    <s v="F006"/>
    <x v="4"/>
    <x v="2"/>
    <x v="0"/>
    <x v="2"/>
    <n v="3021.59"/>
    <n v="11426"/>
    <n v="4439.5600000000004"/>
    <n v="52.71"/>
  </r>
  <r>
    <s v="F133"/>
    <x v="2"/>
    <x v="3"/>
    <x v="2"/>
    <x v="2"/>
    <n v="1312.78"/>
    <n v="41168"/>
    <n v="8226.77"/>
    <n v="42.55"/>
  </r>
  <r>
    <s v="F158"/>
    <x v="3"/>
    <x v="3"/>
    <x v="0"/>
    <x v="1"/>
    <n v="1829.705449"/>
    <n v="61157"/>
    <n v="7331.54"/>
    <n v="55.52"/>
  </r>
  <r>
    <s v="F108"/>
    <x v="3"/>
    <x v="3"/>
    <x v="0"/>
    <x v="1"/>
    <n v="1549.717801"/>
    <n v="39050"/>
    <n v="5885.73"/>
    <n v="93.04"/>
  </r>
  <r>
    <s v="F070"/>
    <x v="2"/>
    <x v="0"/>
    <x v="2"/>
    <x v="0"/>
    <n v="2500.38"/>
    <n v="15128"/>
    <n v="8847.09"/>
    <n v="5.25"/>
  </r>
  <r>
    <s v="F012"/>
    <x v="3"/>
    <x v="1"/>
    <x v="2"/>
    <x v="2"/>
    <n v="1314.88"/>
    <n v="43747"/>
    <n v="3453.48"/>
    <n v="98.78"/>
  </r>
  <r>
    <s v="F009"/>
    <x v="0"/>
    <x v="3"/>
    <x v="2"/>
    <x v="2"/>
    <n v="2425.58"/>
    <n v="45644"/>
    <n v="7724.73"/>
    <n v="31"/>
  </r>
  <r>
    <s v="F194"/>
    <x v="3"/>
    <x v="1"/>
    <x v="1"/>
    <x v="1"/>
    <n v="3143.07"/>
    <n v="42382"/>
    <n v="5116.6899999999996"/>
    <n v="80.42"/>
  </r>
  <r>
    <s v="F049"/>
    <x v="0"/>
    <x v="3"/>
    <x v="2"/>
    <x v="1"/>
    <n v="3426.65"/>
    <n v="65666"/>
    <n v="7269.98"/>
    <n v="75.62"/>
  </r>
  <r>
    <s v="F198"/>
    <x v="3"/>
    <x v="3"/>
    <x v="0"/>
    <x v="1"/>
    <n v="3334.694031"/>
    <n v="40577"/>
    <n v="4280.82"/>
    <n v="79.88"/>
  </r>
  <r>
    <s v="F054"/>
    <x v="3"/>
    <x v="0"/>
    <x v="2"/>
    <x v="2"/>
    <n v="1554.47"/>
    <n v="38869"/>
    <n v="5109.76"/>
    <n v="35.270000000000003"/>
  </r>
  <r>
    <s v="F177"/>
    <x v="3"/>
    <x v="1"/>
    <x v="0"/>
    <x v="2"/>
    <n v="613.2168762"/>
    <n v="87482"/>
    <n v="2231.7399999999998"/>
    <n v="45.43"/>
  </r>
  <r>
    <s v="F115"/>
    <x v="3"/>
    <x v="3"/>
    <x v="2"/>
    <x v="2"/>
    <n v="2269.8200000000002"/>
    <n v="29318"/>
    <n v="9860.6200000000008"/>
    <n v="14.58"/>
  </r>
  <r>
    <s v="F159"/>
    <x v="0"/>
    <x v="0"/>
    <x v="0"/>
    <x v="2"/>
    <n v="1258.557671"/>
    <n v="72224"/>
    <n v="1613.32"/>
    <n v="39.21"/>
  </r>
  <r>
    <s v="F106"/>
    <x v="3"/>
    <x v="0"/>
    <x v="1"/>
    <x v="0"/>
    <n v="2102.71"/>
    <n v="98682"/>
    <n v="6220.56"/>
    <n v="70.099999999999994"/>
  </r>
  <r>
    <s v="F022"/>
    <x v="4"/>
    <x v="1"/>
    <x v="2"/>
    <x v="1"/>
    <n v="1951.99"/>
    <n v="20207"/>
    <n v="5369.46"/>
    <n v="57.51"/>
  </r>
  <r>
    <s v="F010"/>
    <x v="0"/>
    <x v="0"/>
    <x v="0"/>
    <x v="0"/>
    <n v="942.65605679999999"/>
    <n v="32991"/>
    <n v="8540.14"/>
    <n v="37.75"/>
  </r>
  <r>
    <s v="F106"/>
    <x v="3"/>
    <x v="0"/>
    <x v="1"/>
    <x v="2"/>
    <n v="4612.42"/>
    <n v="98682"/>
    <n v="6220.56"/>
    <n v="70.099999999999994"/>
  </r>
  <r>
    <s v="F062"/>
    <x v="2"/>
    <x v="2"/>
    <x v="0"/>
    <x v="1"/>
    <n v="5180.6869040000001"/>
    <n v="19265"/>
    <n v="776.6"/>
    <n v="39.75"/>
  </r>
  <r>
    <s v="F124"/>
    <x v="3"/>
    <x v="2"/>
    <x v="0"/>
    <x v="0"/>
    <n v="3307.6824809999998"/>
    <n v="37309"/>
    <n v="4508.54"/>
    <n v="47.15"/>
  </r>
  <r>
    <s v="F105"/>
    <x v="0"/>
    <x v="0"/>
    <x v="2"/>
    <x v="2"/>
    <n v="4673.95"/>
    <n v="27028"/>
    <n v="4617.92"/>
    <n v="57.62"/>
  </r>
  <r>
    <s v="F083"/>
    <x v="2"/>
    <x v="0"/>
    <x v="2"/>
    <x v="2"/>
    <n v="2977.11"/>
    <n v="94704"/>
    <n v="6632.95"/>
    <n v="14.76"/>
  </r>
  <r>
    <s v="F088"/>
    <x v="0"/>
    <x v="3"/>
    <x v="0"/>
    <x v="1"/>
    <n v="2214.8565199999998"/>
    <n v="77330"/>
    <n v="6936.58"/>
    <n v="82.3"/>
  </r>
  <r>
    <s v="F014"/>
    <x v="2"/>
    <x v="3"/>
    <x v="2"/>
    <x v="1"/>
    <n v="2253.86"/>
    <n v="17416"/>
    <n v="812.06"/>
    <n v="5.7"/>
  </r>
  <r>
    <s v="F131"/>
    <x v="4"/>
    <x v="3"/>
    <x v="0"/>
    <x v="0"/>
    <n v="2426.7211910000001"/>
    <n v="43294"/>
    <n v="3802.13"/>
    <n v="45.84"/>
  </r>
  <r>
    <s v="F099"/>
    <x v="3"/>
    <x v="1"/>
    <x v="1"/>
    <x v="2"/>
    <n v="2903.42"/>
    <n v="17162"/>
    <n v="5079.95"/>
    <n v="19.239999999999998"/>
  </r>
  <r>
    <s v="F067"/>
    <x v="1"/>
    <x v="1"/>
    <x v="0"/>
    <x v="0"/>
    <n v="3101.8439530000001"/>
    <n v="28400"/>
    <n v="3056.67"/>
    <n v="52.68"/>
  </r>
  <r>
    <s v="F050"/>
    <x v="0"/>
    <x v="0"/>
    <x v="0"/>
    <x v="0"/>
    <n v="3483.9279729999998"/>
    <n v="10067"/>
    <n v="1953.33"/>
    <n v="25.15"/>
  </r>
  <r>
    <s v="F005"/>
    <x v="4"/>
    <x v="0"/>
    <x v="2"/>
    <x v="1"/>
    <n v="4798.16"/>
    <n v="61743"/>
    <n v="7426.75"/>
    <n v="26.39"/>
  </r>
  <r>
    <s v="F075"/>
    <x v="3"/>
    <x v="1"/>
    <x v="2"/>
    <x v="0"/>
    <n v="2226.6"/>
    <n v="60513"/>
    <n v="4578.16"/>
    <n v="65.53"/>
  </r>
  <r>
    <s v="F151"/>
    <x v="2"/>
    <x v="2"/>
    <x v="0"/>
    <x v="1"/>
    <n v="2848.953849"/>
    <n v="81057"/>
    <n v="675.41"/>
    <n v="55.44"/>
  </r>
  <r>
    <s v="F021"/>
    <x v="1"/>
    <x v="0"/>
    <x v="1"/>
    <x v="2"/>
    <n v="751.3"/>
    <n v="44657"/>
    <n v="7867.98"/>
    <n v="96.01"/>
  </r>
  <r>
    <s v="F077"/>
    <x v="4"/>
    <x v="2"/>
    <x v="2"/>
    <x v="1"/>
    <n v="3286.05"/>
    <n v="52836"/>
    <n v="9330.2999999999993"/>
    <n v="87.27"/>
  </r>
  <r>
    <s v="F082"/>
    <x v="0"/>
    <x v="1"/>
    <x v="2"/>
    <x v="1"/>
    <n v="1018.05"/>
    <n v="17468"/>
    <n v="6359.73"/>
    <n v="5.22"/>
  </r>
  <r>
    <s v="F003"/>
    <x v="3"/>
    <x v="3"/>
    <x v="1"/>
    <x v="2"/>
    <n v="2978.67"/>
    <n v="27681"/>
    <n v="928.26"/>
    <n v="44.97"/>
  </r>
  <r>
    <s v="F079"/>
    <x v="2"/>
    <x v="2"/>
    <x v="2"/>
    <x v="1"/>
    <n v="1158.82"/>
    <n v="17311"/>
    <n v="2257.38"/>
    <n v="91.07"/>
  </r>
  <r>
    <s v="F032"/>
    <x v="1"/>
    <x v="0"/>
    <x v="0"/>
    <x v="0"/>
    <n v="4416.2129789999999"/>
    <n v="33688"/>
    <n v="9495.48"/>
    <n v="55.55"/>
  </r>
  <r>
    <s v="F037"/>
    <x v="3"/>
    <x v="1"/>
    <x v="0"/>
    <x v="0"/>
    <n v="1348.0319910000001"/>
    <n v="97337"/>
    <n v="3362.06"/>
    <n v="55.46"/>
  </r>
  <r>
    <s v="F101"/>
    <x v="3"/>
    <x v="3"/>
    <x v="2"/>
    <x v="0"/>
    <n v="2825.42"/>
    <n v="65719"/>
    <n v="9362.41"/>
    <n v="86.55"/>
  </r>
  <r>
    <s v="F152"/>
    <x v="4"/>
    <x v="0"/>
    <x v="0"/>
    <x v="2"/>
    <n v="4051.467787"/>
    <n v="90679"/>
    <n v="7266.82"/>
    <n v="23.3"/>
  </r>
  <r>
    <s v="F093"/>
    <x v="2"/>
    <x v="3"/>
    <x v="2"/>
    <x v="2"/>
    <n v="3797.37"/>
    <n v="15553"/>
    <n v="3909.51"/>
    <n v="46.44"/>
  </r>
  <r>
    <s v="F004"/>
    <x v="0"/>
    <x v="3"/>
    <x v="2"/>
    <x v="2"/>
    <n v="4111.7700000000004"/>
    <n v="83923"/>
    <n v="8768.7999999999993"/>
    <n v="65.290000000000006"/>
  </r>
  <r>
    <s v="F142"/>
    <x v="0"/>
    <x v="3"/>
    <x v="0"/>
    <x v="0"/>
    <n v="1444.1264490000001"/>
    <n v="68278"/>
    <n v="3272.65"/>
    <n v="30.47"/>
  </r>
  <r>
    <s v="F159"/>
    <x v="0"/>
    <x v="1"/>
    <x v="2"/>
    <x v="0"/>
    <n v="3062.42"/>
    <n v="72224"/>
    <n v="1613.32"/>
    <n v="39.21"/>
  </r>
  <r>
    <s v="F197"/>
    <x v="2"/>
    <x v="3"/>
    <x v="1"/>
    <x v="0"/>
    <n v="1226.9100000000001"/>
    <n v="59617"/>
    <n v="5000.95"/>
    <n v="80.36"/>
  </r>
  <r>
    <s v="F055"/>
    <x v="2"/>
    <x v="1"/>
    <x v="1"/>
    <x v="2"/>
    <n v="1442.19"/>
    <n v="41050"/>
    <n v="6025.84"/>
    <n v="53.53"/>
  </r>
  <r>
    <s v="F200"/>
    <x v="1"/>
    <x v="1"/>
    <x v="1"/>
    <x v="2"/>
    <n v="3767.87"/>
    <n v="21081"/>
    <n v="9001.77"/>
    <n v="49.27"/>
  </r>
  <r>
    <s v="F022"/>
    <x v="4"/>
    <x v="2"/>
    <x v="1"/>
    <x v="2"/>
    <n v="1528.64"/>
    <n v="20207"/>
    <n v="5369.46"/>
    <n v="57.51"/>
  </r>
  <r>
    <s v="F063"/>
    <x v="4"/>
    <x v="2"/>
    <x v="2"/>
    <x v="1"/>
    <n v="438.03"/>
    <n v="45519"/>
    <n v="7987.69"/>
    <n v="10.86"/>
  </r>
  <r>
    <s v="F015"/>
    <x v="4"/>
    <x v="1"/>
    <x v="1"/>
    <x v="0"/>
    <n v="2291.7800000000002"/>
    <n v="80488"/>
    <n v="7629.95"/>
    <n v="63.83"/>
  </r>
  <r>
    <s v="F060"/>
    <x v="4"/>
    <x v="1"/>
    <x v="2"/>
    <x v="0"/>
    <n v="4099.03"/>
    <n v="41539"/>
    <n v="982.8"/>
    <n v="79.7"/>
  </r>
  <r>
    <s v="F174"/>
    <x v="3"/>
    <x v="2"/>
    <x v="0"/>
    <x v="0"/>
    <n v="2713.3180809999999"/>
    <n v="95962"/>
    <n v="524.72"/>
    <n v="49.55"/>
  </r>
  <r>
    <s v="F153"/>
    <x v="3"/>
    <x v="1"/>
    <x v="1"/>
    <x v="1"/>
    <n v="769.84"/>
    <n v="95306"/>
    <n v="9037.76"/>
    <n v="13.35"/>
  </r>
  <r>
    <s v="F082"/>
    <x v="0"/>
    <x v="2"/>
    <x v="2"/>
    <x v="0"/>
    <n v="3217.94"/>
    <n v="17468"/>
    <n v="6359.73"/>
    <n v="5.22"/>
  </r>
  <r>
    <s v="F138"/>
    <x v="0"/>
    <x v="2"/>
    <x v="0"/>
    <x v="1"/>
    <n v="3817.749018"/>
    <n v="94393"/>
    <n v="6691.7"/>
    <n v="74.790000000000006"/>
  </r>
  <r>
    <s v="F038"/>
    <x v="4"/>
    <x v="3"/>
    <x v="1"/>
    <x v="0"/>
    <n v="3796.86"/>
    <n v="18341"/>
    <n v="8465.57"/>
    <n v="38.39"/>
  </r>
  <r>
    <s v="F177"/>
    <x v="3"/>
    <x v="0"/>
    <x v="2"/>
    <x v="1"/>
    <n v="1722.54"/>
    <n v="87482"/>
    <n v="2231.7399999999998"/>
    <n v="45.43"/>
  </r>
  <r>
    <s v="F076"/>
    <x v="2"/>
    <x v="2"/>
    <x v="1"/>
    <x v="2"/>
    <n v="2472.08"/>
    <n v="41953"/>
    <n v="2379.14"/>
    <n v="65.67"/>
  </r>
  <r>
    <s v="F072"/>
    <x v="2"/>
    <x v="3"/>
    <x v="2"/>
    <x v="2"/>
    <n v="3592.6"/>
    <n v="95292"/>
    <n v="697.47"/>
    <n v="88.35"/>
  </r>
  <r>
    <s v="F126"/>
    <x v="2"/>
    <x v="3"/>
    <x v="2"/>
    <x v="1"/>
    <n v="4482.0600000000004"/>
    <n v="75508"/>
    <n v="6856.22"/>
    <n v="18.2"/>
  </r>
  <r>
    <s v="F151"/>
    <x v="2"/>
    <x v="2"/>
    <x v="0"/>
    <x v="1"/>
    <n v="3888.6305109999998"/>
    <n v="81057"/>
    <n v="675.41"/>
    <n v="55.44"/>
  </r>
  <r>
    <s v="F160"/>
    <x v="4"/>
    <x v="3"/>
    <x v="0"/>
    <x v="1"/>
    <n v="1035.252371"/>
    <n v="36423"/>
    <n v="589.96"/>
    <n v="30.9"/>
  </r>
  <r>
    <s v="F018"/>
    <x v="4"/>
    <x v="3"/>
    <x v="1"/>
    <x v="1"/>
    <n v="93.17"/>
    <n v="69305"/>
    <n v="3203.67"/>
    <n v="83.65"/>
  </r>
  <r>
    <s v="F077"/>
    <x v="4"/>
    <x v="0"/>
    <x v="1"/>
    <x v="1"/>
    <n v="489.88"/>
    <n v="52836"/>
    <n v="9330.2999999999993"/>
    <n v="87.27"/>
  </r>
  <r>
    <s v="F060"/>
    <x v="4"/>
    <x v="0"/>
    <x v="2"/>
    <x v="2"/>
    <n v="627.29999999999995"/>
    <n v="41539"/>
    <n v="982.8"/>
    <n v="79.7"/>
  </r>
  <r>
    <s v="F102"/>
    <x v="1"/>
    <x v="2"/>
    <x v="2"/>
    <x v="2"/>
    <n v="4443.8500000000004"/>
    <n v="82377"/>
    <n v="7974.74"/>
    <n v="9.17"/>
  </r>
  <r>
    <s v="F075"/>
    <x v="3"/>
    <x v="0"/>
    <x v="1"/>
    <x v="1"/>
    <n v="2192.52"/>
    <n v="60513"/>
    <n v="4578.16"/>
    <n v="65.53"/>
  </r>
  <r>
    <s v="F194"/>
    <x v="3"/>
    <x v="3"/>
    <x v="0"/>
    <x v="1"/>
    <n v="1166.7681070000001"/>
    <n v="42382"/>
    <n v="5116.6899999999996"/>
    <n v="80.42"/>
  </r>
  <r>
    <s v="F151"/>
    <x v="2"/>
    <x v="0"/>
    <x v="0"/>
    <x v="0"/>
    <n v="3803.9616740000001"/>
    <n v="81057"/>
    <n v="675.41"/>
    <n v="55.44"/>
  </r>
  <r>
    <s v="F121"/>
    <x v="3"/>
    <x v="0"/>
    <x v="1"/>
    <x v="2"/>
    <n v="4902.53"/>
    <n v="11952"/>
    <n v="4637.74"/>
    <n v="63.78"/>
  </r>
  <r>
    <s v="F147"/>
    <x v="1"/>
    <x v="2"/>
    <x v="2"/>
    <x v="2"/>
    <n v="1144.49"/>
    <n v="13333"/>
    <n v="6102.15"/>
    <n v="17.670000000000002"/>
  </r>
  <r>
    <s v="F190"/>
    <x v="0"/>
    <x v="1"/>
    <x v="0"/>
    <x v="1"/>
    <n v="4243.1099999999997"/>
    <n v="70582"/>
    <n v="7517.59"/>
    <n v="95.71"/>
  </r>
  <r>
    <s v="F023"/>
    <x v="1"/>
    <x v="0"/>
    <x v="2"/>
    <x v="2"/>
    <n v="2303.31"/>
    <n v="47484"/>
    <n v="3396.39"/>
    <n v="19.510000000000002"/>
  </r>
  <r>
    <s v="F027"/>
    <x v="4"/>
    <x v="2"/>
    <x v="1"/>
    <x v="0"/>
    <n v="3192.9"/>
    <n v="51800"/>
    <n v="3042.95"/>
    <n v="71.87"/>
  </r>
  <r>
    <s v="F019"/>
    <x v="0"/>
    <x v="1"/>
    <x v="2"/>
    <x v="1"/>
    <n v="3601.52"/>
    <n v="68018"/>
    <n v="3523.4"/>
    <n v="92.26"/>
  </r>
  <r>
    <s v="F027"/>
    <x v="4"/>
    <x v="1"/>
    <x v="1"/>
    <x v="1"/>
    <n v="4964.3100000000004"/>
    <n v="51800"/>
    <n v="3042.95"/>
    <n v="71.87"/>
  </r>
  <r>
    <s v="F093"/>
    <x v="2"/>
    <x v="2"/>
    <x v="1"/>
    <x v="1"/>
    <n v="2143.7399999999998"/>
    <n v="15553"/>
    <n v="3909.51"/>
    <n v="46.44"/>
  </r>
  <r>
    <s v="F113"/>
    <x v="3"/>
    <x v="1"/>
    <x v="1"/>
    <x v="1"/>
    <n v="563.55999999999995"/>
    <n v="69636"/>
    <n v="4246.55"/>
    <n v="69.290000000000006"/>
  </r>
  <r>
    <s v="F027"/>
    <x v="4"/>
    <x v="1"/>
    <x v="0"/>
    <x v="1"/>
    <n v="1541.8649820000001"/>
    <n v="51800"/>
    <n v="3042.95"/>
    <n v="71.87"/>
  </r>
  <r>
    <s v="F091"/>
    <x v="4"/>
    <x v="2"/>
    <x v="1"/>
    <x v="0"/>
    <n v="2191.88"/>
    <n v="43490"/>
    <n v="9300.8799999999992"/>
    <n v="58.43"/>
  </r>
  <r>
    <s v="F030"/>
    <x v="0"/>
    <x v="3"/>
    <x v="2"/>
    <x v="1"/>
    <n v="4804.76"/>
    <n v="49924"/>
    <n v="2199.16"/>
    <n v="75.48"/>
  </r>
  <r>
    <s v="F189"/>
    <x v="0"/>
    <x v="1"/>
    <x v="1"/>
    <x v="0"/>
    <n v="4966.99"/>
    <n v="67820"/>
    <n v="8177.95"/>
    <n v="40.69"/>
  </r>
  <r>
    <s v="F127"/>
    <x v="3"/>
    <x v="0"/>
    <x v="2"/>
    <x v="1"/>
    <n v="2346.08"/>
    <n v="77400"/>
    <n v="7504.8"/>
    <n v="68.819999999999993"/>
  </r>
  <r>
    <s v="F156"/>
    <x v="2"/>
    <x v="3"/>
    <x v="2"/>
    <x v="1"/>
    <n v="278.14"/>
    <n v="88308"/>
    <n v="7802.07"/>
    <n v="36.130000000000003"/>
  </r>
  <r>
    <s v="F124"/>
    <x v="3"/>
    <x v="3"/>
    <x v="2"/>
    <x v="0"/>
    <n v="3551.91"/>
    <n v="37309"/>
    <n v="4508.54"/>
    <n v="47.15"/>
  </r>
  <r>
    <s v="F015"/>
    <x v="4"/>
    <x v="3"/>
    <x v="2"/>
    <x v="0"/>
    <n v="3834.95"/>
    <n v="80488"/>
    <n v="7629.95"/>
    <n v="63.83"/>
  </r>
  <r>
    <s v="F023"/>
    <x v="1"/>
    <x v="1"/>
    <x v="1"/>
    <x v="0"/>
    <n v="4076.77"/>
    <n v="47484"/>
    <n v="3396.39"/>
    <n v="19.510000000000002"/>
  </r>
  <r>
    <s v="F108"/>
    <x v="3"/>
    <x v="1"/>
    <x v="1"/>
    <x v="1"/>
    <n v="1402.07"/>
    <n v="39050"/>
    <n v="5885.73"/>
    <n v="93.04"/>
  </r>
  <r>
    <s v="F071"/>
    <x v="4"/>
    <x v="0"/>
    <x v="1"/>
    <x v="1"/>
    <n v="2817.03"/>
    <n v="26378"/>
    <n v="2915.44"/>
    <n v="29.84"/>
  </r>
  <r>
    <s v="F048"/>
    <x v="0"/>
    <x v="3"/>
    <x v="1"/>
    <x v="2"/>
    <n v="4610.1499999999996"/>
    <n v="26338"/>
    <n v="578.73"/>
    <n v="72.52"/>
  </r>
  <r>
    <s v="F136"/>
    <x v="1"/>
    <x v="2"/>
    <x v="0"/>
    <x v="2"/>
    <n v="1197.675115"/>
    <n v="43346"/>
    <n v="5559.12"/>
    <n v="39.4"/>
  </r>
  <r>
    <s v="F126"/>
    <x v="2"/>
    <x v="2"/>
    <x v="1"/>
    <x v="2"/>
    <n v="2154.8200000000002"/>
    <n v="75508"/>
    <n v="6856.22"/>
    <n v="18.2"/>
  </r>
  <r>
    <s v="F019"/>
    <x v="0"/>
    <x v="2"/>
    <x v="2"/>
    <x v="1"/>
    <n v="1398.72"/>
    <n v="68018"/>
    <n v="3523.4"/>
    <n v="92.26"/>
  </r>
  <r>
    <s v="F106"/>
    <x v="3"/>
    <x v="2"/>
    <x v="1"/>
    <x v="1"/>
    <n v="2433.64"/>
    <n v="98682"/>
    <n v="6220.56"/>
    <n v="70.099999999999994"/>
  </r>
  <r>
    <s v="F175"/>
    <x v="3"/>
    <x v="2"/>
    <x v="1"/>
    <x v="0"/>
    <n v="1785.88"/>
    <n v="94949"/>
    <n v="9714.76"/>
    <n v="64.900000000000006"/>
  </r>
  <r>
    <s v="F056"/>
    <x v="4"/>
    <x v="0"/>
    <x v="0"/>
    <x v="0"/>
    <n v="4694.8763879999997"/>
    <n v="99026"/>
    <n v="5453.2"/>
    <n v="57.49"/>
  </r>
  <r>
    <s v="F019"/>
    <x v="0"/>
    <x v="0"/>
    <x v="1"/>
    <x v="0"/>
    <n v="3069.11"/>
    <n v="68018"/>
    <n v="3523.4"/>
    <n v="92.26"/>
  </r>
  <r>
    <s v="F029"/>
    <x v="4"/>
    <x v="1"/>
    <x v="1"/>
    <x v="1"/>
    <n v="2819.92"/>
    <n v="12262"/>
    <n v="7106.18"/>
    <n v="45.69"/>
  </r>
  <r>
    <s v="F027"/>
    <x v="4"/>
    <x v="1"/>
    <x v="2"/>
    <x v="2"/>
    <n v="1772.23"/>
    <n v="51800"/>
    <n v="3042.95"/>
    <n v="71.87"/>
  </r>
  <r>
    <s v="F182"/>
    <x v="3"/>
    <x v="0"/>
    <x v="1"/>
    <x v="2"/>
    <n v="2502.25"/>
    <n v="41027"/>
    <n v="7285.85"/>
    <n v="59.87"/>
  </r>
  <r>
    <s v="F162"/>
    <x v="3"/>
    <x v="0"/>
    <x v="0"/>
    <x v="1"/>
    <n v="3851.934953"/>
    <n v="18175"/>
    <n v="8349.49"/>
    <n v="39.97"/>
  </r>
  <r>
    <s v="F085"/>
    <x v="4"/>
    <x v="1"/>
    <x v="2"/>
    <x v="2"/>
    <n v="3031.48"/>
    <n v="29264"/>
    <n v="8362.7199999999993"/>
    <n v="61.93"/>
  </r>
  <r>
    <s v="F191"/>
    <x v="0"/>
    <x v="2"/>
    <x v="0"/>
    <x v="2"/>
    <n v="601.62"/>
    <n v="86557"/>
    <n v="8631.2800000000007"/>
    <n v="69.53"/>
  </r>
  <r>
    <s v="F086"/>
    <x v="4"/>
    <x v="0"/>
    <x v="2"/>
    <x v="2"/>
    <n v="2060.17"/>
    <n v="55974"/>
    <n v="7542.28"/>
    <n v="72.430000000000007"/>
  </r>
  <r>
    <s v="F127"/>
    <x v="3"/>
    <x v="1"/>
    <x v="2"/>
    <x v="0"/>
    <n v="2452.0300000000002"/>
    <n v="77400"/>
    <n v="7504.8"/>
    <n v="68.819999999999993"/>
  </r>
  <r>
    <s v="F012"/>
    <x v="3"/>
    <x v="0"/>
    <x v="2"/>
    <x v="0"/>
    <n v="1782.21"/>
    <n v="43747"/>
    <n v="3453.48"/>
    <n v="98.78"/>
  </r>
  <r>
    <s v="F028"/>
    <x v="4"/>
    <x v="2"/>
    <x v="0"/>
    <x v="1"/>
    <n v="103.31"/>
    <n v="73977"/>
    <n v="1646.75"/>
    <n v="43.77"/>
  </r>
  <r>
    <s v="F170"/>
    <x v="2"/>
    <x v="1"/>
    <x v="1"/>
    <x v="1"/>
    <n v="3568.05"/>
    <n v="24502"/>
    <n v="7466.86"/>
    <n v="88.83"/>
  </r>
  <r>
    <s v="F190"/>
    <x v="0"/>
    <x v="2"/>
    <x v="0"/>
    <x v="1"/>
    <n v="2290.64"/>
    <n v="70582"/>
    <n v="7517.59"/>
    <n v="95.71"/>
  </r>
  <r>
    <s v="F046"/>
    <x v="4"/>
    <x v="2"/>
    <x v="1"/>
    <x v="2"/>
    <n v="4937.24"/>
    <n v="87337"/>
    <n v="3603.06"/>
    <n v="67.13"/>
  </r>
  <r>
    <s v="F171"/>
    <x v="4"/>
    <x v="2"/>
    <x v="0"/>
    <x v="1"/>
    <n v="1728.8069439999999"/>
    <n v="98356"/>
    <n v="6968.69"/>
    <n v="81.72"/>
  </r>
  <r>
    <s v="F141"/>
    <x v="1"/>
    <x v="1"/>
    <x v="1"/>
    <x v="0"/>
    <n v="372.7"/>
    <n v="58622"/>
    <n v="7795.36"/>
    <n v="59.81"/>
  </r>
  <r>
    <s v="F126"/>
    <x v="2"/>
    <x v="0"/>
    <x v="1"/>
    <x v="2"/>
    <n v="3677.7"/>
    <n v="75508"/>
    <n v="6856.22"/>
    <n v="18.2"/>
  </r>
  <r>
    <s v="F090"/>
    <x v="2"/>
    <x v="3"/>
    <x v="2"/>
    <x v="0"/>
    <n v="2576.7800000000002"/>
    <n v="29895"/>
    <n v="1631.08"/>
    <n v="39.93"/>
  </r>
  <r>
    <s v="F124"/>
    <x v="3"/>
    <x v="0"/>
    <x v="2"/>
    <x v="0"/>
    <n v="2972.77"/>
    <n v="37309"/>
    <n v="4508.54"/>
    <n v="47.15"/>
  </r>
  <r>
    <s v="F193"/>
    <x v="1"/>
    <x v="2"/>
    <x v="2"/>
    <x v="2"/>
    <n v="3995.86"/>
    <n v="15333"/>
    <n v="2570.54"/>
    <n v="41.07"/>
  </r>
  <r>
    <s v="F196"/>
    <x v="4"/>
    <x v="1"/>
    <x v="1"/>
    <x v="1"/>
    <n v="2798.95"/>
    <n v="85444"/>
    <n v="852.57"/>
    <n v="72.650000000000006"/>
  </r>
  <r>
    <s v="F057"/>
    <x v="1"/>
    <x v="0"/>
    <x v="2"/>
    <x v="1"/>
    <n v="204.44"/>
    <n v="40226"/>
    <n v="7868.86"/>
    <n v="80.53"/>
  </r>
  <r>
    <s v="F138"/>
    <x v="0"/>
    <x v="0"/>
    <x v="1"/>
    <x v="1"/>
    <n v="2646.82"/>
    <n v="94393"/>
    <n v="6691.7"/>
    <n v="74.790000000000006"/>
  </r>
  <r>
    <s v="F198"/>
    <x v="3"/>
    <x v="1"/>
    <x v="1"/>
    <x v="1"/>
    <n v="2960.39"/>
    <n v="40577"/>
    <n v="4280.82"/>
    <n v="79.88"/>
  </r>
  <r>
    <s v="F191"/>
    <x v="0"/>
    <x v="1"/>
    <x v="1"/>
    <x v="2"/>
    <n v="1696.88"/>
    <n v="86557"/>
    <n v="8631.2800000000007"/>
    <n v="69.53"/>
  </r>
  <r>
    <s v="F165"/>
    <x v="4"/>
    <x v="1"/>
    <x v="0"/>
    <x v="2"/>
    <n v="622.99567999999999"/>
    <n v="79330"/>
    <n v="6075.23"/>
    <n v="83.97"/>
  </r>
  <r>
    <s v="F143"/>
    <x v="1"/>
    <x v="2"/>
    <x v="1"/>
    <x v="2"/>
    <n v="1684.41"/>
    <n v="29406"/>
    <n v="5281.69"/>
    <n v="27.01"/>
  </r>
  <r>
    <s v="F097"/>
    <x v="1"/>
    <x v="3"/>
    <x v="1"/>
    <x v="2"/>
    <n v="3307.16"/>
    <n v="69100"/>
    <n v="9356.02"/>
    <n v="16.5"/>
  </r>
  <r>
    <s v="F120"/>
    <x v="4"/>
    <x v="3"/>
    <x v="0"/>
    <x v="0"/>
    <n v="2731.1669729999999"/>
    <n v="57215"/>
    <n v="3227.1"/>
    <n v="32.909999999999997"/>
  </r>
  <r>
    <s v="F025"/>
    <x v="4"/>
    <x v="1"/>
    <x v="2"/>
    <x v="2"/>
    <n v="2861.41"/>
    <n v="32131"/>
    <n v="1474.23"/>
    <n v="45.47"/>
  </r>
  <r>
    <s v="F199"/>
    <x v="0"/>
    <x v="3"/>
    <x v="1"/>
    <x v="1"/>
    <n v="2409.39"/>
    <n v="89321"/>
    <n v="9836.34"/>
    <n v="16.989999999999998"/>
  </r>
  <r>
    <s v="F053"/>
    <x v="0"/>
    <x v="1"/>
    <x v="2"/>
    <x v="2"/>
    <n v="1958.41"/>
    <n v="56392"/>
    <n v="5703.76"/>
    <n v="23.04"/>
  </r>
  <r>
    <s v="F193"/>
    <x v="1"/>
    <x v="0"/>
    <x v="2"/>
    <x v="0"/>
    <n v="2816.97"/>
    <n v="15333"/>
    <n v="2570.54"/>
    <n v="41.07"/>
  </r>
  <r>
    <s v="F113"/>
    <x v="3"/>
    <x v="0"/>
    <x v="1"/>
    <x v="2"/>
    <n v="4263.92"/>
    <n v="69636"/>
    <n v="4246.55"/>
    <n v="69.290000000000006"/>
  </r>
  <r>
    <s v="F177"/>
    <x v="3"/>
    <x v="3"/>
    <x v="1"/>
    <x v="2"/>
    <n v="1867.58"/>
    <n v="87482"/>
    <n v="2231.7399999999998"/>
    <n v="45.43"/>
  </r>
  <r>
    <s v="F042"/>
    <x v="1"/>
    <x v="2"/>
    <x v="0"/>
    <x v="0"/>
    <n v="3447.6118419999998"/>
    <n v="58111"/>
    <n v="4610.8999999999996"/>
    <n v="21.53"/>
  </r>
  <r>
    <s v="F084"/>
    <x v="3"/>
    <x v="3"/>
    <x v="0"/>
    <x v="1"/>
    <n v="4785.5801659999997"/>
    <n v="54136"/>
    <n v="2775.38"/>
    <n v="75.459999999999994"/>
  </r>
  <r>
    <s v="F097"/>
    <x v="1"/>
    <x v="2"/>
    <x v="1"/>
    <x v="1"/>
    <n v="3739.05"/>
    <n v="69100"/>
    <n v="9356.02"/>
    <n v="16.5"/>
  </r>
  <r>
    <s v="F153"/>
    <x v="3"/>
    <x v="3"/>
    <x v="1"/>
    <x v="0"/>
    <n v="4330.71"/>
    <n v="95306"/>
    <n v="9037.76"/>
    <n v="13.35"/>
  </r>
  <r>
    <s v="F151"/>
    <x v="2"/>
    <x v="1"/>
    <x v="0"/>
    <x v="2"/>
    <n v="1947.4241589999999"/>
    <n v="81057"/>
    <n v="675.41"/>
    <n v="55.44"/>
  </r>
  <r>
    <s v="F015"/>
    <x v="4"/>
    <x v="2"/>
    <x v="1"/>
    <x v="2"/>
    <n v="2840.62"/>
    <n v="80488"/>
    <n v="7629.95"/>
    <n v="63.83"/>
  </r>
  <r>
    <s v="F199"/>
    <x v="0"/>
    <x v="0"/>
    <x v="2"/>
    <x v="2"/>
    <n v="2415.5100000000002"/>
    <n v="89321"/>
    <n v="9836.34"/>
    <n v="16.989999999999998"/>
  </r>
  <r>
    <s v="F156"/>
    <x v="2"/>
    <x v="3"/>
    <x v="0"/>
    <x v="0"/>
    <n v="5161.459492"/>
    <n v="88308"/>
    <n v="7802.07"/>
    <n v="36.130000000000003"/>
  </r>
  <r>
    <s v="F009"/>
    <x v="0"/>
    <x v="2"/>
    <x v="1"/>
    <x v="2"/>
    <n v="2359.52"/>
    <n v="45644"/>
    <n v="7724.73"/>
    <n v="31"/>
  </r>
  <r>
    <s v="F011"/>
    <x v="4"/>
    <x v="3"/>
    <x v="1"/>
    <x v="1"/>
    <n v="4799.96"/>
    <n v="72846"/>
    <n v="5169.53"/>
    <n v="76.709999999999994"/>
  </r>
  <r>
    <s v="F156"/>
    <x v="2"/>
    <x v="3"/>
    <x v="2"/>
    <x v="0"/>
    <n v="152.66999999999999"/>
    <n v="88308"/>
    <n v="7802.07"/>
    <n v="36.130000000000003"/>
  </r>
  <r>
    <s v="F187"/>
    <x v="2"/>
    <x v="1"/>
    <x v="0"/>
    <x v="2"/>
    <n v="2461.8885409999998"/>
    <n v="77317"/>
    <n v="4862.95"/>
    <n v="89.78"/>
  </r>
  <r>
    <s v="F007"/>
    <x v="4"/>
    <x v="2"/>
    <x v="1"/>
    <x v="1"/>
    <n v="3223.43"/>
    <n v="35506"/>
    <n v="1892.04"/>
    <n v="61.53"/>
  </r>
  <r>
    <s v="F026"/>
    <x v="2"/>
    <x v="3"/>
    <x v="2"/>
    <x v="1"/>
    <n v="3987.54"/>
    <n v="32246"/>
    <n v="7903.93"/>
    <n v="42.12"/>
  </r>
  <r>
    <s v="F137"/>
    <x v="0"/>
    <x v="2"/>
    <x v="1"/>
    <x v="2"/>
    <n v="2592.73"/>
    <n v="10933"/>
    <n v="9004.3700000000008"/>
    <n v="26.84"/>
  </r>
  <r>
    <s v="F121"/>
    <x v="3"/>
    <x v="0"/>
    <x v="2"/>
    <x v="0"/>
    <n v="3770.78"/>
    <n v="11952"/>
    <n v="4637.74"/>
    <n v="63.78"/>
  </r>
  <r>
    <s v="F042"/>
    <x v="1"/>
    <x v="3"/>
    <x v="1"/>
    <x v="0"/>
    <n v="348.87"/>
    <n v="58111"/>
    <n v="4610.8999999999996"/>
    <n v="21.53"/>
  </r>
  <r>
    <s v="F003"/>
    <x v="3"/>
    <x v="1"/>
    <x v="1"/>
    <x v="1"/>
    <n v="2278.9499999999998"/>
    <n v="27681"/>
    <n v="928.26"/>
    <n v="44.97"/>
  </r>
  <r>
    <s v="F063"/>
    <x v="4"/>
    <x v="0"/>
    <x v="2"/>
    <x v="0"/>
    <n v="2550.35"/>
    <n v="45519"/>
    <n v="7987.69"/>
    <n v="10.86"/>
  </r>
  <r>
    <s v="F018"/>
    <x v="4"/>
    <x v="2"/>
    <x v="1"/>
    <x v="1"/>
    <n v="2694.43"/>
    <n v="69305"/>
    <n v="3203.67"/>
    <n v="83.65"/>
  </r>
  <r>
    <s v="F085"/>
    <x v="4"/>
    <x v="1"/>
    <x v="2"/>
    <x v="0"/>
    <n v="3868.63"/>
    <n v="29264"/>
    <n v="8362.7199999999993"/>
    <n v="61.93"/>
  </r>
  <r>
    <s v="F181"/>
    <x v="3"/>
    <x v="0"/>
    <x v="0"/>
    <x v="0"/>
    <n v="297.68827140000002"/>
    <n v="42485"/>
    <n v="4755.75"/>
    <n v="10.19"/>
  </r>
  <r>
    <s v="F015"/>
    <x v="4"/>
    <x v="0"/>
    <x v="2"/>
    <x v="2"/>
    <n v="579.69000000000005"/>
    <n v="80488"/>
    <n v="7629.95"/>
    <n v="63.83"/>
  </r>
  <r>
    <s v="F051"/>
    <x v="4"/>
    <x v="0"/>
    <x v="2"/>
    <x v="0"/>
    <n v="1933.86"/>
    <n v="56752"/>
    <n v="4177.68"/>
    <n v="10.96"/>
  </r>
  <r>
    <s v="F136"/>
    <x v="1"/>
    <x v="1"/>
    <x v="2"/>
    <x v="1"/>
    <n v="2753.65"/>
    <n v="43346"/>
    <n v="5559.12"/>
    <n v="39.4"/>
  </r>
  <r>
    <s v="F174"/>
    <x v="3"/>
    <x v="1"/>
    <x v="1"/>
    <x v="1"/>
    <n v="1643.04"/>
    <n v="95962"/>
    <n v="524.72"/>
    <n v="49.55"/>
  </r>
  <r>
    <s v="F041"/>
    <x v="1"/>
    <x v="1"/>
    <x v="1"/>
    <x v="1"/>
    <n v="4614.76"/>
    <n v="84721"/>
    <n v="2278.9699999999998"/>
    <n v="68.53"/>
  </r>
  <r>
    <s v="F066"/>
    <x v="4"/>
    <x v="2"/>
    <x v="2"/>
    <x v="0"/>
    <n v="1222.43"/>
    <n v="13543"/>
    <n v="7854.96"/>
    <n v="85.57"/>
  </r>
  <r>
    <s v="F141"/>
    <x v="1"/>
    <x v="0"/>
    <x v="0"/>
    <x v="2"/>
    <n v="2583.2195620000002"/>
    <n v="58622"/>
    <n v="7795.36"/>
    <n v="59.81"/>
  </r>
  <r>
    <s v="F042"/>
    <x v="1"/>
    <x v="0"/>
    <x v="2"/>
    <x v="1"/>
    <n v="1562.45"/>
    <n v="58111"/>
    <n v="4610.8999999999996"/>
    <n v="21.53"/>
  </r>
  <r>
    <s v="F106"/>
    <x v="3"/>
    <x v="3"/>
    <x v="0"/>
    <x v="2"/>
    <n v="3844.335282"/>
    <n v="98682"/>
    <n v="6220.56"/>
    <n v="70.099999999999994"/>
  </r>
  <r>
    <s v="F073"/>
    <x v="3"/>
    <x v="2"/>
    <x v="0"/>
    <x v="0"/>
    <n v="695.19"/>
    <n v="26170"/>
    <n v="8057.54"/>
    <n v="63.71"/>
  </r>
  <r>
    <s v="F165"/>
    <x v="4"/>
    <x v="3"/>
    <x v="2"/>
    <x v="1"/>
    <n v="4607.08"/>
    <n v="79330"/>
    <n v="6075.23"/>
    <n v="83.97"/>
  </r>
  <r>
    <s v="F197"/>
    <x v="2"/>
    <x v="1"/>
    <x v="0"/>
    <x v="0"/>
    <n v="2391.3231030000002"/>
    <n v="59617"/>
    <n v="5000.95"/>
    <n v="80.36"/>
  </r>
  <r>
    <s v="F110"/>
    <x v="4"/>
    <x v="1"/>
    <x v="1"/>
    <x v="1"/>
    <n v="4313.43"/>
    <n v="85868"/>
    <n v="907.72"/>
    <n v="90.36"/>
  </r>
  <r>
    <s v="F018"/>
    <x v="4"/>
    <x v="1"/>
    <x v="1"/>
    <x v="0"/>
    <n v="1094.0999999999999"/>
    <n v="69305"/>
    <n v="3203.67"/>
    <n v="83.65"/>
  </r>
  <r>
    <s v="F067"/>
    <x v="1"/>
    <x v="1"/>
    <x v="0"/>
    <x v="0"/>
    <n v="5193.7170610000003"/>
    <n v="28400"/>
    <n v="3056.67"/>
    <n v="52.68"/>
  </r>
  <r>
    <s v="F066"/>
    <x v="4"/>
    <x v="1"/>
    <x v="2"/>
    <x v="2"/>
    <n v="3352.59"/>
    <n v="13543"/>
    <n v="7854.96"/>
    <n v="85.57"/>
  </r>
  <r>
    <s v="F028"/>
    <x v="4"/>
    <x v="2"/>
    <x v="0"/>
    <x v="0"/>
    <n v="3888.52"/>
    <n v="73977"/>
    <n v="1646.75"/>
    <n v="43.77"/>
  </r>
  <r>
    <s v="F184"/>
    <x v="0"/>
    <x v="2"/>
    <x v="2"/>
    <x v="1"/>
    <n v="3140.95"/>
    <n v="22201"/>
    <n v="2853.66"/>
    <n v="71.94"/>
  </r>
  <r>
    <s v="F182"/>
    <x v="3"/>
    <x v="1"/>
    <x v="0"/>
    <x v="2"/>
    <n v="1260.773817"/>
    <n v="41027"/>
    <n v="7285.85"/>
    <n v="59.87"/>
  </r>
  <r>
    <s v="F151"/>
    <x v="2"/>
    <x v="2"/>
    <x v="1"/>
    <x v="2"/>
    <n v="416.29"/>
    <n v="81057"/>
    <n v="675.41"/>
    <n v="55.44"/>
  </r>
  <r>
    <s v="F083"/>
    <x v="2"/>
    <x v="0"/>
    <x v="1"/>
    <x v="1"/>
    <n v="96.09"/>
    <n v="94704"/>
    <n v="6632.95"/>
    <n v="14.76"/>
  </r>
  <r>
    <s v="F125"/>
    <x v="1"/>
    <x v="2"/>
    <x v="2"/>
    <x v="1"/>
    <n v="1224.1099999999999"/>
    <n v="82332"/>
    <n v="7134.86"/>
    <n v="22.44"/>
  </r>
  <r>
    <s v="F017"/>
    <x v="2"/>
    <x v="3"/>
    <x v="1"/>
    <x v="1"/>
    <n v="3899.81"/>
    <n v="71747"/>
    <n v="9838.66"/>
    <n v="7.25"/>
  </r>
  <r>
    <s v="F199"/>
    <x v="0"/>
    <x v="1"/>
    <x v="2"/>
    <x v="1"/>
    <n v="1065.82"/>
    <n v="89321"/>
    <n v="9836.34"/>
    <n v="16.989999999999998"/>
  </r>
  <r>
    <s v="F154"/>
    <x v="0"/>
    <x v="3"/>
    <x v="2"/>
    <x v="1"/>
    <n v="4448.1899999999996"/>
    <n v="17097"/>
    <n v="9061.7800000000007"/>
    <n v="95.92"/>
  </r>
  <r>
    <s v="F133"/>
    <x v="2"/>
    <x v="2"/>
    <x v="0"/>
    <x v="2"/>
    <n v="2211.0873019999999"/>
    <n v="41168"/>
    <n v="8226.77"/>
    <n v="42.55"/>
  </r>
  <r>
    <s v="F156"/>
    <x v="2"/>
    <x v="2"/>
    <x v="0"/>
    <x v="2"/>
    <n v="3199.4069009999998"/>
    <n v="88308"/>
    <n v="7802.07"/>
    <n v="36.130000000000003"/>
  </r>
  <r>
    <s v="F189"/>
    <x v="0"/>
    <x v="3"/>
    <x v="1"/>
    <x v="2"/>
    <n v="2263.6999999999998"/>
    <n v="67820"/>
    <n v="8177.95"/>
    <n v="40.69"/>
  </r>
  <r>
    <s v="F008"/>
    <x v="3"/>
    <x v="1"/>
    <x v="1"/>
    <x v="1"/>
    <n v="4326.03"/>
    <n v="50306"/>
    <n v="7031.37"/>
    <n v="13.27"/>
  </r>
  <r>
    <s v="F058"/>
    <x v="1"/>
    <x v="3"/>
    <x v="0"/>
    <x v="2"/>
    <n v="4352.7373250000001"/>
    <n v="66398"/>
    <n v="8713.61"/>
    <n v="83.44"/>
  </r>
  <r>
    <s v="F137"/>
    <x v="0"/>
    <x v="1"/>
    <x v="0"/>
    <x v="1"/>
    <n v="4294.79"/>
    <n v="10933"/>
    <n v="9004.3700000000008"/>
    <n v="26.84"/>
  </r>
  <r>
    <s v="F183"/>
    <x v="3"/>
    <x v="2"/>
    <x v="1"/>
    <x v="1"/>
    <n v="2678.48"/>
    <n v="29860"/>
    <n v="3956.23"/>
    <n v="57.5"/>
  </r>
  <r>
    <s v="F086"/>
    <x v="4"/>
    <x v="0"/>
    <x v="1"/>
    <x v="1"/>
    <n v="2267.79"/>
    <n v="55974"/>
    <n v="7542.28"/>
    <n v="72.430000000000007"/>
  </r>
  <r>
    <s v="F071"/>
    <x v="4"/>
    <x v="0"/>
    <x v="1"/>
    <x v="2"/>
    <n v="2496.0100000000002"/>
    <n v="26378"/>
    <n v="2915.44"/>
    <n v="29.84"/>
  </r>
  <r>
    <s v="F107"/>
    <x v="2"/>
    <x v="1"/>
    <x v="1"/>
    <x v="1"/>
    <n v="4601.71"/>
    <n v="43512"/>
    <n v="5352.18"/>
    <n v="6.17"/>
  </r>
  <r>
    <s v="F105"/>
    <x v="0"/>
    <x v="3"/>
    <x v="2"/>
    <x v="2"/>
    <n v="2739.77"/>
    <n v="27028"/>
    <n v="4617.92"/>
    <n v="57.62"/>
  </r>
  <r>
    <s v="F127"/>
    <x v="3"/>
    <x v="2"/>
    <x v="0"/>
    <x v="0"/>
    <n v="1410.4"/>
    <n v="77400"/>
    <n v="7504.8"/>
    <n v="68.819999999999993"/>
  </r>
  <r>
    <s v="F170"/>
    <x v="2"/>
    <x v="0"/>
    <x v="0"/>
    <x v="2"/>
    <n v="2563.0937389999999"/>
    <n v="24502"/>
    <n v="7466.86"/>
    <n v="88.83"/>
  </r>
  <r>
    <s v="F094"/>
    <x v="3"/>
    <x v="2"/>
    <x v="1"/>
    <x v="2"/>
    <n v="886.98"/>
    <n v="40553"/>
    <n v="4875.2299999999996"/>
    <n v="23.33"/>
  </r>
  <r>
    <s v="F086"/>
    <x v="4"/>
    <x v="2"/>
    <x v="1"/>
    <x v="1"/>
    <n v="4317.26"/>
    <n v="55974"/>
    <n v="7542.28"/>
    <n v="72.430000000000007"/>
  </r>
  <r>
    <s v="F181"/>
    <x v="3"/>
    <x v="1"/>
    <x v="2"/>
    <x v="1"/>
    <n v="1597.82"/>
    <n v="42485"/>
    <n v="4755.75"/>
    <n v="10.19"/>
  </r>
  <r>
    <s v="F195"/>
    <x v="1"/>
    <x v="0"/>
    <x v="1"/>
    <x v="0"/>
    <n v="3825.5"/>
    <n v="87012"/>
    <n v="7478.13"/>
    <n v="27.22"/>
  </r>
  <r>
    <s v="F067"/>
    <x v="1"/>
    <x v="0"/>
    <x v="0"/>
    <x v="0"/>
    <n v="3766.3401309999999"/>
    <n v="28400"/>
    <n v="3056.67"/>
    <n v="52.68"/>
  </r>
  <r>
    <s v="F087"/>
    <x v="4"/>
    <x v="1"/>
    <x v="0"/>
    <x v="1"/>
    <n v="4885.6576480000003"/>
    <n v="44164"/>
    <n v="3869.32"/>
    <n v="13.81"/>
  </r>
  <r>
    <s v="F139"/>
    <x v="0"/>
    <x v="2"/>
    <x v="0"/>
    <x v="2"/>
    <n v="2013.053784"/>
    <n v="80904"/>
    <n v="3263.09"/>
    <n v="58.37"/>
  </r>
  <r>
    <s v="F161"/>
    <x v="2"/>
    <x v="3"/>
    <x v="0"/>
    <x v="2"/>
    <n v="2140.4226189999999"/>
    <n v="36171"/>
    <n v="6864.38"/>
    <n v="37.03"/>
  </r>
  <r>
    <s v="F200"/>
    <x v="1"/>
    <x v="1"/>
    <x v="2"/>
    <x v="0"/>
    <n v="707.7"/>
    <n v="21081"/>
    <n v="9001.77"/>
    <n v="49.27"/>
  </r>
  <r>
    <s v="F182"/>
    <x v="3"/>
    <x v="2"/>
    <x v="2"/>
    <x v="2"/>
    <n v="1703.95"/>
    <n v="41027"/>
    <n v="7285.85"/>
    <n v="59.87"/>
  </r>
  <r>
    <s v="F187"/>
    <x v="2"/>
    <x v="0"/>
    <x v="2"/>
    <x v="0"/>
    <n v="3023.57"/>
    <n v="77317"/>
    <n v="4862.95"/>
    <n v="89.78"/>
  </r>
  <r>
    <s v="F021"/>
    <x v="1"/>
    <x v="2"/>
    <x v="2"/>
    <x v="2"/>
    <n v="2101.7199999999998"/>
    <n v="44657"/>
    <n v="7867.98"/>
    <n v="96.01"/>
  </r>
  <r>
    <s v="F013"/>
    <x v="2"/>
    <x v="3"/>
    <x v="1"/>
    <x v="1"/>
    <n v="72.97"/>
    <n v="72813"/>
    <n v="8818.16"/>
    <n v="54.12"/>
  </r>
  <r>
    <s v="F018"/>
    <x v="4"/>
    <x v="3"/>
    <x v="2"/>
    <x v="0"/>
    <n v="1271.98"/>
    <n v="69305"/>
    <n v="3203.67"/>
    <n v="83.65"/>
  </r>
  <r>
    <s v="F129"/>
    <x v="1"/>
    <x v="0"/>
    <x v="1"/>
    <x v="0"/>
    <n v="1645.13"/>
    <n v="58439"/>
    <n v="5817.93"/>
    <n v="63.77"/>
  </r>
  <r>
    <s v="F129"/>
    <x v="1"/>
    <x v="0"/>
    <x v="1"/>
    <x v="1"/>
    <n v="1271.48"/>
    <n v="58439"/>
    <n v="5817.93"/>
    <n v="63.77"/>
  </r>
  <r>
    <s v="F047"/>
    <x v="0"/>
    <x v="2"/>
    <x v="2"/>
    <x v="1"/>
    <n v="1183.23"/>
    <n v="39568"/>
    <n v="3580.54"/>
    <n v="78.08"/>
  </r>
  <r>
    <s v="F113"/>
    <x v="3"/>
    <x v="1"/>
    <x v="0"/>
    <x v="0"/>
    <n v="3135.2882399999999"/>
    <n v="69636"/>
    <n v="4246.55"/>
    <n v="69.290000000000006"/>
  </r>
  <r>
    <s v="F148"/>
    <x v="1"/>
    <x v="2"/>
    <x v="1"/>
    <x v="1"/>
    <n v="2647.47"/>
    <n v="47491"/>
    <n v="5781.05"/>
    <n v="92.18"/>
  </r>
  <r>
    <s v="F052"/>
    <x v="3"/>
    <x v="1"/>
    <x v="1"/>
    <x v="1"/>
    <n v="1670.25"/>
    <n v="66163"/>
    <n v="1416.57"/>
    <n v="68.73"/>
  </r>
  <r>
    <s v="F046"/>
    <x v="4"/>
    <x v="1"/>
    <x v="0"/>
    <x v="1"/>
    <n v="3796.74"/>
    <n v="87337"/>
    <n v="3603.06"/>
    <n v="67.13"/>
  </r>
  <r>
    <s v="F014"/>
    <x v="2"/>
    <x v="0"/>
    <x v="1"/>
    <x v="1"/>
    <n v="2430.6999999999998"/>
    <n v="17416"/>
    <n v="812.06"/>
    <n v="5.7"/>
  </r>
  <r>
    <s v="F082"/>
    <x v="0"/>
    <x v="0"/>
    <x v="0"/>
    <x v="0"/>
    <n v="4664.5184390000004"/>
    <n v="17468"/>
    <n v="6359.73"/>
    <n v="5.22"/>
  </r>
  <r>
    <s v="F181"/>
    <x v="3"/>
    <x v="0"/>
    <x v="1"/>
    <x v="0"/>
    <n v="2563.5500000000002"/>
    <n v="42485"/>
    <n v="4755.75"/>
    <n v="10.19"/>
  </r>
  <r>
    <s v="F103"/>
    <x v="4"/>
    <x v="1"/>
    <x v="1"/>
    <x v="2"/>
    <n v="2866.4"/>
    <n v="22309"/>
    <n v="3656.29"/>
    <n v="75.25"/>
  </r>
  <r>
    <s v="F194"/>
    <x v="3"/>
    <x v="3"/>
    <x v="1"/>
    <x v="0"/>
    <n v="4646.07"/>
    <n v="42382"/>
    <n v="5116.6899999999996"/>
    <n v="80.42"/>
  </r>
  <r>
    <s v="F086"/>
    <x v="4"/>
    <x v="2"/>
    <x v="0"/>
    <x v="0"/>
    <n v="858.75894459999995"/>
    <n v="55974"/>
    <n v="7542.28"/>
    <n v="72.430000000000007"/>
  </r>
  <r>
    <s v="F124"/>
    <x v="3"/>
    <x v="3"/>
    <x v="1"/>
    <x v="0"/>
    <n v="2645.6"/>
    <n v="37309"/>
    <n v="4508.54"/>
    <n v="47.15"/>
  </r>
  <r>
    <s v="F096"/>
    <x v="0"/>
    <x v="2"/>
    <x v="0"/>
    <x v="0"/>
    <n v="4396.4497890000002"/>
    <n v="21388"/>
    <n v="5249.39"/>
    <n v="64.2"/>
  </r>
  <r>
    <s v="F077"/>
    <x v="4"/>
    <x v="0"/>
    <x v="0"/>
    <x v="1"/>
    <n v="2468.89"/>
    <n v="52836"/>
    <n v="9330.2999999999993"/>
    <n v="87.27"/>
  </r>
  <r>
    <s v="F184"/>
    <x v="0"/>
    <x v="1"/>
    <x v="1"/>
    <x v="2"/>
    <n v="3901.9"/>
    <n v="22201"/>
    <n v="2853.66"/>
    <n v="71.94"/>
  </r>
  <r>
    <s v="F147"/>
    <x v="1"/>
    <x v="2"/>
    <x v="0"/>
    <x v="2"/>
    <n v="2711.0032080000001"/>
    <n v="13333"/>
    <n v="6102.15"/>
    <n v="17.670000000000002"/>
  </r>
  <r>
    <s v="F064"/>
    <x v="1"/>
    <x v="1"/>
    <x v="0"/>
    <x v="2"/>
    <n v="1971.3"/>
    <n v="70481"/>
    <n v="4452.83"/>
    <n v="91.26"/>
  </r>
  <r>
    <s v="F003"/>
    <x v="3"/>
    <x v="1"/>
    <x v="1"/>
    <x v="2"/>
    <n v="4296.74"/>
    <n v="27681"/>
    <n v="928.26"/>
    <n v="44.97"/>
  </r>
  <r>
    <s v="F193"/>
    <x v="1"/>
    <x v="2"/>
    <x v="2"/>
    <x v="2"/>
    <n v="3792.89"/>
    <n v="15333"/>
    <n v="2570.54"/>
    <n v="41.07"/>
  </r>
  <r>
    <s v="F127"/>
    <x v="3"/>
    <x v="3"/>
    <x v="2"/>
    <x v="1"/>
    <n v="1486.21"/>
    <n v="77400"/>
    <n v="7504.8"/>
    <n v="68.819999999999993"/>
  </r>
  <r>
    <s v="F180"/>
    <x v="2"/>
    <x v="3"/>
    <x v="2"/>
    <x v="1"/>
    <n v="2653.12"/>
    <n v="13302"/>
    <n v="821.51"/>
    <n v="69.599999999999994"/>
  </r>
  <r>
    <s v="F098"/>
    <x v="4"/>
    <x v="2"/>
    <x v="1"/>
    <x v="1"/>
    <n v="4329.05"/>
    <n v="28704"/>
    <n v="6009.24"/>
    <n v="39.31"/>
  </r>
  <r>
    <s v="F066"/>
    <x v="4"/>
    <x v="1"/>
    <x v="0"/>
    <x v="0"/>
    <n v="3438.4822770000001"/>
    <n v="13543"/>
    <n v="7854.96"/>
    <n v="85.57"/>
  </r>
  <r>
    <s v="F105"/>
    <x v="0"/>
    <x v="3"/>
    <x v="0"/>
    <x v="2"/>
    <n v="4297.0303940000003"/>
    <n v="27028"/>
    <n v="4617.92"/>
    <n v="57.62"/>
  </r>
  <r>
    <s v="F150"/>
    <x v="4"/>
    <x v="3"/>
    <x v="0"/>
    <x v="0"/>
    <n v="1748.1880329999999"/>
    <n v="46863"/>
    <n v="6762.98"/>
    <n v="23.45"/>
  </r>
  <r>
    <s v="F035"/>
    <x v="4"/>
    <x v="3"/>
    <x v="0"/>
    <x v="1"/>
    <n v="2629.36"/>
    <n v="24913"/>
    <n v="5727.27"/>
    <n v="78.849999999999994"/>
  </r>
  <r>
    <s v="F048"/>
    <x v="0"/>
    <x v="1"/>
    <x v="0"/>
    <x v="0"/>
    <n v="4350.9599639999997"/>
    <n v="26338"/>
    <n v="578.73"/>
    <n v="72.52"/>
  </r>
  <r>
    <s v="F155"/>
    <x v="2"/>
    <x v="3"/>
    <x v="1"/>
    <x v="0"/>
    <n v="400"/>
    <n v="75736"/>
    <n v="6287.07"/>
    <n v="63.11"/>
  </r>
  <r>
    <s v="F006"/>
    <x v="4"/>
    <x v="2"/>
    <x v="2"/>
    <x v="1"/>
    <n v="4737.45"/>
    <n v="11426"/>
    <n v="4439.5600000000004"/>
    <n v="52.71"/>
  </r>
  <r>
    <s v="F188"/>
    <x v="3"/>
    <x v="2"/>
    <x v="2"/>
    <x v="2"/>
    <n v="2400.9"/>
    <n v="80824"/>
    <n v="2858.92"/>
    <n v="13.97"/>
  </r>
  <r>
    <s v="F068"/>
    <x v="0"/>
    <x v="3"/>
    <x v="1"/>
    <x v="0"/>
    <n v="3887.35"/>
    <n v="44825"/>
    <n v="6023.03"/>
    <n v="27.2"/>
  </r>
  <r>
    <s v="F104"/>
    <x v="4"/>
    <x v="1"/>
    <x v="1"/>
    <x v="0"/>
    <n v="3231.03"/>
    <n v="84851"/>
    <n v="560.75"/>
    <n v="80.23"/>
  </r>
  <r>
    <s v="F063"/>
    <x v="4"/>
    <x v="3"/>
    <x v="2"/>
    <x v="2"/>
    <n v="1139.33"/>
    <n v="45519"/>
    <n v="7987.69"/>
    <n v="10.86"/>
  </r>
  <r>
    <s v="F170"/>
    <x v="2"/>
    <x v="3"/>
    <x v="1"/>
    <x v="1"/>
    <n v="4799"/>
    <n v="24502"/>
    <n v="7466.86"/>
    <n v="88.83"/>
  </r>
  <r>
    <s v="F079"/>
    <x v="2"/>
    <x v="0"/>
    <x v="1"/>
    <x v="2"/>
    <n v="3657.83"/>
    <n v="17311"/>
    <n v="2257.38"/>
    <n v="91.07"/>
  </r>
  <r>
    <s v="F142"/>
    <x v="0"/>
    <x v="2"/>
    <x v="0"/>
    <x v="0"/>
    <n v="2571.4593089999998"/>
    <n v="68278"/>
    <n v="3272.65"/>
    <n v="30.47"/>
  </r>
  <r>
    <s v="F195"/>
    <x v="1"/>
    <x v="0"/>
    <x v="1"/>
    <x v="2"/>
    <n v="3338"/>
    <n v="87012"/>
    <n v="7478.13"/>
    <n v="27.22"/>
  </r>
  <r>
    <s v="F099"/>
    <x v="3"/>
    <x v="1"/>
    <x v="2"/>
    <x v="2"/>
    <n v="4623.8100000000004"/>
    <n v="17162"/>
    <n v="5079.95"/>
    <n v="19.239999999999998"/>
  </r>
  <r>
    <s v="F156"/>
    <x v="2"/>
    <x v="1"/>
    <x v="2"/>
    <x v="1"/>
    <n v="3591.86"/>
    <n v="88308"/>
    <n v="7802.07"/>
    <n v="36.130000000000003"/>
  </r>
  <r>
    <s v="F143"/>
    <x v="1"/>
    <x v="0"/>
    <x v="0"/>
    <x v="1"/>
    <n v="2370.4460279999998"/>
    <n v="29406"/>
    <n v="5281.69"/>
    <n v="27.01"/>
  </r>
  <r>
    <s v="F197"/>
    <x v="2"/>
    <x v="3"/>
    <x v="0"/>
    <x v="0"/>
    <n v="3703.0568629999998"/>
    <n v="59617"/>
    <n v="5000.95"/>
    <n v="80.36"/>
  </r>
  <r>
    <s v="F088"/>
    <x v="0"/>
    <x v="3"/>
    <x v="1"/>
    <x v="1"/>
    <n v="2135.3200000000002"/>
    <n v="77330"/>
    <n v="6936.58"/>
    <n v="82.3"/>
  </r>
  <r>
    <s v="F138"/>
    <x v="0"/>
    <x v="2"/>
    <x v="0"/>
    <x v="1"/>
    <n v="4016.4773869999999"/>
    <n v="94393"/>
    <n v="6691.7"/>
    <n v="74.790000000000006"/>
  </r>
  <r>
    <s v="F049"/>
    <x v="0"/>
    <x v="0"/>
    <x v="2"/>
    <x v="2"/>
    <n v="2536.5"/>
    <n v="65666"/>
    <n v="7269.98"/>
    <n v="75.62"/>
  </r>
  <r>
    <s v="F068"/>
    <x v="0"/>
    <x v="1"/>
    <x v="1"/>
    <x v="1"/>
    <n v="4254.34"/>
    <n v="44825"/>
    <n v="6023.03"/>
    <n v="27.2"/>
  </r>
  <r>
    <s v="F016"/>
    <x v="2"/>
    <x v="3"/>
    <x v="1"/>
    <x v="1"/>
    <n v="1897.31"/>
    <n v="93409"/>
    <n v="2375.83"/>
    <n v="5.83"/>
  </r>
  <r>
    <s v="F016"/>
    <x v="2"/>
    <x v="0"/>
    <x v="1"/>
    <x v="1"/>
    <n v="4286.67"/>
    <n v="93409"/>
    <n v="2375.83"/>
    <n v="5.83"/>
  </r>
  <r>
    <s v="F059"/>
    <x v="2"/>
    <x v="0"/>
    <x v="2"/>
    <x v="1"/>
    <n v="2709.88"/>
    <n v="30934"/>
    <n v="4175.6499999999996"/>
    <n v="77.290000000000006"/>
  </r>
  <r>
    <s v="F022"/>
    <x v="4"/>
    <x v="1"/>
    <x v="2"/>
    <x v="1"/>
    <n v="4482.51"/>
    <n v="20207"/>
    <n v="5369.46"/>
    <n v="57.51"/>
  </r>
  <r>
    <s v="F103"/>
    <x v="4"/>
    <x v="3"/>
    <x v="2"/>
    <x v="2"/>
    <n v="4156"/>
    <n v="22309"/>
    <n v="3656.29"/>
    <n v="75.25"/>
  </r>
  <r>
    <s v="F005"/>
    <x v="4"/>
    <x v="3"/>
    <x v="0"/>
    <x v="0"/>
    <n v="2731.8927560000002"/>
    <n v="61743"/>
    <n v="7426.75"/>
    <n v="26.39"/>
  </r>
  <r>
    <s v="F011"/>
    <x v="4"/>
    <x v="0"/>
    <x v="0"/>
    <x v="2"/>
    <n v="84.4"/>
    <n v="72846"/>
    <n v="5169.53"/>
    <n v="76.709999999999994"/>
  </r>
  <r>
    <s v="F109"/>
    <x v="0"/>
    <x v="3"/>
    <x v="1"/>
    <x v="1"/>
    <n v="84.55"/>
    <n v="34318"/>
    <n v="675.67"/>
    <n v="41.05"/>
  </r>
  <r>
    <s v="F072"/>
    <x v="2"/>
    <x v="2"/>
    <x v="1"/>
    <x v="0"/>
    <n v="3865.97"/>
    <n v="95292"/>
    <n v="697.47"/>
    <n v="88.35"/>
  </r>
  <r>
    <s v="F181"/>
    <x v="3"/>
    <x v="1"/>
    <x v="2"/>
    <x v="2"/>
    <n v="4994.79"/>
    <n v="42485"/>
    <n v="4755.75"/>
    <n v="10.19"/>
  </r>
  <r>
    <s v="F056"/>
    <x v="4"/>
    <x v="0"/>
    <x v="0"/>
    <x v="2"/>
    <n v="4341.6706560000002"/>
    <n v="99026"/>
    <n v="5453.2"/>
    <n v="57.49"/>
  </r>
  <r>
    <s v="F010"/>
    <x v="0"/>
    <x v="3"/>
    <x v="2"/>
    <x v="0"/>
    <n v="4845.8500000000004"/>
    <n v="32991"/>
    <n v="8540.14"/>
    <n v="37.75"/>
  </r>
  <r>
    <s v="F023"/>
    <x v="1"/>
    <x v="2"/>
    <x v="1"/>
    <x v="1"/>
    <n v="695.8"/>
    <n v="47484"/>
    <n v="3396.39"/>
    <n v="19.510000000000002"/>
  </r>
  <r>
    <s v="F167"/>
    <x v="2"/>
    <x v="2"/>
    <x v="0"/>
    <x v="2"/>
    <n v="2429.7024150000002"/>
    <n v="94128"/>
    <n v="8117.82"/>
    <n v="73.83"/>
  </r>
  <r>
    <s v="F196"/>
    <x v="4"/>
    <x v="2"/>
    <x v="2"/>
    <x v="0"/>
    <n v="3517.31"/>
    <n v="85444"/>
    <n v="852.57"/>
    <n v="72.650000000000006"/>
  </r>
  <r>
    <s v="F012"/>
    <x v="3"/>
    <x v="2"/>
    <x v="2"/>
    <x v="0"/>
    <n v="2893"/>
    <n v="43747"/>
    <n v="3453.48"/>
    <n v="98.78"/>
  </r>
  <r>
    <s v="F141"/>
    <x v="1"/>
    <x v="1"/>
    <x v="1"/>
    <x v="0"/>
    <n v="4115.76"/>
    <n v="58622"/>
    <n v="7795.36"/>
    <n v="59.81"/>
  </r>
  <r>
    <s v="F088"/>
    <x v="0"/>
    <x v="3"/>
    <x v="2"/>
    <x v="1"/>
    <n v="1917.42"/>
    <n v="77330"/>
    <n v="6936.58"/>
    <n v="82.3"/>
  </r>
  <r>
    <s v="F014"/>
    <x v="2"/>
    <x v="3"/>
    <x v="2"/>
    <x v="0"/>
    <n v="1203.1300000000001"/>
    <n v="17416"/>
    <n v="812.06"/>
    <n v="5.7"/>
  </r>
  <r>
    <s v="F028"/>
    <x v="4"/>
    <x v="3"/>
    <x v="1"/>
    <x v="0"/>
    <n v="3085.38"/>
    <n v="73977"/>
    <n v="1646.75"/>
    <n v="43.77"/>
  </r>
  <r>
    <s v="F115"/>
    <x v="3"/>
    <x v="3"/>
    <x v="1"/>
    <x v="2"/>
    <n v="1942.8"/>
    <n v="29318"/>
    <n v="9860.6200000000008"/>
    <n v="14.58"/>
  </r>
  <r>
    <s v="F148"/>
    <x v="1"/>
    <x v="1"/>
    <x v="1"/>
    <x v="0"/>
    <n v="3632.78"/>
    <n v="47491"/>
    <n v="5781.05"/>
    <n v="92.18"/>
  </r>
  <r>
    <s v="F042"/>
    <x v="1"/>
    <x v="2"/>
    <x v="1"/>
    <x v="1"/>
    <n v="4435.1000000000004"/>
    <n v="58111"/>
    <n v="4610.8999999999996"/>
    <n v="21.53"/>
  </r>
  <r>
    <s v="F129"/>
    <x v="1"/>
    <x v="1"/>
    <x v="1"/>
    <x v="2"/>
    <n v="3104.04"/>
    <n v="58439"/>
    <n v="5817.93"/>
    <n v="63.77"/>
  </r>
  <r>
    <s v="F140"/>
    <x v="4"/>
    <x v="1"/>
    <x v="1"/>
    <x v="2"/>
    <n v="1562.42"/>
    <n v="94347"/>
    <n v="2272.58"/>
    <n v="34.75"/>
  </r>
  <r>
    <s v="F083"/>
    <x v="2"/>
    <x v="2"/>
    <x v="0"/>
    <x v="1"/>
    <n v="3968.0176780000002"/>
    <n v="94704"/>
    <n v="6632.95"/>
    <n v="14.76"/>
  </r>
  <r>
    <s v="F073"/>
    <x v="3"/>
    <x v="2"/>
    <x v="2"/>
    <x v="0"/>
    <n v="3813.14"/>
    <n v="26170"/>
    <n v="8057.54"/>
    <n v="63.71"/>
  </r>
  <r>
    <s v="F003"/>
    <x v="3"/>
    <x v="0"/>
    <x v="1"/>
    <x v="0"/>
    <n v="1512.54"/>
    <n v="27681"/>
    <n v="928.26"/>
    <n v="44.97"/>
  </r>
  <r>
    <s v="F162"/>
    <x v="3"/>
    <x v="1"/>
    <x v="0"/>
    <x v="2"/>
    <n v="4044.946097"/>
    <n v="18175"/>
    <n v="8349.49"/>
    <n v="39.97"/>
  </r>
  <r>
    <s v="F150"/>
    <x v="4"/>
    <x v="3"/>
    <x v="1"/>
    <x v="1"/>
    <n v="193.32"/>
    <n v="46863"/>
    <n v="6762.98"/>
    <n v="23.45"/>
  </r>
  <r>
    <s v="F112"/>
    <x v="4"/>
    <x v="2"/>
    <x v="2"/>
    <x v="2"/>
    <n v="2881.41"/>
    <n v="88188"/>
    <n v="815.86"/>
    <n v="57.53"/>
  </r>
  <r>
    <s v="F120"/>
    <x v="4"/>
    <x v="1"/>
    <x v="2"/>
    <x v="1"/>
    <n v="1949.55"/>
    <n v="57215"/>
    <n v="3227.1"/>
    <n v="32.909999999999997"/>
  </r>
  <r>
    <s v="F155"/>
    <x v="2"/>
    <x v="0"/>
    <x v="2"/>
    <x v="2"/>
    <n v="2729.42"/>
    <n v="75736"/>
    <n v="6287.07"/>
    <n v="63.11"/>
  </r>
  <r>
    <s v="F171"/>
    <x v="4"/>
    <x v="3"/>
    <x v="1"/>
    <x v="0"/>
    <n v="4965.24"/>
    <n v="98356"/>
    <n v="6968.69"/>
    <n v="81.72"/>
  </r>
  <r>
    <s v="F013"/>
    <x v="2"/>
    <x v="3"/>
    <x v="1"/>
    <x v="2"/>
    <n v="968.64"/>
    <n v="72813"/>
    <n v="8818.16"/>
    <n v="54.12"/>
  </r>
  <r>
    <s v="F019"/>
    <x v="0"/>
    <x v="2"/>
    <x v="2"/>
    <x v="0"/>
    <n v="2778.34"/>
    <n v="68018"/>
    <n v="3523.4"/>
    <n v="92.26"/>
  </r>
  <r>
    <s v="F068"/>
    <x v="0"/>
    <x v="1"/>
    <x v="2"/>
    <x v="0"/>
    <n v="901.71"/>
    <n v="44825"/>
    <n v="6023.03"/>
    <n v="27.2"/>
  </r>
  <r>
    <s v="F134"/>
    <x v="3"/>
    <x v="3"/>
    <x v="1"/>
    <x v="0"/>
    <n v="4031.94"/>
    <n v="16256"/>
    <n v="2127.1799999999998"/>
    <n v="38.94"/>
  </r>
  <r>
    <s v="F148"/>
    <x v="1"/>
    <x v="0"/>
    <x v="2"/>
    <x v="2"/>
    <n v="3868.62"/>
    <n v="47491"/>
    <n v="5781.05"/>
    <n v="92.18"/>
  </r>
  <r>
    <s v="F081"/>
    <x v="1"/>
    <x v="3"/>
    <x v="1"/>
    <x v="2"/>
    <n v="2670.34"/>
    <n v="39560"/>
    <n v="8380.77"/>
    <n v="94.01"/>
  </r>
  <r>
    <s v="F182"/>
    <x v="3"/>
    <x v="1"/>
    <x v="2"/>
    <x v="0"/>
    <n v="4061.97"/>
    <n v="41027"/>
    <n v="7285.85"/>
    <n v="59.87"/>
  </r>
  <r>
    <s v="F024"/>
    <x v="4"/>
    <x v="2"/>
    <x v="1"/>
    <x v="1"/>
    <n v="279.14"/>
    <n v="95718"/>
    <n v="2443.12"/>
    <n v="35.49"/>
  </r>
  <r>
    <s v="F055"/>
    <x v="2"/>
    <x v="2"/>
    <x v="0"/>
    <x v="2"/>
    <n v="936.92034809999996"/>
    <n v="41050"/>
    <n v="6025.84"/>
    <n v="53.53"/>
  </r>
  <r>
    <s v="F056"/>
    <x v="4"/>
    <x v="0"/>
    <x v="0"/>
    <x v="2"/>
    <n v="1890.569927"/>
    <n v="99026"/>
    <n v="5453.2"/>
    <n v="57.49"/>
  </r>
  <r>
    <s v="F191"/>
    <x v="0"/>
    <x v="1"/>
    <x v="0"/>
    <x v="0"/>
    <n v="4697.92"/>
    <n v="86557"/>
    <n v="8631.2800000000007"/>
    <n v="69.53"/>
  </r>
  <r>
    <s v="F175"/>
    <x v="3"/>
    <x v="3"/>
    <x v="2"/>
    <x v="2"/>
    <n v="3192.85"/>
    <n v="94949"/>
    <n v="9714.76"/>
    <n v="64.900000000000006"/>
  </r>
  <r>
    <s v="F038"/>
    <x v="4"/>
    <x v="1"/>
    <x v="0"/>
    <x v="0"/>
    <n v="3010.17"/>
    <n v="18341"/>
    <n v="8465.57"/>
    <n v="38.39"/>
  </r>
  <r>
    <s v="F075"/>
    <x v="3"/>
    <x v="2"/>
    <x v="0"/>
    <x v="2"/>
    <n v="4348.8599999999997"/>
    <n v="60513"/>
    <n v="4578.16"/>
    <n v="65.53"/>
  </r>
  <r>
    <s v="F023"/>
    <x v="1"/>
    <x v="0"/>
    <x v="0"/>
    <x v="0"/>
    <n v="4115.1509260000003"/>
    <n v="47484"/>
    <n v="3396.39"/>
    <n v="19.510000000000002"/>
  </r>
  <r>
    <s v="F142"/>
    <x v="0"/>
    <x v="0"/>
    <x v="2"/>
    <x v="1"/>
    <n v="4352.3"/>
    <n v="68278"/>
    <n v="3272.65"/>
    <n v="30.47"/>
  </r>
  <r>
    <s v="F012"/>
    <x v="3"/>
    <x v="1"/>
    <x v="0"/>
    <x v="1"/>
    <n v="3591.3304600000001"/>
    <n v="43747"/>
    <n v="3453.48"/>
    <n v="98.78"/>
  </r>
  <r>
    <s v="F193"/>
    <x v="1"/>
    <x v="0"/>
    <x v="2"/>
    <x v="1"/>
    <n v="3260.39"/>
    <n v="15333"/>
    <n v="2570.54"/>
    <n v="41.07"/>
  </r>
  <r>
    <s v="F022"/>
    <x v="4"/>
    <x v="2"/>
    <x v="1"/>
    <x v="2"/>
    <n v="1083.03"/>
    <n v="20207"/>
    <n v="5369.46"/>
    <n v="57.51"/>
  </r>
  <r>
    <s v="F013"/>
    <x v="2"/>
    <x v="1"/>
    <x v="2"/>
    <x v="0"/>
    <n v="2051.69"/>
    <n v="72813"/>
    <n v="8818.16"/>
    <n v="54.12"/>
  </r>
  <r>
    <s v="F101"/>
    <x v="3"/>
    <x v="2"/>
    <x v="2"/>
    <x v="0"/>
    <n v="2402.8200000000002"/>
    <n v="65719"/>
    <n v="9362.41"/>
    <n v="86.55"/>
  </r>
  <r>
    <s v="F055"/>
    <x v="2"/>
    <x v="1"/>
    <x v="0"/>
    <x v="0"/>
    <n v="1465.512424"/>
    <n v="41050"/>
    <n v="6025.84"/>
    <n v="53.53"/>
  </r>
  <r>
    <s v="F072"/>
    <x v="2"/>
    <x v="0"/>
    <x v="0"/>
    <x v="0"/>
    <n v="4841.5442560000001"/>
    <n v="95292"/>
    <n v="697.47"/>
    <n v="88.35"/>
  </r>
  <r>
    <s v="F080"/>
    <x v="3"/>
    <x v="3"/>
    <x v="2"/>
    <x v="0"/>
    <n v="3187.8"/>
    <n v="10250"/>
    <n v="4717"/>
    <n v="16.600000000000001"/>
  </r>
  <r>
    <s v="F072"/>
    <x v="2"/>
    <x v="3"/>
    <x v="2"/>
    <x v="2"/>
    <n v="4547.92"/>
    <n v="95292"/>
    <n v="697.47"/>
    <n v="88.35"/>
  </r>
  <r>
    <s v="F081"/>
    <x v="1"/>
    <x v="1"/>
    <x v="0"/>
    <x v="0"/>
    <n v="4751.75"/>
    <n v="39560"/>
    <n v="8380.77"/>
    <n v="94.01"/>
  </r>
  <r>
    <s v="F008"/>
    <x v="3"/>
    <x v="1"/>
    <x v="2"/>
    <x v="0"/>
    <n v="3218.33"/>
    <n v="50306"/>
    <n v="7031.37"/>
    <n v="13.27"/>
  </r>
  <r>
    <s v="F154"/>
    <x v="0"/>
    <x v="2"/>
    <x v="1"/>
    <x v="2"/>
    <n v="107.49"/>
    <n v="17097"/>
    <n v="9061.7800000000007"/>
    <n v="95.92"/>
  </r>
  <r>
    <s v="F033"/>
    <x v="0"/>
    <x v="0"/>
    <x v="2"/>
    <x v="1"/>
    <n v="4162.1899999999996"/>
    <n v="47727"/>
    <n v="8907.33"/>
    <n v="47.4"/>
  </r>
  <r>
    <s v="F185"/>
    <x v="0"/>
    <x v="1"/>
    <x v="1"/>
    <x v="0"/>
    <n v="1795.35"/>
    <n v="68820"/>
    <n v="9612.25"/>
    <n v="83.51"/>
  </r>
  <r>
    <s v="F177"/>
    <x v="3"/>
    <x v="1"/>
    <x v="1"/>
    <x v="2"/>
    <n v="930.97"/>
    <n v="87482"/>
    <n v="2231.7399999999998"/>
    <n v="45.43"/>
  </r>
  <r>
    <s v="F083"/>
    <x v="2"/>
    <x v="2"/>
    <x v="0"/>
    <x v="0"/>
    <n v="1962.973495"/>
    <n v="94704"/>
    <n v="6632.95"/>
    <n v="14.76"/>
  </r>
  <r>
    <s v="F098"/>
    <x v="4"/>
    <x v="2"/>
    <x v="1"/>
    <x v="0"/>
    <n v="4615.88"/>
    <n v="28704"/>
    <n v="6009.24"/>
    <n v="39.31"/>
  </r>
  <r>
    <s v="F118"/>
    <x v="0"/>
    <x v="3"/>
    <x v="2"/>
    <x v="1"/>
    <n v="1530.83"/>
    <n v="14170"/>
    <n v="5455.23"/>
    <n v="25.46"/>
  </r>
  <r>
    <s v="F122"/>
    <x v="4"/>
    <x v="2"/>
    <x v="0"/>
    <x v="0"/>
    <n v="2440.987615"/>
    <n v="49620"/>
    <n v="2424.31"/>
    <n v="62.09"/>
  </r>
  <r>
    <s v="F089"/>
    <x v="4"/>
    <x v="0"/>
    <x v="2"/>
    <x v="2"/>
    <n v="1674.72"/>
    <n v="58895"/>
    <n v="3039.17"/>
    <n v="59.82"/>
  </r>
  <r>
    <s v="F198"/>
    <x v="3"/>
    <x v="1"/>
    <x v="2"/>
    <x v="1"/>
    <n v="3245.74"/>
    <n v="40577"/>
    <n v="4280.82"/>
    <n v="79.88"/>
  </r>
  <r>
    <s v="F165"/>
    <x v="4"/>
    <x v="0"/>
    <x v="2"/>
    <x v="1"/>
    <n v="3114.72"/>
    <n v="79330"/>
    <n v="6075.23"/>
    <n v="83.97"/>
  </r>
  <r>
    <s v="F108"/>
    <x v="3"/>
    <x v="1"/>
    <x v="1"/>
    <x v="1"/>
    <n v="2078.6799999999998"/>
    <n v="39050"/>
    <n v="5885.73"/>
    <n v="93.04"/>
  </r>
  <r>
    <s v="F062"/>
    <x v="2"/>
    <x v="0"/>
    <x v="2"/>
    <x v="1"/>
    <n v="2458.83"/>
    <n v="19265"/>
    <n v="776.6"/>
    <n v="39.75"/>
  </r>
  <r>
    <s v="F007"/>
    <x v="4"/>
    <x v="2"/>
    <x v="1"/>
    <x v="1"/>
    <n v="3902.33"/>
    <n v="35506"/>
    <n v="1892.04"/>
    <n v="61.53"/>
  </r>
  <r>
    <s v="F023"/>
    <x v="1"/>
    <x v="2"/>
    <x v="0"/>
    <x v="0"/>
    <n v="3436.6858299999999"/>
    <n v="47484"/>
    <n v="3396.39"/>
    <n v="19.510000000000002"/>
  </r>
  <r>
    <s v="F116"/>
    <x v="2"/>
    <x v="2"/>
    <x v="2"/>
    <x v="2"/>
    <n v="3373.97"/>
    <n v="48501"/>
    <n v="7209.77"/>
    <n v="92.51"/>
  </r>
  <r>
    <s v="F067"/>
    <x v="1"/>
    <x v="0"/>
    <x v="1"/>
    <x v="1"/>
    <n v="2524.3200000000002"/>
    <n v="28400"/>
    <n v="3056.67"/>
    <n v="52.68"/>
  </r>
  <r>
    <s v="F190"/>
    <x v="0"/>
    <x v="1"/>
    <x v="2"/>
    <x v="2"/>
    <n v="4152.62"/>
    <n v="70582"/>
    <n v="7517.59"/>
    <n v="95.71"/>
  </r>
  <r>
    <s v="F033"/>
    <x v="0"/>
    <x v="1"/>
    <x v="0"/>
    <x v="1"/>
    <n v="5429.1162919999997"/>
    <n v="47727"/>
    <n v="8907.33"/>
    <n v="47.4"/>
  </r>
  <r>
    <s v="F147"/>
    <x v="1"/>
    <x v="2"/>
    <x v="0"/>
    <x v="2"/>
    <n v="4835.4238480000004"/>
    <n v="13333"/>
    <n v="6102.15"/>
    <n v="17.670000000000002"/>
  </r>
  <r>
    <s v="F108"/>
    <x v="3"/>
    <x v="2"/>
    <x v="2"/>
    <x v="1"/>
    <n v="783.3"/>
    <n v="39050"/>
    <n v="5885.73"/>
    <n v="93.04"/>
  </r>
  <r>
    <s v="F131"/>
    <x v="4"/>
    <x v="0"/>
    <x v="2"/>
    <x v="2"/>
    <n v="4038.18"/>
    <n v="43294"/>
    <n v="3802.13"/>
    <n v="45.84"/>
  </r>
  <r>
    <s v="F156"/>
    <x v="2"/>
    <x v="1"/>
    <x v="0"/>
    <x v="0"/>
    <n v="4925.5299789999999"/>
    <n v="88308"/>
    <n v="7802.07"/>
    <n v="36.130000000000003"/>
  </r>
  <r>
    <s v="F090"/>
    <x v="2"/>
    <x v="2"/>
    <x v="0"/>
    <x v="0"/>
    <n v="2926.74557"/>
    <n v="29895"/>
    <n v="1631.08"/>
    <n v="39.93"/>
  </r>
  <r>
    <s v="F001"/>
    <x v="1"/>
    <x v="0"/>
    <x v="2"/>
    <x v="1"/>
    <n v="1931.14"/>
    <n v="54133"/>
    <n v="8543.68"/>
    <n v="24"/>
  </r>
  <r>
    <s v="F126"/>
    <x v="2"/>
    <x v="1"/>
    <x v="0"/>
    <x v="2"/>
    <n v="3586.9128329999999"/>
    <n v="75508"/>
    <n v="6856.22"/>
    <n v="18.2"/>
  </r>
  <r>
    <s v="F188"/>
    <x v="3"/>
    <x v="3"/>
    <x v="1"/>
    <x v="1"/>
    <n v="2192.19"/>
    <n v="80824"/>
    <n v="2858.92"/>
    <n v="13.97"/>
  </r>
  <r>
    <s v="F173"/>
    <x v="1"/>
    <x v="3"/>
    <x v="2"/>
    <x v="1"/>
    <n v="3113.98"/>
    <n v="38181"/>
    <n v="691.84"/>
    <n v="33.53"/>
  </r>
  <r>
    <s v="F155"/>
    <x v="2"/>
    <x v="3"/>
    <x v="0"/>
    <x v="0"/>
    <n v="4943.0830340000002"/>
    <n v="75736"/>
    <n v="6287.07"/>
    <n v="63.11"/>
  </r>
  <r>
    <s v="F165"/>
    <x v="4"/>
    <x v="0"/>
    <x v="1"/>
    <x v="1"/>
    <n v="4608.99"/>
    <n v="79330"/>
    <n v="6075.23"/>
    <n v="83.97"/>
  </r>
  <r>
    <s v="F012"/>
    <x v="3"/>
    <x v="1"/>
    <x v="2"/>
    <x v="1"/>
    <n v="548.27"/>
    <n v="43747"/>
    <n v="3453.48"/>
    <n v="98.78"/>
  </r>
  <r>
    <s v="F024"/>
    <x v="4"/>
    <x v="0"/>
    <x v="0"/>
    <x v="0"/>
    <n v="2949.1193939999998"/>
    <n v="95718"/>
    <n v="2443.12"/>
    <n v="35.49"/>
  </r>
  <r>
    <s v="F005"/>
    <x v="4"/>
    <x v="3"/>
    <x v="0"/>
    <x v="2"/>
    <n v="2617.0703119999998"/>
    <n v="61743"/>
    <n v="7426.75"/>
    <n v="26.39"/>
  </r>
  <r>
    <s v="F176"/>
    <x v="4"/>
    <x v="3"/>
    <x v="1"/>
    <x v="1"/>
    <n v="4990.76"/>
    <n v="18726"/>
    <n v="5099.54"/>
    <n v="71.05"/>
  </r>
  <r>
    <s v="F200"/>
    <x v="1"/>
    <x v="3"/>
    <x v="2"/>
    <x v="1"/>
    <n v="922.25"/>
    <n v="21081"/>
    <n v="9001.77"/>
    <n v="49.27"/>
  </r>
  <r>
    <s v="F097"/>
    <x v="1"/>
    <x v="2"/>
    <x v="1"/>
    <x v="1"/>
    <n v="1919.35"/>
    <n v="69100"/>
    <n v="9356.02"/>
    <n v="16.5"/>
  </r>
  <r>
    <s v="F130"/>
    <x v="3"/>
    <x v="3"/>
    <x v="0"/>
    <x v="2"/>
    <n v="3296.9829679999998"/>
    <n v="43227"/>
    <n v="5199.53"/>
    <n v="44.09"/>
  </r>
  <r>
    <s v="F031"/>
    <x v="3"/>
    <x v="1"/>
    <x v="2"/>
    <x v="2"/>
    <n v="3879.07"/>
    <n v="86263"/>
    <n v="3213.71"/>
    <n v="98.39"/>
  </r>
  <r>
    <s v="F154"/>
    <x v="0"/>
    <x v="2"/>
    <x v="0"/>
    <x v="1"/>
    <n v="3326.9593620000001"/>
    <n v="17097"/>
    <n v="9061.7800000000007"/>
    <n v="95.92"/>
  </r>
  <r>
    <s v="F152"/>
    <x v="4"/>
    <x v="1"/>
    <x v="0"/>
    <x v="1"/>
    <n v="2620.3764460000002"/>
    <n v="90679"/>
    <n v="7266.82"/>
    <n v="23.3"/>
  </r>
  <r>
    <s v="F082"/>
    <x v="0"/>
    <x v="2"/>
    <x v="2"/>
    <x v="0"/>
    <n v="3511.53"/>
    <n v="17468"/>
    <n v="6359.73"/>
    <n v="5.22"/>
  </r>
  <r>
    <s v="F150"/>
    <x v="4"/>
    <x v="0"/>
    <x v="2"/>
    <x v="1"/>
    <n v="402.68"/>
    <n v="46863"/>
    <n v="6762.98"/>
    <n v="23.45"/>
  </r>
  <r>
    <s v="F168"/>
    <x v="2"/>
    <x v="3"/>
    <x v="1"/>
    <x v="0"/>
    <n v="3834.83"/>
    <n v="24095"/>
    <n v="3167.52"/>
    <n v="31.02"/>
  </r>
  <r>
    <s v="F028"/>
    <x v="4"/>
    <x v="1"/>
    <x v="1"/>
    <x v="1"/>
    <n v="2705.01"/>
    <n v="73977"/>
    <n v="1646.75"/>
    <n v="43.77"/>
  </r>
  <r>
    <s v="F149"/>
    <x v="1"/>
    <x v="1"/>
    <x v="1"/>
    <x v="1"/>
    <n v="2242.38"/>
    <n v="61207"/>
    <n v="6922.33"/>
    <n v="9.1999999999999993"/>
  </r>
  <r>
    <s v="F026"/>
    <x v="2"/>
    <x v="3"/>
    <x v="0"/>
    <x v="1"/>
    <n v="1860.7437640000001"/>
    <n v="32246"/>
    <n v="7903.93"/>
    <n v="42.12"/>
  </r>
  <r>
    <s v="F172"/>
    <x v="4"/>
    <x v="0"/>
    <x v="2"/>
    <x v="2"/>
    <n v="2978.15"/>
    <n v="98396"/>
    <n v="5174.07"/>
    <n v="63.38"/>
  </r>
  <r>
    <s v="F051"/>
    <x v="4"/>
    <x v="2"/>
    <x v="2"/>
    <x v="0"/>
    <n v="1338.04"/>
    <n v="56752"/>
    <n v="4177.68"/>
    <n v="10.96"/>
  </r>
  <r>
    <s v="F056"/>
    <x v="4"/>
    <x v="3"/>
    <x v="2"/>
    <x v="2"/>
    <n v="2538.44"/>
    <n v="99026"/>
    <n v="5453.2"/>
    <n v="57.49"/>
  </r>
  <r>
    <s v="F049"/>
    <x v="0"/>
    <x v="1"/>
    <x v="2"/>
    <x v="2"/>
    <n v="1644.11"/>
    <n v="65666"/>
    <n v="7269.98"/>
    <n v="75.62"/>
  </r>
  <r>
    <s v="F109"/>
    <x v="0"/>
    <x v="1"/>
    <x v="1"/>
    <x v="1"/>
    <n v="3858.7"/>
    <n v="34318"/>
    <n v="675.67"/>
    <n v="41.05"/>
  </r>
  <r>
    <s v="F131"/>
    <x v="4"/>
    <x v="3"/>
    <x v="2"/>
    <x v="2"/>
    <n v="2079.69"/>
    <n v="43294"/>
    <n v="3802.13"/>
    <n v="45.84"/>
  </r>
  <r>
    <s v="F186"/>
    <x v="4"/>
    <x v="0"/>
    <x v="2"/>
    <x v="1"/>
    <n v="439.97"/>
    <n v="61942"/>
    <n v="4891.32"/>
    <n v="91.59"/>
  </r>
  <r>
    <s v="F111"/>
    <x v="3"/>
    <x v="2"/>
    <x v="2"/>
    <x v="0"/>
    <n v="1486"/>
    <n v="10907"/>
    <n v="4748.66"/>
    <n v="39.36"/>
  </r>
  <r>
    <s v="F138"/>
    <x v="0"/>
    <x v="2"/>
    <x v="0"/>
    <x v="2"/>
    <n v="396.69632039999999"/>
    <n v="94393"/>
    <n v="6691.7"/>
    <n v="74.790000000000006"/>
  </r>
  <r>
    <s v="F081"/>
    <x v="1"/>
    <x v="1"/>
    <x v="0"/>
    <x v="1"/>
    <n v="1724.46"/>
    <n v="39560"/>
    <n v="8380.77"/>
    <n v="94.01"/>
  </r>
  <r>
    <s v="F186"/>
    <x v="4"/>
    <x v="2"/>
    <x v="2"/>
    <x v="1"/>
    <n v="3569.77"/>
    <n v="61942"/>
    <n v="4891.32"/>
    <n v="91.59"/>
  </r>
  <r>
    <s v="F149"/>
    <x v="1"/>
    <x v="0"/>
    <x v="1"/>
    <x v="0"/>
    <n v="1244.99"/>
    <n v="61207"/>
    <n v="6922.33"/>
    <n v="9.1999999999999993"/>
  </r>
  <r>
    <s v="F119"/>
    <x v="2"/>
    <x v="1"/>
    <x v="0"/>
    <x v="0"/>
    <n v="4645.6365770000002"/>
    <n v="22525"/>
    <n v="9465.65"/>
    <n v="37.79"/>
  </r>
  <r>
    <s v="F061"/>
    <x v="1"/>
    <x v="0"/>
    <x v="0"/>
    <x v="2"/>
    <n v="3635.37"/>
    <n v="21386"/>
    <n v="2271.92"/>
    <n v="49.67"/>
  </r>
  <r>
    <s v="F193"/>
    <x v="1"/>
    <x v="1"/>
    <x v="0"/>
    <x v="2"/>
    <n v="4563.1180219999997"/>
    <n v="15333"/>
    <n v="2570.54"/>
    <n v="41.07"/>
  </r>
  <r>
    <s v="F090"/>
    <x v="2"/>
    <x v="0"/>
    <x v="0"/>
    <x v="1"/>
    <n v="1337.435551"/>
    <n v="29895"/>
    <n v="1631.08"/>
    <n v="39.93"/>
  </r>
  <r>
    <s v="F070"/>
    <x v="2"/>
    <x v="2"/>
    <x v="0"/>
    <x v="2"/>
    <n v="527.43320610000001"/>
    <n v="15128"/>
    <n v="8847.09"/>
    <n v="5.25"/>
  </r>
  <r>
    <s v="F076"/>
    <x v="2"/>
    <x v="3"/>
    <x v="1"/>
    <x v="0"/>
    <n v="1979.48"/>
    <n v="41953"/>
    <n v="2379.14"/>
    <n v="65.67"/>
  </r>
  <r>
    <s v="F127"/>
    <x v="3"/>
    <x v="2"/>
    <x v="0"/>
    <x v="1"/>
    <n v="2025.95"/>
    <n v="77400"/>
    <n v="7504.8"/>
    <n v="68.819999999999993"/>
  </r>
  <r>
    <s v="F090"/>
    <x v="2"/>
    <x v="1"/>
    <x v="2"/>
    <x v="1"/>
    <n v="4195.17"/>
    <n v="29895"/>
    <n v="1631.08"/>
    <n v="39.93"/>
  </r>
  <r>
    <s v="F053"/>
    <x v="0"/>
    <x v="0"/>
    <x v="2"/>
    <x v="2"/>
    <n v="2104.08"/>
    <n v="56392"/>
    <n v="5703.76"/>
    <n v="23.04"/>
  </r>
  <r>
    <s v="F008"/>
    <x v="3"/>
    <x v="0"/>
    <x v="2"/>
    <x v="1"/>
    <n v="4229.93"/>
    <n v="50306"/>
    <n v="7031.37"/>
    <n v="13.27"/>
  </r>
  <r>
    <s v="F083"/>
    <x v="2"/>
    <x v="0"/>
    <x v="1"/>
    <x v="1"/>
    <n v="3136.15"/>
    <n v="94704"/>
    <n v="6632.95"/>
    <n v="14.76"/>
  </r>
  <r>
    <s v="F200"/>
    <x v="1"/>
    <x v="3"/>
    <x v="0"/>
    <x v="2"/>
    <n v="1959.3291340000001"/>
    <n v="21081"/>
    <n v="9001.77"/>
    <n v="49.27"/>
  </r>
  <r>
    <s v="F047"/>
    <x v="0"/>
    <x v="0"/>
    <x v="0"/>
    <x v="2"/>
    <n v="1221.953049"/>
    <n v="39568"/>
    <n v="3580.54"/>
    <n v="78.08"/>
  </r>
  <r>
    <s v="F176"/>
    <x v="4"/>
    <x v="1"/>
    <x v="2"/>
    <x v="0"/>
    <n v="300.75"/>
    <n v="18726"/>
    <n v="5099.54"/>
    <n v="71.05"/>
  </r>
  <r>
    <s v="F018"/>
    <x v="4"/>
    <x v="2"/>
    <x v="2"/>
    <x v="2"/>
    <n v="4099.18"/>
    <n v="69305"/>
    <n v="3203.67"/>
    <n v="83.65"/>
  </r>
  <r>
    <s v="F198"/>
    <x v="3"/>
    <x v="1"/>
    <x v="1"/>
    <x v="0"/>
    <n v="104.53"/>
    <n v="40577"/>
    <n v="4280.82"/>
    <n v="79.88"/>
  </r>
  <r>
    <s v="F185"/>
    <x v="0"/>
    <x v="3"/>
    <x v="1"/>
    <x v="2"/>
    <n v="2781"/>
    <n v="68820"/>
    <n v="9612.25"/>
    <n v="83.51"/>
  </r>
  <r>
    <s v="F090"/>
    <x v="2"/>
    <x v="2"/>
    <x v="0"/>
    <x v="2"/>
    <n v="3597.303453"/>
    <n v="29895"/>
    <n v="1631.08"/>
    <n v="39.93"/>
  </r>
  <r>
    <s v="F052"/>
    <x v="3"/>
    <x v="2"/>
    <x v="2"/>
    <x v="2"/>
    <n v="2055.7399999999998"/>
    <n v="66163"/>
    <n v="1416.57"/>
    <n v="68.73"/>
  </r>
  <r>
    <s v="F034"/>
    <x v="4"/>
    <x v="2"/>
    <x v="1"/>
    <x v="0"/>
    <n v="437.58"/>
    <n v="67213"/>
    <n v="5533.81"/>
    <n v="90.88"/>
  </r>
  <r>
    <s v="F035"/>
    <x v="4"/>
    <x v="1"/>
    <x v="2"/>
    <x v="0"/>
    <n v="3087.52"/>
    <n v="24913"/>
    <n v="5727.27"/>
    <n v="78.849999999999994"/>
  </r>
  <r>
    <s v="F076"/>
    <x v="2"/>
    <x v="1"/>
    <x v="0"/>
    <x v="0"/>
    <n v="2226.371185"/>
    <n v="41953"/>
    <n v="2379.14"/>
    <n v="65.67"/>
  </r>
  <r>
    <s v="F105"/>
    <x v="0"/>
    <x v="0"/>
    <x v="2"/>
    <x v="0"/>
    <n v="769.29"/>
    <n v="27028"/>
    <n v="4617.92"/>
    <n v="57.62"/>
  </r>
  <r>
    <s v="F065"/>
    <x v="1"/>
    <x v="2"/>
    <x v="2"/>
    <x v="2"/>
    <n v="3008.89"/>
    <n v="91031"/>
    <n v="1783.57"/>
    <n v="32.049999999999997"/>
  </r>
  <r>
    <s v="F089"/>
    <x v="4"/>
    <x v="3"/>
    <x v="0"/>
    <x v="0"/>
    <n v="1802.2968639999999"/>
    <n v="58895"/>
    <n v="3039.17"/>
    <n v="59.82"/>
  </r>
  <r>
    <s v="F089"/>
    <x v="4"/>
    <x v="3"/>
    <x v="2"/>
    <x v="0"/>
    <n v="3707.94"/>
    <n v="58895"/>
    <n v="3039.17"/>
    <n v="59.82"/>
  </r>
  <r>
    <s v="F143"/>
    <x v="1"/>
    <x v="1"/>
    <x v="0"/>
    <x v="0"/>
    <n v="3134.2444770000002"/>
    <n v="29406"/>
    <n v="5281.69"/>
    <n v="27.01"/>
  </r>
  <r>
    <s v="F025"/>
    <x v="4"/>
    <x v="2"/>
    <x v="2"/>
    <x v="1"/>
    <n v="1671.05"/>
    <n v="32131"/>
    <n v="1474.23"/>
    <n v="45.47"/>
  </r>
  <r>
    <s v="F037"/>
    <x v="3"/>
    <x v="0"/>
    <x v="0"/>
    <x v="1"/>
    <n v="456.60088710000002"/>
    <n v="97337"/>
    <n v="3362.06"/>
    <n v="55.46"/>
  </r>
  <r>
    <s v="F156"/>
    <x v="2"/>
    <x v="0"/>
    <x v="1"/>
    <x v="0"/>
    <n v="4237.93"/>
    <n v="88308"/>
    <n v="7802.07"/>
    <n v="36.130000000000003"/>
  </r>
  <r>
    <s v="F058"/>
    <x v="1"/>
    <x v="2"/>
    <x v="0"/>
    <x v="2"/>
    <n v="4750.1918850000002"/>
    <n v="66398"/>
    <n v="8713.61"/>
    <n v="83.44"/>
  </r>
  <r>
    <s v="F013"/>
    <x v="2"/>
    <x v="2"/>
    <x v="2"/>
    <x v="0"/>
    <n v="3912.43"/>
    <n v="72813"/>
    <n v="8818.16"/>
    <n v="54.12"/>
  </r>
  <r>
    <s v="F198"/>
    <x v="3"/>
    <x v="2"/>
    <x v="1"/>
    <x v="1"/>
    <n v="349.13"/>
    <n v="40577"/>
    <n v="4280.82"/>
    <n v="79.88"/>
  </r>
  <r>
    <s v="F194"/>
    <x v="3"/>
    <x v="1"/>
    <x v="2"/>
    <x v="2"/>
    <n v="3133.74"/>
    <n v="42382"/>
    <n v="5116.6899999999996"/>
    <n v="80.42"/>
  </r>
  <r>
    <s v="F198"/>
    <x v="3"/>
    <x v="3"/>
    <x v="2"/>
    <x v="0"/>
    <n v="228.22"/>
    <n v="40577"/>
    <n v="4280.82"/>
    <n v="79.88"/>
  </r>
  <r>
    <s v="F028"/>
    <x v="4"/>
    <x v="0"/>
    <x v="2"/>
    <x v="1"/>
    <n v="1437.79"/>
    <n v="73977"/>
    <n v="1646.75"/>
    <n v="43.77"/>
  </r>
  <r>
    <s v="F059"/>
    <x v="2"/>
    <x v="3"/>
    <x v="2"/>
    <x v="2"/>
    <n v="3734.66"/>
    <n v="30934"/>
    <n v="4175.6499999999996"/>
    <n v="77.290000000000006"/>
  </r>
  <r>
    <s v="F166"/>
    <x v="3"/>
    <x v="1"/>
    <x v="2"/>
    <x v="1"/>
    <n v="923.68"/>
    <n v="96474"/>
    <n v="7574.39"/>
    <n v="95.54"/>
  </r>
  <r>
    <s v="F177"/>
    <x v="3"/>
    <x v="3"/>
    <x v="2"/>
    <x v="2"/>
    <n v="1962.58"/>
    <n v="87482"/>
    <n v="2231.7399999999998"/>
    <n v="45.43"/>
  </r>
  <r>
    <s v="F011"/>
    <x v="4"/>
    <x v="0"/>
    <x v="1"/>
    <x v="1"/>
    <n v="690.6"/>
    <n v="72846"/>
    <n v="5169.53"/>
    <n v="76.709999999999994"/>
  </r>
  <r>
    <s v="F004"/>
    <x v="0"/>
    <x v="3"/>
    <x v="0"/>
    <x v="0"/>
    <n v="1785.8245850000001"/>
    <n v="83923"/>
    <n v="8768.7999999999993"/>
    <n v="65.290000000000006"/>
  </r>
  <r>
    <s v="F120"/>
    <x v="4"/>
    <x v="2"/>
    <x v="2"/>
    <x v="2"/>
    <n v="4949.3"/>
    <n v="57215"/>
    <n v="3227.1"/>
    <n v="32.909999999999997"/>
  </r>
  <r>
    <s v="F176"/>
    <x v="4"/>
    <x v="2"/>
    <x v="0"/>
    <x v="0"/>
    <n v="3153.3403969999999"/>
    <n v="18726"/>
    <n v="5099.54"/>
    <n v="71.05"/>
  </r>
  <r>
    <s v="F072"/>
    <x v="2"/>
    <x v="3"/>
    <x v="1"/>
    <x v="1"/>
    <n v="919.35"/>
    <n v="95292"/>
    <n v="697.47"/>
    <n v="88.35"/>
  </r>
  <r>
    <s v="F028"/>
    <x v="4"/>
    <x v="3"/>
    <x v="1"/>
    <x v="1"/>
    <n v="2465.21"/>
    <n v="73977"/>
    <n v="1646.75"/>
    <n v="43.77"/>
  </r>
  <r>
    <s v="F168"/>
    <x v="2"/>
    <x v="2"/>
    <x v="1"/>
    <x v="0"/>
    <n v="2956.74"/>
    <n v="24095"/>
    <n v="3167.52"/>
    <n v="31.02"/>
  </r>
  <r>
    <s v="F053"/>
    <x v="0"/>
    <x v="3"/>
    <x v="0"/>
    <x v="0"/>
    <n v="1174.629844"/>
    <n v="56392"/>
    <n v="5703.76"/>
    <n v="23.04"/>
  </r>
  <r>
    <s v="F125"/>
    <x v="1"/>
    <x v="3"/>
    <x v="1"/>
    <x v="2"/>
    <n v="1574.82"/>
    <n v="82332"/>
    <n v="7134.86"/>
    <n v="22.44"/>
  </r>
  <r>
    <s v="F031"/>
    <x v="3"/>
    <x v="0"/>
    <x v="0"/>
    <x v="0"/>
    <n v="922.32219610000004"/>
    <n v="86263"/>
    <n v="3213.71"/>
    <n v="98.39"/>
  </r>
  <r>
    <s v="F086"/>
    <x v="4"/>
    <x v="2"/>
    <x v="0"/>
    <x v="0"/>
    <n v="842.92266970000003"/>
    <n v="55974"/>
    <n v="7542.28"/>
    <n v="72.430000000000007"/>
  </r>
  <r>
    <s v="F064"/>
    <x v="1"/>
    <x v="0"/>
    <x v="1"/>
    <x v="0"/>
    <n v="3132.1"/>
    <n v="70481"/>
    <n v="4452.83"/>
    <n v="91.26"/>
  </r>
  <r>
    <s v="F041"/>
    <x v="1"/>
    <x v="1"/>
    <x v="0"/>
    <x v="0"/>
    <n v="3613.5009599999998"/>
    <n v="84721"/>
    <n v="2278.9699999999998"/>
    <n v="68.53"/>
  </r>
  <r>
    <s v="F030"/>
    <x v="0"/>
    <x v="3"/>
    <x v="0"/>
    <x v="2"/>
    <n v="1968.5236090000001"/>
    <n v="49924"/>
    <n v="2199.16"/>
    <n v="75.48"/>
  </r>
  <r>
    <s v="F138"/>
    <x v="0"/>
    <x v="2"/>
    <x v="1"/>
    <x v="0"/>
    <n v="70.83"/>
    <n v="94393"/>
    <n v="6691.7"/>
    <n v="74.790000000000006"/>
  </r>
  <r>
    <s v="F138"/>
    <x v="0"/>
    <x v="1"/>
    <x v="1"/>
    <x v="1"/>
    <n v="1698.04"/>
    <n v="94393"/>
    <n v="6691.7"/>
    <n v="74.790000000000006"/>
  </r>
  <r>
    <s v="F122"/>
    <x v="4"/>
    <x v="2"/>
    <x v="2"/>
    <x v="0"/>
    <n v="4151.2"/>
    <n v="49620"/>
    <n v="2424.31"/>
    <n v="62.09"/>
  </r>
  <r>
    <s v="F174"/>
    <x v="3"/>
    <x v="3"/>
    <x v="2"/>
    <x v="1"/>
    <n v="4411.01"/>
    <n v="95962"/>
    <n v="524.72"/>
    <n v="49.55"/>
  </r>
  <r>
    <s v="F159"/>
    <x v="0"/>
    <x v="1"/>
    <x v="2"/>
    <x v="1"/>
    <n v="284.04000000000002"/>
    <n v="72224"/>
    <n v="1613.32"/>
    <n v="39.21"/>
  </r>
  <r>
    <s v="F150"/>
    <x v="4"/>
    <x v="0"/>
    <x v="0"/>
    <x v="2"/>
    <n v="3725.8493830000002"/>
    <n v="46863"/>
    <n v="6762.98"/>
    <n v="23.45"/>
  </r>
  <r>
    <s v="F136"/>
    <x v="1"/>
    <x v="1"/>
    <x v="2"/>
    <x v="2"/>
    <n v="324.83999999999997"/>
    <n v="43346"/>
    <n v="5559.12"/>
    <n v="39.4"/>
  </r>
  <r>
    <s v="F087"/>
    <x v="4"/>
    <x v="1"/>
    <x v="2"/>
    <x v="2"/>
    <n v="574.69000000000005"/>
    <n v="44164"/>
    <n v="3869.32"/>
    <n v="13.81"/>
  </r>
  <r>
    <s v="F123"/>
    <x v="1"/>
    <x v="3"/>
    <x v="0"/>
    <x v="2"/>
    <n v="3034.3254080000002"/>
    <n v="58113"/>
    <n v="6382.12"/>
    <n v="56.66"/>
  </r>
  <r>
    <s v="F128"/>
    <x v="2"/>
    <x v="3"/>
    <x v="2"/>
    <x v="2"/>
    <n v="169.73"/>
    <n v="68216"/>
    <n v="9562.33"/>
    <n v="63.59"/>
  </r>
  <r>
    <s v="F155"/>
    <x v="2"/>
    <x v="1"/>
    <x v="1"/>
    <x v="2"/>
    <n v="1309.6199999999999"/>
    <n v="75736"/>
    <n v="6287.07"/>
    <n v="63.11"/>
  </r>
  <r>
    <s v="F095"/>
    <x v="2"/>
    <x v="0"/>
    <x v="2"/>
    <x v="2"/>
    <n v="2624.96"/>
    <n v="49885"/>
    <n v="6845.46"/>
    <n v="58.4"/>
  </r>
  <r>
    <s v="F152"/>
    <x v="4"/>
    <x v="0"/>
    <x v="1"/>
    <x v="1"/>
    <n v="1753.99"/>
    <n v="90679"/>
    <n v="7266.82"/>
    <n v="23.3"/>
  </r>
  <r>
    <s v="F048"/>
    <x v="0"/>
    <x v="1"/>
    <x v="0"/>
    <x v="0"/>
    <n v="4506.350676"/>
    <n v="26338"/>
    <n v="578.73"/>
    <n v="72.52"/>
  </r>
  <r>
    <s v="F195"/>
    <x v="1"/>
    <x v="1"/>
    <x v="0"/>
    <x v="2"/>
    <n v="1399.9373109999999"/>
    <n v="87012"/>
    <n v="7478.13"/>
    <n v="27.22"/>
  </r>
  <r>
    <s v="F054"/>
    <x v="3"/>
    <x v="2"/>
    <x v="0"/>
    <x v="1"/>
    <n v="3722.0575220000001"/>
    <n v="38869"/>
    <n v="5109.76"/>
    <n v="35.270000000000003"/>
  </r>
  <r>
    <s v="F172"/>
    <x v="4"/>
    <x v="2"/>
    <x v="0"/>
    <x v="2"/>
    <n v="4854.660578"/>
    <n v="98396"/>
    <n v="5174.07"/>
    <n v="63.38"/>
  </r>
  <r>
    <s v="F055"/>
    <x v="2"/>
    <x v="1"/>
    <x v="0"/>
    <x v="2"/>
    <n v="3995.7127209999999"/>
    <n v="41050"/>
    <n v="6025.84"/>
    <n v="53.53"/>
  </r>
  <r>
    <s v="F043"/>
    <x v="0"/>
    <x v="2"/>
    <x v="0"/>
    <x v="0"/>
    <n v="1233.9262349999999"/>
    <n v="14009"/>
    <n v="7528.98"/>
    <n v="77.62"/>
  </r>
  <r>
    <s v="F033"/>
    <x v="0"/>
    <x v="2"/>
    <x v="1"/>
    <x v="1"/>
    <n v="2802.78"/>
    <n v="47727"/>
    <n v="8907.33"/>
    <n v="47.4"/>
  </r>
  <r>
    <s v="F105"/>
    <x v="0"/>
    <x v="0"/>
    <x v="1"/>
    <x v="1"/>
    <n v="2330.0300000000002"/>
    <n v="27028"/>
    <n v="4617.92"/>
    <n v="57.62"/>
  </r>
  <r>
    <s v="F165"/>
    <x v="4"/>
    <x v="0"/>
    <x v="2"/>
    <x v="2"/>
    <n v="4895.2700000000004"/>
    <n v="79330"/>
    <n v="6075.23"/>
    <n v="83.97"/>
  </r>
  <r>
    <s v="F175"/>
    <x v="3"/>
    <x v="1"/>
    <x v="1"/>
    <x v="2"/>
    <n v="804.58"/>
    <n v="94949"/>
    <n v="9714.76"/>
    <n v="64.900000000000006"/>
  </r>
  <r>
    <s v="F024"/>
    <x v="4"/>
    <x v="1"/>
    <x v="0"/>
    <x v="0"/>
    <n v="5233.9546099999998"/>
    <n v="95718"/>
    <n v="2443.12"/>
    <n v="35.49"/>
  </r>
  <r>
    <s v="F200"/>
    <x v="1"/>
    <x v="2"/>
    <x v="1"/>
    <x v="0"/>
    <n v="2997.09"/>
    <n v="21081"/>
    <n v="9001.77"/>
    <n v="49.27"/>
  </r>
  <r>
    <s v="F157"/>
    <x v="0"/>
    <x v="0"/>
    <x v="0"/>
    <x v="0"/>
    <n v="964.92144989999997"/>
    <n v="15788"/>
    <n v="1824.14"/>
    <n v="52.78"/>
  </r>
  <r>
    <s v="F011"/>
    <x v="4"/>
    <x v="0"/>
    <x v="0"/>
    <x v="2"/>
    <n v="3145.31"/>
    <n v="72846"/>
    <n v="5169.53"/>
    <n v="76.709999999999994"/>
  </r>
  <r>
    <s v="F120"/>
    <x v="4"/>
    <x v="1"/>
    <x v="2"/>
    <x v="1"/>
    <n v="2135.2800000000002"/>
    <n v="57215"/>
    <n v="3227.1"/>
    <n v="32.909999999999997"/>
  </r>
  <r>
    <s v="F143"/>
    <x v="1"/>
    <x v="3"/>
    <x v="0"/>
    <x v="2"/>
    <n v="4359.5105709999998"/>
    <n v="29406"/>
    <n v="5281.69"/>
    <n v="27.01"/>
  </r>
  <r>
    <s v="F127"/>
    <x v="3"/>
    <x v="2"/>
    <x v="1"/>
    <x v="1"/>
    <n v="4094.25"/>
    <n v="77400"/>
    <n v="7504.8"/>
    <n v="68.819999999999993"/>
  </r>
  <r>
    <s v="F043"/>
    <x v="0"/>
    <x v="3"/>
    <x v="0"/>
    <x v="1"/>
    <n v="1200.6229960000001"/>
    <n v="14009"/>
    <n v="7528.98"/>
    <n v="77.62"/>
  </r>
  <r>
    <s v="F117"/>
    <x v="2"/>
    <x v="2"/>
    <x v="0"/>
    <x v="2"/>
    <n v="2599.9448320000001"/>
    <n v="52594"/>
    <n v="8715.0400000000009"/>
    <n v="90.54"/>
  </r>
  <r>
    <s v="F187"/>
    <x v="2"/>
    <x v="3"/>
    <x v="1"/>
    <x v="0"/>
    <n v="3672.52"/>
    <n v="77317"/>
    <n v="4862.95"/>
    <n v="89.78"/>
  </r>
  <r>
    <s v="F029"/>
    <x v="4"/>
    <x v="2"/>
    <x v="2"/>
    <x v="2"/>
    <n v="787.76"/>
    <n v="12262"/>
    <n v="7106.18"/>
    <n v="45.69"/>
  </r>
  <r>
    <s v="F195"/>
    <x v="1"/>
    <x v="0"/>
    <x v="1"/>
    <x v="0"/>
    <n v="4418.3"/>
    <n v="87012"/>
    <n v="7478.13"/>
    <n v="27.22"/>
  </r>
  <r>
    <s v="F164"/>
    <x v="0"/>
    <x v="2"/>
    <x v="2"/>
    <x v="2"/>
    <n v="1918.45"/>
    <n v="60710"/>
    <n v="2726.26"/>
    <n v="83.02"/>
  </r>
  <r>
    <s v="F094"/>
    <x v="3"/>
    <x v="2"/>
    <x v="2"/>
    <x v="0"/>
    <n v="4411.78"/>
    <n v="40553"/>
    <n v="4875.2299999999996"/>
    <n v="23.33"/>
  </r>
  <r>
    <s v="F154"/>
    <x v="0"/>
    <x v="2"/>
    <x v="0"/>
    <x v="0"/>
    <n v="755.83986930000003"/>
    <n v="17097"/>
    <n v="9061.7800000000007"/>
    <n v="95.92"/>
  </r>
  <r>
    <s v="F109"/>
    <x v="0"/>
    <x v="1"/>
    <x v="0"/>
    <x v="0"/>
    <n v="868.5117434"/>
    <n v="34318"/>
    <n v="675.67"/>
    <n v="41.05"/>
  </r>
  <r>
    <s v="F079"/>
    <x v="2"/>
    <x v="3"/>
    <x v="1"/>
    <x v="0"/>
    <n v="3296.99"/>
    <n v="17311"/>
    <n v="2257.38"/>
    <n v="91.07"/>
  </r>
  <r>
    <s v="F108"/>
    <x v="3"/>
    <x v="3"/>
    <x v="2"/>
    <x v="2"/>
    <n v="4240.42"/>
    <n v="39050"/>
    <n v="5885.73"/>
    <n v="93.04"/>
  </r>
  <r>
    <s v="F020"/>
    <x v="2"/>
    <x v="1"/>
    <x v="0"/>
    <x v="0"/>
    <n v="1409.821359"/>
    <n v="95165"/>
    <n v="8562.76"/>
    <n v="37.54"/>
  </r>
  <r>
    <s v="F174"/>
    <x v="3"/>
    <x v="3"/>
    <x v="1"/>
    <x v="0"/>
    <n v="3970.76"/>
    <n v="95962"/>
    <n v="524.72"/>
    <n v="49.55"/>
  </r>
  <r>
    <s v="F031"/>
    <x v="3"/>
    <x v="0"/>
    <x v="2"/>
    <x v="1"/>
    <n v="549.77"/>
    <n v="86263"/>
    <n v="3213.71"/>
    <n v="98.39"/>
  </r>
  <r>
    <s v="F045"/>
    <x v="0"/>
    <x v="1"/>
    <x v="1"/>
    <x v="0"/>
    <n v="104.29"/>
    <n v="34725"/>
    <n v="3269.89"/>
    <n v="78.86"/>
  </r>
  <r>
    <s v="F189"/>
    <x v="0"/>
    <x v="1"/>
    <x v="1"/>
    <x v="0"/>
    <n v="1468.86"/>
    <n v="67820"/>
    <n v="8177.95"/>
    <n v="40.69"/>
  </r>
  <r>
    <s v="F177"/>
    <x v="3"/>
    <x v="1"/>
    <x v="1"/>
    <x v="1"/>
    <n v="2876.13"/>
    <n v="87482"/>
    <n v="2231.7399999999998"/>
    <n v="45.43"/>
  </r>
  <r>
    <s v="F195"/>
    <x v="1"/>
    <x v="1"/>
    <x v="2"/>
    <x v="2"/>
    <n v="1825.34"/>
    <n v="87012"/>
    <n v="7478.13"/>
    <n v="27.22"/>
  </r>
  <r>
    <s v="F148"/>
    <x v="1"/>
    <x v="2"/>
    <x v="1"/>
    <x v="1"/>
    <n v="3246.39"/>
    <n v="47491"/>
    <n v="5781.05"/>
    <n v="92.18"/>
  </r>
  <r>
    <s v="F060"/>
    <x v="4"/>
    <x v="0"/>
    <x v="2"/>
    <x v="0"/>
    <n v="1846.98"/>
    <n v="41539"/>
    <n v="982.8"/>
    <n v="79.7"/>
  </r>
  <r>
    <s v="F047"/>
    <x v="0"/>
    <x v="2"/>
    <x v="1"/>
    <x v="2"/>
    <n v="4193.53"/>
    <n v="39568"/>
    <n v="3580.54"/>
    <n v="78.08"/>
  </r>
  <r>
    <s v="F081"/>
    <x v="1"/>
    <x v="3"/>
    <x v="2"/>
    <x v="0"/>
    <n v="1402.57"/>
    <n v="39560"/>
    <n v="8380.77"/>
    <n v="94.01"/>
  </r>
  <r>
    <s v="F126"/>
    <x v="2"/>
    <x v="0"/>
    <x v="0"/>
    <x v="0"/>
    <n v="2860.1475580000001"/>
    <n v="75508"/>
    <n v="6856.22"/>
    <n v="18.2"/>
  </r>
  <r>
    <s v="F103"/>
    <x v="4"/>
    <x v="1"/>
    <x v="2"/>
    <x v="1"/>
    <n v="1019.13"/>
    <n v="22309"/>
    <n v="3656.29"/>
    <n v="75.25"/>
  </r>
  <r>
    <s v="F075"/>
    <x v="3"/>
    <x v="0"/>
    <x v="2"/>
    <x v="1"/>
    <n v="3886.16"/>
    <n v="60513"/>
    <n v="4578.16"/>
    <n v="65.53"/>
  </r>
  <r>
    <s v="F053"/>
    <x v="0"/>
    <x v="3"/>
    <x v="0"/>
    <x v="1"/>
    <n v="2913.9286999999999"/>
    <n v="56392"/>
    <n v="5703.76"/>
    <n v="23.04"/>
  </r>
  <r>
    <s v="F194"/>
    <x v="3"/>
    <x v="0"/>
    <x v="1"/>
    <x v="0"/>
    <n v="4929.24"/>
    <n v="42382"/>
    <n v="5116.6899999999996"/>
    <n v="80.42"/>
  </r>
  <r>
    <s v="F121"/>
    <x v="3"/>
    <x v="1"/>
    <x v="1"/>
    <x v="0"/>
    <n v="197.22"/>
    <n v="11952"/>
    <n v="4637.74"/>
    <n v="63.78"/>
  </r>
  <r>
    <s v="F117"/>
    <x v="2"/>
    <x v="3"/>
    <x v="2"/>
    <x v="0"/>
    <n v="3407.21"/>
    <n v="52594"/>
    <n v="8715.0400000000009"/>
    <n v="90.54"/>
  </r>
  <r>
    <s v="F164"/>
    <x v="0"/>
    <x v="1"/>
    <x v="2"/>
    <x v="2"/>
    <n v="538.5"/>
    <n v="60710"/>
    <n v="2726.26"/>
    <n v="83.02"/>
  </r>
  <r>
    <s v="F046"/>
    <x v="4"/>
    <x v="1"/>
    <x v="2"/>
    <x v="0"/>
    <n v="4976.37"/>
    <n v="87337"/>
    <n v="3603.06"/>
    <n v="67.13"/>
  </r>
  <r>
    <s v="F167"/>
    <x v="2"/>
    <x v="0"/>
    <x v="1"/>
    <x v="2"/>
    <n v="1334.36"/>
    <n v="94128"/>
    <n v="8117.82"/>
    <n v="73.83"/>
  </r>
  <r>
    <s v="F185"/>
    <x v="0"/>
    <x v="2"/>
    <x v="1"/>
    <x v="0"/>
    <n v="2641.31"/>
    <n v="68820"/>
    <n v="9612.25"/>
    <n v="83.51"/>
  </r>
  <r>
    <s v="F029"/>
    <x v="4"/>
    <x v="1"/>
    <x v="0"/>
    <x v="2"/>
    <n v="3466.627704"/>
    <n v="12262"/>
    <n v="7106.18"/>
    <n v="45.69"/>
  </r>
  <r>
    <s v="F192"/>
    <x v="4"/>
    <x v="0"/>
    <x v="1"/>
    <x v="2"/>
    <n v="4682.5600000000004"/>
    <n v="21914"/>
    <n v="5897.27"/>
    <n v="49.41"/>
  </r>
  <r>
    <s v="F067"/>
    <x v="1"/>
    <x v="1"/>
    <x v="1"/>
    <x v="2"/>
    <n v="272.64"/>
    <n v="28400"/>
    <n v="3056.67"/>
    <n v="52.68"/>
  </r>
  <r>
    <s v="F128"/>
    <x v="2"/>
    <x v="2"/>
    <x v="1"/>
    <x v="2"/>
    <n v="4584.96"/>
    <n v="68216"/>
    <n v="9562.33"/>
    <n v="63.59"/>
  </r>
  <r>
    <s v="F004"/>
    <x v="0"/>
    <x v="2"/>
    <x v="1"/>
    <x v="1"/>
    <n v="3965.06"/>
    <n v="83923"/>
    <n v="8768.7999999999993"/>
    <n v="65.290000000000006"/>
  </r>
  <r>
    <s v="F097"/>
    <x v="1"/>
    <x v="0"/>
    <x v="0"/>
    <x v="2"/>
    <n v="1855.0036909999999"/>
    <n v="69100"/>
    <n v="9356.02"/>
    <n v="16.5"/>
  </r>
  <r>
    <s v="F026"/>
    <x v="2"/>
    <x v="3"/>
    <x v="0"/>
    <x v="0"/>
    <n v="1170.4913859999999"/>
    <n v="32246"/>
    <n v="7903.93"/>
    <n v="42.12"/>
  </r>
  <r>
    <s v="F037"/>
    <x v="3"/>
    <x v="2"/>
    <x v="1"/>
    <x v="0"/>
    <n v="2881.56"/>
    <n v="97337"/>
    <n v="3362.06"/>
    <n v="55.46"/>
  </r>
  <r>
    <s v="F086"/>
    <x v="4"/>
    <x v="3"/>
    <x v="1"/>
    <x v="2"/>
    <n v="4820.21"/>
    <n v="55974"/>
    <n v="7542.28"/>
    <n v="72.430000000000007"/>
  </r>
  <r>
    <s v="F174"/>
    <x v="3"/>
    <x v="0"/>
    <x v="1"/>
    <x v="1"/>
    <n v="2635.84"/>
    <n v="95962"/>
    <n v="524.72"/>
    <n v="49.55"/>
  </r>
  <r>
    <s v="F153"/>
    <x v="3"/>
    <x v="3"/>
    <x v="2"/>
    <x v="1"/>
    <n v="3933.16"/>
    <n v="95306"/>
    <n v="9037.76"/>
    <n v="13.35"/>
  </r>
  <r>
    <s v="F101"/>
    <x v="3"/>
    <x v="2"/>
    <x v="1"/>
    <x v="2"/>
    <n v="425.14"/>
    <n v="65719"/>
    <n v="9362.41"/>
    <n v="86.55"/>
  </r>
  <r>
    <s v="F070"/>
    <x v="2"/>
    <x v="2"/>
    <x v="2"/>
    <x v="2"/>
    <n v="3494.61"/>
    <n v="15128"/>
    <n v="8847.09"/>
    <n v="5.25"/>
  </r>
  <r>
    <s v="F160"/>
    <x v="4"/>
    <x v="2"/>
    <x v="0"/>
    <x v="0"/>
    <n v="3199.7601610000002"/>
    <n v="36423"/>
    <n v="589.96"/>
    <n v="30.9"/>
  </r>
  <r>
    <s v="F043"/>
    <x v="0"/>
    <x v="0"/>
    <x v="1"/>
    <x v="1"/>
    <n v="290.08999999999997"/>
    <n v="14009"/>
    <n v="7528.98"/>
    <n v="77.62"/>
  </r>
  <r>
    <s v="F109"/>
    <x v="0"/>
    <x v="2"/>
    <x v="2"/>
    <x v="1"/>
    <n v="1123.56"/>
    <n v="34318"/>
    <n v="675.67"/>
    <n v="41.05"/>
  </r>
  <r>
    <s v="F080"/>
    <x v="3"/>
    <x v="0"/>
    <x v="2"/>
    <x v="0"/>
    <n v="1109.47"/>
    <n v="10250"/>
    <n v="4717"/>
    <n v="16.600000000000001"/>
  </r>
  <r>
    <s v="F002"/>
    <x v="4"/>
    <x v="3"/>
    <x v="0"/>
    <x v="0"/>
    <n v="1044.9244289999999"/>
    <n v="53661"/>
    <n v="6965.81"/>
    <n v="69.400000000000006"/>
  </r>
  <r>
    <s v="F198"/>
    <x v="3"/>
    <x v="1"/>
    <x v="0"/>
    <x v="1"/>
    <n v="5387.6739100000004"/>
    <n v="40577"/>
    <n v="4280.82"/>
    <n v="79.88"/>
  </r>
  <r>
    <s v="F125"/>
    <x v="1"/>
    <x v="1"/>
    <x v="0"/>
    <x v="0"/>
    <n v="3244.167426"/>
    <n v="82332"/>
    <n v="7134.86"/>
    <n v="22.44"/>
  </r>
  <r>
    <s v="F053"/>
    <x v="0"/>
    <x v="3"/>
    <x v="1"/>
    <x v="1"/>
    <n v="3954.01"/>
    <n v="56392"/>
    <n v="5703.76"/>
    <n v="23.04"/>
  </r>
  <r>
    <s v="F168"/>
    <x v="2"/>
    <x v="3"/>
    <x v="1"/>
    <x v="2"/>
    <n v="1475.99"/>
    <n v="24095"/>
    <n v="3167.52"/>
    <n v="31.02"/>
  </r>
  <r>
    <s v="F092"/>
    <x v="4"/>
    <x v="3"/>
    <x v="0"/>
    <x v="2"/>
    <n v="4669.976944"/>
    <n v="79495"/>
    <n v="7157.48"/>
    <n v="26.84"/>
  </r>
  <r>
    <s v="F114"/>
    <x v="1"/>
    <x v="1"/>
    <x v="0"/>
    <x v="1"/>
    <n v="502.5731907"/>
    <n v="57353"/>
    <n v="2274.71"/>
    <n v="65.34"/>
  </r>
  <r>
    <s v="F109"/>
    <x v="0"/>
    <x v="0"/>
    <x v="1"/>
    <x v="0"/>
    <n v="2663.13"/>
    <n v="34318"/>
    <n v="675.67"/>
    <n v="41.05"/>
  </r>
  <r>
    <s v="F075"/>
    <x v="3"/>
    <x v="1"/>
    <x v="1"/>
    <x v="1"/>
    <n v="3327.22"/>
    <n v="60513"/>
    <n v="4578.16"/>
    <n v="65.53"/>
  </r>
  <r>
    <s v="F123"/>
    <x v="1"/>
    <x v="2"/>
    <x v="1"/>
    <x v="0"/>
    <n v="441.04"/>
    <n v="58113"/>
    <n v="6382.12"/>
    <n v="56.66"/>
  </r>
  <r>
    <s v="F104"/>
    <x v="4"/>
    <x v="1"/>
    <x v="0"/>
    <x v="0"/>
    <n v="1466.4726929999999"/>
    <n v="84851"/>
    <n v="560.75"/>
    <n v="80.23"/>
  </r>
  <r>
    <s v="F027"/>
    <x v="4"/>
    <x v="3"/>
    <x v="0"/>
    <x v="0"/>
    <n v="5076.0106109999997"/>
    <n v="51800"/>
    <n v="3042.95"/>
    <n v="71.87"/>
  </r>
  <r>
    <s v="F005"/>
    <x v="4"/>
    <x v="3"/>
    <x v="2"/>
    <x v="0"/>
    <n v="3971.86"/>
    <n v="61743"/>
    <n v="7426.75"/>
    <n v="26.39"/>
  </r>
  <r>
    <s v="F003"/>
    <x v="3"/>
    <x v="2"/>
    <x v="2"/>
    <x v="0"/>
    <n v="3120.88"/>
    <n v="27681"/>
    <n v="928.26"/>
    <n v="44.97"/>
  </r>
  <r>
    <s v="F153"/>
    <x v="3"/>
    <x v="2"/>
    <x v="1"/>
    <x v="1"/>
    <n v="3407.69"/>
    <n v="95306"/>
    <n v="9037.76"/>
    <n v="13.35"/>
  </r>
  <r>
    <s v="F054"/>
    <x v="3"/>
    <x v="0"/>
    <x v="0"/>
    <x v="0"/>
    <n v="4867.8938900000003"/>
    <n v="38869"/>
    <n v="5109.76"/>
    <n v="35.270000000000003"/>
  </r>
  <r>
    <s v="F012"/>
    <x v="3"/>
    <x v="1"/>
    <x v="1"/>
    <x v="1"/>
    <n v="1080.8399999999999"/>
    <n v="43747"/>
    <n v="3453.48"/>
    <n v="98.78"/>
  </r>
  <r>
    <s v="F170"/>
    <x v="2"/>
    <x v="2"/>
    <x v="0"/>
    <x v="2"/>
    <n v="1196.416798"/>
    <n v="24502"/>
    <n v="7466.86"/>
    <n v="88.83"/>
  </r>
  <r>
    <s v="F111"/>
    <x v="3"/>
    <x v="3"/>
    <x v="1"/>
    <x v="1"/>
    <n v="2634.83"/>
    <n v="10907"/>
    <n v="4748.66"/>
    <n v="39.36"/>
  </r>
  <r>
    <s v="F098"/>
    <x v="4"/>
    <x v="2"/>
    <x v="0"/>
    <x v="0"/>
    <n v="3396.5836939999999"/>
    <n v="28704"/>
    <n v="6009.24"/>
    <n v="39.31"/>
  </r>
  <r>
    <s v="F110"/>
    <x v="4"/>
    <x v="1"/>
    <x v="1"/>
    <x v="1"/>
    <n v="4067.32"/>
    <n v="85868"/>
    <n v="907.72"/>
    <n v="90.36"/>
  </r>
  <r>
    <s v="F043"/>
    <x v="0"/>
    <x v="1"/>
    <x v="0"/>
    <x v="0"/>
    <n v="1241.4128969999999"/>
    <n v="14009"/>
    <n v="7528.98"/>
    <n v="77.62"/>
  </r>
  <r>
    <s v="F175"/>
    <x v="3"/>
    <x v="2"/>
    <x v="1"/>
    <x v="2"/>
    <n v="3737.92"/>
    <n v="94949"/>
    <n v="9714.76"/>
    <n v="64.900000000000006"/>
  </r>
  <r>
    <s v="F181"/>
    <x v="3"/>
    <x v="3"/>
    <x v="0"/>
    <x v="2"/>
    <n v="443.26562319999999"/>
    <n v="42485"/>
    <n v="4755.75"/>
    <n v="10.19"/>
  </r>
  <r>
    <s v="F004"/>
    <x v="0"/>
    <x v="1"/>
    <x v="1"/>
    <x v="2"/>
    <n v="179.8"/>
    <n v="83923"/>
    <n v="8768.7999999999993"/>
    <n v="65.290000000000006"/>
  </r>
  <r>
    <s v="F039"/>
    <x v="2"/>
    <x v="1"/>
    <x v="0"/>
    <x v="1"/>
    <n v="253.07943309999999"/>
    <n v="40503"/>
    <n v="7447.46"/>
    <n v="98.27"/>
  </r>
  <r>
    <s v="F074"/>
    <x v="1"/>
    <x v="0"/>
    <x v="2"/>
    <x v="2"/>
    <n v="584.44000000000005"/>
    <n v="25148"/>
    <n v="9604.5499999999993"/>
    <n v="63.47"/>
  </r>
  <r>
    <s v="F063"/>
    <x v="4"/>
    <x v="0"/>
    <x v="0"/>
    <x v="0"/>
    <n v="858.27154150000001"/>
    <n v="45519"/>
    <n v="7987.69"/>
    <n v="10.86"/>
  </r>
  <r>
    <s v="F104"/>
    <x v="4"/>
    <x v="1"/>
    <x v="2"/>
    <x v="1"/>
    <n v="220.63"/>
    <n v="84851"/>
    <n v="560.75"/>
    <n v="80.23"/>
  </r>
  <r>
    <s v="F019"/>
    <x v="0"/>
    <x v="1"/>
    <x v="1"/>
    <x v="2"/>
    <n v="4665.38"/>
    <n v="68018"/>
    <n v="3523.4"/>
    <n v="92.26"/>
  </r>
  <r>
    <s v="F189"/>
    <x v="0"/>
    <x v="1"/>
    <x v="1"/>
    <x v="1"/>
    <n v="3677.45"/>
    <n v="67820"/>
    <n v="8177.95"/>
    <n v="40.69"/>
  </r>
  <r>
    <s v="F107"/>
    <x v="2"/>
    <x v="1"/>
    <x v="2"/>
    <x v="0"/>
    <n v="3434.59"/>
    <n v="43512"/>
    <n v="5352.18"/>
    <n v="6.17"/>
  </r>
  <r>
    <s v="F166"/>
    <x v="3"/>
    <x v="3"/>
    <x v="0"/>
    <x v="2"/>
    <n v="1175.5930510000001"/>
    <n v="96474"/>
    <n v="7574.39"/>
    <n v="95.54"/>
  </r>
  <r>
    <s v="F094"/>
    <x v="3"/>
    <x v="3"/>
    <x v="0"/>
    <x v="1"/>
    <n v="5155.3973189999997"/>
    <n v="40553"/>
    <n v="4875.2299999999996"/>
    <n v="23.33"/>
  </r>
  <r>
    <s v="F169"/>
    <x v="2"/>
    <x v="3"/>
    <x v="1"/>
    <x v="0"/>
    <n v="4426.07"/>
    <n v="44994"/>
    <n v="7305.59"/>
    <n v="91.53"/>
  </r>
  <r>
    <s v="F090"/>
    <x v="2"/>
    <x v="0"/>
    <x v="1"/>
    <x v="2"/>
    <n v="4487.54"/>
    <n v="29895"/>
    <n v="1631.08"/>
    <n v="39.93"/>
  </r>
  <r>
    <s v="F040"/>
    <x v="0"/>
    <x v="1"/>
    <x v="2"/>
    <x v="1"/>
    <n v="844.07"/>
    <n v="52357"/>
    <n v="5643.16"/>
    <n v="37.130000000000003"/>
  </r>
  <r>
    <s v="F132"/>
    <x v="4"/>
    <x v="3"/>
    <x v="2"/>
    <x v="2"/>
    <n v="808.96"/>
    <n v="76544"/>
    <n v="8632.77"/>
    <n v="12.87"/>
  </r>
  <r>
    <s v="F042"/>
    <x v="1"/>
    <x v="2"/>
    <x v="0"/>
    <x v="0"/>
    <n v="4896.916663"/>
    <n v="58111"/>
    <n v="4610.8999999999996"/>
    <n v="21.53"/>
  </r>
  <r>
    <s v="F149"/>
    <x v="1"/>
    <x v="0"/>
    <x v="0"/>
    <x v="0"/>
    <n v="191.17"/>
    <n v="61207"/>
    <n v="6922.33"/>
    <n v="9.1999999999999993"/>
  </r>
  <r>
    <s v="F062"/>
    <x v="2"/>
    <x v="3"/>
    <x v="1"/>
    <x v="0"/>
    <n v="1697.2"/>
    <n v="19265"/>
    <n v="776.6"/>
    <n v="39.75"/>
  </r>
  <r>
    <s v="F182"/>
    <x v="3"/>
    <x v="0"/>
    <x v="0"/>
    <x v="2"/>
    <n v="4105.0089230000003"/>
    <n v="41027"/>
    <n v="7285.85"/>
    <n v="59.87"/>
  </r>
  <r>
    <s v="F126"/>
    <x v="2"/>
    <x v="1"/>
    <x v="2"/>
    <x v="0"/>
    <n v="4095.94"/>
    <n v="75508"/>
    <n v="6856.22"/>
    <n v="18.2"/>
  </r>
  <r>
    <s v="F127"/>
    <x v="3"/>
    <x v="0"/>
    <x v="1"/>
    <x v="2"/>
    <n v="1094.42"/>
    <n v="77400"/>
    <n v="7504.8"/>
    <n v="68.819999999999993"/>
  </r>
  <r>
    <s v="F112"/>
    <x v="4"/>
    <x v="3"/>
    <x v="0"/>
    <x v="1"/>
    <n v="2501.4700050000001"/>
    <n v="88188"/>
    <n v="815.86"/>
    <n v="57.53"/>
  </r>
  <r>
    <s v="F114"/>
    <x v="1"/>
    <x v="3"/>
    <x v="1"/>
    <x v="2"/>
    <n v="1137.71"/>
    <n v="57353"/>
    <n v="2274.71"/>
    <n v="65.34"/>
  </r>
  <r>
    <s v="F152"/>
    <x v="4"/>
    <x v="2"/>
    <x v="2"/>
    <x v="1"/>
    <n v="2685.34"/>
    <n v="90679"/>
    <n v="7266.82"/>
    <n v="23.3"/>
  </r>
  <r>
    <s v="F066"/>
    <x v="4"/>
    <x v="1"/>
    <x v="1"/>
    <x v="2"/>
    <n v="3561.14"/>
    <n v="13543"/>
    <n v="7854.96"/>
    <n v="85.57"/>
  </r>
  <r>
    <s v="F173"/>
    <x v="1"/>
    <x v="2"/>
    <x v="0"/>
    <x v="0"/>
    <n v="135.56644890000001"/>
    <n v="38181"/>
    <n v="691.84"/>
    <n v="33.53"/>
  </r>
  <r>
    <s v="F129"/>
    <x v="1"/>
    <x v="0"/>
    <x v="2"/>
    <x v="1"/>
    <n v="651.62"/>
    <n v="58439"/>
    <n v="5817.93"/>
    <n v="63.77"/>
  </r>
  <r>
    <s v="F003"/>
    <x v="3"/>
    <x v="3"/>
    <x v="0"/>
    <x v="0"/>
    <n v="243.88"/>
    <n v="27681"/>
    <n v="928.26"/>
    <n v="44.97"/>
  </r>
  <r>
    <s v="F013"/>
    <x v="2"/>
    <x v="3"/>
    <x v="2"/>
    <x v="2"/>
    <n v="2204.12"/>
    <n v="72813"/>
    <n v="8818.16"/>
    <n v="54.12"/>
  </r>
  <r>
    <s v="F186"/>
    <x v="4"/>
    <x v="3"/>
    <x v="0"/>
    <x v="2"/>
    <n v="4031.3117550000002"/>
    <n v="61942"/>
    <n v="4891.32"/>
    <n v="91.59"/>
  </r>
  <r>
    <s v="F017"/>
    <x v="2"/>
    <x v="0"/>
    <x v="1"/>
    <x v="2"/>
    <n v="1311.25"/>
    <n v="71747"/>
    <n v="9838.66"/>
    <n v="7.25"/>
  </r>
  <r>
    <s v="F036"/>
    <x v="3"/>
    <x v="0"/>
    <x v="0"/>
    <x v="0"/>
    <n v="496.00451520000001"/>
    <n v="53942"/>
    <n v="5904.31"/>
    <n v="32.78"/>
  </r>
  <r>
    <s v="F070"/>
    <x v="2"/>
    <x v="0"/>
    <x v="1"/>
    <x v="0"/>
    <n v="3182.6"/>
    <n v="15128"/>
    <n v="8847.09"/>
    <n v="5.25"/>
  </r>
  <r>
    <s v="F200"/>
    <x v="1"/>
    <x v="2"/>
    <x v="1"/>
    <x v="1"/>
    <n v="1935.31"/>
    <n v="21081"/>
    <n v="9001.77"/>
    <n v="49.27"/>
  </r>
  <r>
    <s v="F054"/>
    <x v="3"/>
    <x v="3"/>
    <x v="0"/>
    <x v="0"/>
    <n v="4354.07557"/>
    <n v="38869"/>
    <n v="5109.76"/>
    <n v="35.270000000000003"/>
  </r>
  <r>
    <s v="F006"/>
    <x v="4"/>
    <x v="1"/>
    <x v="2"/>
    <x v="1"/>
    <n v="4545.6899999999996"/>
    <n v="11426"/>
    <n v="4439.5600000000004"/>
    <n v="52.71"/>
  </r>
  <r>
    <s v="F007"/>
    <x v="4"/>
    <x v="1"/>
    <x v="2"/>
    <x v="0"/>
    <n v="1019.91"/>
    <n v="35506"/>
    <n v="1892.04"/>
    <n v="61.53"/>
  </r>
  <r>
    <s v="F117"/>
    <x v="2"/>
    <x v="3"/>
    <x v="0"/>
    <x v="2"/>
    <n v="3313.0768830000002"/>
    <n v="52594"/>
    <n v="8715.0400000000009"/>
    <n v="90.54"/>
  </r>
  <r>
    <s v="F115"/>
    <x v="3"/>
    <x v="3"/>
    <x v="2"/>
    <x v="2"/>
    <n v="2988.27"/>
    <n v="29318"/>
    <n v="9860.6200000000008"/>
    <n v="14.58"/>
  </r>
  <r>
    <s v="F118"/>
    <x v="0"/>
    <x v="3"/>
    <x v="0"/>
    <x v="2"/>
    <n v="4688.4712579999996"/>
    <n v="14170"/>
    <n v="5455.23"/>
    <n v="25.46"/>
  </r>
  <r>
    <s v="F197"/>
    <x v="2"/>
    <x v="3"/>
    <x v="0"/>
    <x v="2"/>
    <n v="4159.3606559999998"/>
    <n v="59617"/>
    <n v="5000.95"/>
    <n v="80.36"/>
  </r>
  <r>
    <s v="F118"/>
    <x v="0"/>
    <x v="1"/>
    <x v="1"/>
    <x v="2"/>
    <n v="3142.22"/>
    <n v="14170"/>
    <n v="5455.23"/>
    <n v="25.46"/>
  </r>
  <r>
    <s v="F147"/>
    <x v="1"/>
    <x v="3"/>
    <x v="0"/>
    <x v="1"/>
    <n v="4654.5582059999997"/>
    <n v="13333"/>
    <n v="6102.15"/>
    <n v="17.670000000000002"/>
  </r>
  <r>
    <s v="F197"/>
    <x v="2"/>
    <x v="1"/>
    <x v="0"/>
    <x v="1"/>
    <n v="348.73387589999999"/>
    <n v="59617"/>
    <n v="5000.95"/>
    <n v="80.36"/>
  </r>
  <r>
    <s v="F041"/>
    <x v="1"/>
    <x v="2"/>
    <x v="1"/>
    <x v="1"/>
    <n v="4243.12"/>
    <n v="84721"/>
    <n v="2278.9699999999998"/>
    <n v="68.53"/>
  </r>
  <r>
    <s v="F175"/>
    <x v="3"/>
    <x v="0"/>
    <x v="1"/>
    <x v="2"/>
    <n v="4673.26"/>
    <n v="94949"/>
    <n v="9714.76"/>
    <n v="64.900000000000006"/>
  </r>
  <r>
    <s v="F063"/>
    <x v="4"/>
    <x v="0"/>
    <x v="2"/>
    <x v="0"/>
    <n v="1127.24"/>
    <n v="45519"/>
    <n v="7987.69"/>
    <n v="10.86"/>
  </r>
  <r>
    <s v="F035"/>
    <x v="4"/>
    <x v="3"/>
    <x v="0"/>
    <x v="2"/>
    <n v="884.52"/>
    <n v="24913"/>
    <n v="5727.27"/>
    <n v="78.849999999999994"/>
  </r>
  <r>
    <s v="F167"/>
    <x v="2"/>
    <x v="3"/>
    <x v="0"/>
    <x v="2"/>
    <n v="692.69108289999997"/>
    <n v="94128"/>
    <n v="8117.82"/>
    <n v="73.83"/>
  </r>
  <r>
    <s v="F095"/>
    <x v="2"/>
    <x v="0"/>
    <x v="0"/>
    <x v="1"/>
    <n v="1097.7746549999999"/>
    <n v="49885"/>
    <n v="6845.46"/>
    <n v="58.4"/>
  </r>
  <r>
    <s v="F005"/>
    <x v="4"/>
    <x v="0"/>
    <x v="0"/>
    <x v="1"/>
    <n v="3601.7124260000001"/>
    <n v="61743"/>
    <n v="7426.75"/>
    <n v="26.39"/>
  </r>
  <r>
    <s v="F125"/>
    <x v="1"/>
    <x v="2"/>
    <x v="1"/>
    <x v="1"/>
    <n v="4661.5"/>
    <n v="82332"/>
    <n v="7134.86"/>
    <n v="22.44"/>
  </r>
  <r>
    <s v="F153"/>
    <x v="3"/>
    <x v="2"/>
    <x v="1"/>
    <x v="0"/>
    <n v="4163.95"/>
    <n v="95306"/>
    <n v="9037.76"/>
    <n v="13.35"/>
  </r>
  <r>
    <s v="F166"/>
    <x v="3"/>
    <x v="2"/>
    <x v="1"/>
    <x v="1"/>
    <n v="2018.59"/>
    <n v="96474"/>
    <n v="7574.39"/>
    <n v="95.54"/>
  </r>
  <r>
    <s v="F145"/>
    <x v="4"/>
    <x v="1"/>
    <x v="2"/>
    <x v="0"/>
    <n v="1373.09"/>
    <n v="68492"/>
    <n v="3533.88"/>
    <n v="52.99"/>
  </r>
  <r>
    <s v="F056"/>
    <x v="4"/>
    <x v="1"/>
    <x v="1"/>
    <x v="0"/>
    <n v="1419.59"/>
    <n v="99026"/>
    <n v="5453.2"/>
    <n v="57.49"/>
  </r>
  <r>
    <s v="F002"/>
    <x v="4"/>
    <x v="3"/>
    <x v="1"/>
    <x v="2"/>
    <n v="3946.93"/>
    <n v="53661"/>
    <n v="6965.81"/>
    <n v="69.400000000000006"/>
  </r>
  <r>
    <s v="F137"/>
    <x v="0"/>
    <x v="3"/>
    <x v="1"/>
    <x v="2"/>
    <n v="685.73"/>
    <n v="10933"/>
    <n v="9004.3700000000008"/>
    <n v="26.84"/>
  </r>
  <r>
    <s v="F184"/>
    <x v="0"/>
    <x v="0"/>
    <x v="1"/>
    <x v="0"/>
    <n v="4879.25"/>
    <n v="22201"/>
    <n v="2853.66"/>
    <n v="71.94"/>
  </r>
  <r>
    <s v="F077"/>
    <x v="4"/>
    <x v="0"/>
    <x v="0"/>
    <x v="0"/>
    <n v="3667.49"/>
    <n v="52836"/>
    <n v="9330.2999999999993"/>
    <n v="87.27"/>
  </r>
  <r>
    <s v="F171"/>
    <x v="4"/>
    <x v="1"/>
    <x v="2"/>
    <x v="1"/>
    <n v="1085.32"/>
    <n v="98356"/>
    <n v="6968.69"/>
    <n v="81.72"/>
  </r>
  <r>
    <s v="F004"/>
    <x v="0"/>
    <x v="2"/>
    <x v="1"/>
    <x v="0"/>
    <n v="4510.42"/>
    <n v="83923"/>
    <n v="8768.7999999999993"/>
    <n v="65.290000000000006"/>
  </r>
  <r>
    <s v="F196"/>
    <x v="4"/>
    <x v="3"/>
    <x v="1"/>
    <x v="2"/>
    <n v="499.33"/>
    <n v="85444"/>
    <n v="852.57"/>
    <n v="72.650000000000006"/>
  </r>
  <r>
    <s v="F096"/>
    <x v="0"/>
    <x v="0"/>
    <x v="0"/>
    <x v="1"/>
    <n v="1951.9222400000001"/>
    <n v="21388"/>
    <n v="5249.39"/>
    <n v="64.2"/>
  </r>
  <r>
    <s v="F071"/>
    <x v="4"/>
    <x v="2"/>
    <x v="0"/>
    <x v="1"/>
    <n v="1473.5947920000001"/>
    <n v="26378"/>
    <n v="2915.44"/>
    <n v="29.84"/>
  </r>
  <r>
    <s v="F078"/>
    <x v="0"/>
    <x v="1"/>
    <x v="1"/>
    <x v="1"/>
    <n v="3545.05"/>
    <n v="78624"/>
    <n v="2373.27"/>
    <n v="25.07"/>
  </r>
  <r>
    <s v="F099"/>
    <x v="3"/>
    <x v="3"/>
    <x v="2"/>
    <x v="2"/>
    <n v="84.78"/>
    <n v="17162"/>
    <n v="5079.95"/>
    <n v="19.239999999999998"/>
  </r>
  <r>
    <s v="F031"/>
    <x v="3"/>
    <x v="2"/>
    <x v="2"/>
    <x v="0"/>
    <n v="1941.65"/>
    <n v="86263"/>
    <n v="3213.71"/>
    <n v="98.39"/>
  </r>
  <r>
    <s v="F136"/>
    <x v="1"/>
    <x v="3"/>
    <x v="1"/>
    <x v="0"/>
    <n v="2646.36"/>
    <n v="43346"/>
    <n v="5559.12"/>
    <n v="39.4"/>
  </r>
  <r>
    <s v="F108"/>
    <x v="3"/>
    <x v="2"/>
    <x v="0"/>
    <x v="2"/>
    <n v="1257.0845320000001"/>
    <n v="39050"/>
    <n v="5885.73"/>
    <n v="93.04"/>
  </r>
  <r>
    <s v="F008"/>
    <x v="3"/>
    <x v="1"/>
    <x v="1"/>
    <x v="0"/>
    <n v="4445.1499999999996"/>
    <n v="50306"/>
    <n v="7031.37"/>
    <n v="13.27"/>
  </r>
  <r>
    <s v="F196"/>
    <x v="4"/>
    <x v="1"/>
    <x v="2"/>
    <x v="1"/>
    <n v="3717.99"/>
    <n v="85444"/>
    <n v="852.57"/>
    <n v="72.650000000000006"/>
  </r>
  <r>
    <s v="F029"/>
    <x v="4"/>
    <x v="2"/>
    <x v="0"/>
    <x v="2"/>
    <n v="4588.6389289999997"/>
    <n v="12262"/>
    <n v="7106.18"/>
    <n v="45.69"/>
  </r>
  <r>
    <s v="F157"/>
    <x v="0"/>
    <x v="0"/>
    <x v="0"/>
    <x v="0"/>
    <n v="1806.876945"/>
    <n v="15788"/>
    <n v="1824.14"/>
    <n v="52.78"/>
  </r>
  <r>
    <s v="F059"/>
    <x v="2"/>
    <x v="0"/>
    <x v="0"/>
    <x v="1"/>
    <n v="1893.445913"/>
    <n v="30934"/>
    <n v="4175.6499999999996"/>
    <n v="77.290000000000006"/>
  </r>
  <r>
    <s v="F193"/>
    <x v="1"/>
    <x v="2"/>
    <x v="2"/>
    <x v="1"/>
    <n v="2906.15"/>
    <n v="15333"/>
    <n v="2570.54"/>
    <n v="41.07"/>
  </r>
  <r>
    <s v="F117"/>
    <x v="2"/>
    <x v="2"/>
    <x v="0"/>
    <x v="0"/>
    <n v="4352.6233110000003"/>
    <n v="52594"/>
    <n v="8715.0400000000009"/>
    <n v="90.54"/>
  </r>
  <r>
    <s v="F166"/>
    <x v="3"/>
    <x v="0"/>
    <x v="1"/>
    <x v="0"/>
    <n v="750.01"/>
    <n v="96474"/>
    <n v="7574.39"/>
    <n v="95.54"/>
  </r>
  <r>
    <s v="F191"/>
    <x v="0"/>
    <x v="1"/>
    <x v="2"/>
    <x v="1"/>
    <n v="1435.13"/>
    <n v="86557"/>
    <n v="8631.2800000000007"/>
    <n v="69.53"/>
  </r>
  <r>
    <s v="F098"/>
    <x v="4"/>
    <x v="1"/>
    <x v="1"/>
    <x v="2"/>
    <n v="3346.28"/>
    <n v="28704"/>
    <n v="6009.24"/>
    <n v="39.31"/>
  </r>
  <r>
    <s v="F162"/>
    <x v="3"/>
    <x v="0"/>
    <x v="0"/>
    <x v="1"/>
    <n v="3975.6861549999999"/>
    <n v="18175"/>
    <n v="8349.49"/>
    <n v="39.97"/>
  </r>
  <r>
    <s v="F068"/>
    <x v="0"/>
    <x v="2"/>
    <x v="1"/>
    <x v="2"/>
    <n v="3453.13"/>
    <n v="44825"/>
    <n v="6023.03"/>
    <n v="27.2"/>
  </r>
  <r>
    <s v="F149"/>
    <x v="1"/>
    <x v="3"/>
    <x v="0"/>
    <x v="2"/>
    <n v="626.03"/>
    <n v="61207"/>
    <n v="6922.33"/>
    <n v="9.1999999999999993"/>
  </r>
  <r>
    <s v="F028"/>
    <x v="4"/>
    <x v="1"/>
    <x v="1"/>
    <x v="1"/>
    <n v="3255.93"/>
    <n v="73977"/>
    <n v="1646.75"/>
    <n v="43.77"/>
  </r>
  <r>
    <s v="F179"/>
    <x v="1"/>
    <x v="0"/>
    <x v="2"/>
    <x v="2"/>
    <n v="4437.74"/>
    <n v="84524"/>
    <n v="9350.11"/>
    <n v="27.53"/>
  </r>
  <r>
    <s v="F103"/>
    <x v="4"/>
    <x v="2"/>
    <x v="2"/>
    <x v="0"/>
    <n v="1531"/>
    <n v="22309"/>
    <n v="3656.29"/>
    <n v="75.25"/>
  </r>
  <r>
    <s v="F155"/>
    <x v="2"/>
    <x v="0"/>
    <x v="2"/>
    <x v="2"/>
    <n v="3938.07"/>
    <n v="75736"/>
    <n v="6287.07"/>
    <n v="63.11"/>
  </r>
  <r>
    <s v="F009"/>
    <x v="0"/>
    <x v="1"/>
    <x v="1"/>
    <x v="0"/>
    <n v="1999.93"/>
    <n v="45644"/>
    <n v="7724.73"/>
    <n v="31"/>
  </r>
  <r>
    <s v="F165"/>
    <x v="4"/>
    <x v="1"/>
    <x v="0"/>
    <x v="1"/>
    <n v="379.85075039999998"/>
    <n v="79330"/>
    <n v="6075.23"/>
    <n v="83.97"/>
  </r>
  <r>
    <s v="F173"/>
    <x v="1"/>
    <x v="1"/>
    <x v="0"/>
    <x v="2"/>
    <n v="4069.5413589999998"/>
    <n v="38181"/>
    <n v="691.84"/>
    <n v="33.53"/>
  </r>
  <r>
    <s v="F170"/>
    <x v="2"/>
    <x v="3"/>
    <x v="2"/>
    <x v="1"/>
    <n v="2664.95"/>
    <n v="24502"/>
    <n v="7466.86"/>
    <n v="88.83"/>
  </r>
  <r>
    <s v="F038"/>
    <x v="4"/>
    <x v="3"/>
    <x v="0"/>
    <x v="1"/>
    <n v="1975.28"/>
    <n v="18341"/>
    <n v="8465.57"/>
    <n v="38.39"/>
  </r>
  <r>
    <s v="F013"/>
    <x v="2"/>
    <x v="0"/>
    <x v="1"/>
    <x v="2"/>
    <n v="4697.13"/>
    <n v="72813"/>
    <n v="8818.16"/>
    <n v="54.12"/>
  </r>
  <r>
    <s v="F160"/>
    <x v="4"/>
    <x v="1"/>
    <x v="1"/>
    <x v="1"/>
    <n v="2932.94"/>
    <n v="36423"/>
    <n v="589.96"/>
    <n v="30.9"/>
  </r>
  <r>
    <s v="F076"/>
    <x v="2"/>
    <x v="0"/>
    <x v="2"/>
    <x v="1"/>
    <n v="1869.13"/>
    <n v="41953"/>
    <n v="2379.14"/>
    <n v="65.67"/>
  </r>
  <r>
    <s v="F193"/>
    <x v="1"/>
    <x v="0"/>
    <x v="1"/>
    <x v="1"/>
    <n v="3433.46"/>
    <n v="15333"/>
    <n v="2570.54"/>
    <n v="41.07"/>
  </r>
  <r>
    <s v="F119"/>
    <x v="2"/>
    <x v="2"/>
    <x v="1"/>
    <x v="0"/>
    <n v="3234.84"/>
    <n v="22525"/>
    <n v="9465.65"/>
    <n v="37.79"/>
  </r>
  <r>
    <s v="F104"/>
    <x v="4"/>
    <x v="0"/>
    <x v="1"/>
    <x v="2"/>
    <n v="2947.36"/>
    <n v="84851"/>
    <n v="560.75"/>
    <n v="80.23"/>
  </r>
  <r>
    <s v="F160"/>
    <x v="4"/>
    <x v="3"/>
    <x v="0"/>
    <x v="2"/>
    <n v="4189.4613179999997"/>
    <n v="36423"/>
    <n v="589.96"/>
    <n v="30.9"/>
  </r>
  <r>
    <s v="F104"/>
    <x v="4"/>
    <x v="0"/>
    <x v="1"/>
    <x v="1"/>
    <n v="4346.51"/>
    <n v="84851"/>
    <n v="560.75"/>
    <n v="80.23"/>
  </r>
  <r>
    <s v="F148"/>
    <x v="1"/>
    <x v="3"/>
    <x v="1"/>
    <x v="1"/>
    <n v="1356.94"/>
    <n v="47491"/>
    <n v="5781.05"/>
    <n v="92.18"/>
  </r>
  <r>
    <s v="F051"/>
    <x v="4"/>
    <x v="0"/>
    <x v="2"/>
    <x v="0"/>
    <n v="50.06"/>
    <n v="56752"/>
    <n v="4177.68"/>
    <n v="10.96"/>
  </r>
  <r>
    <s v="F067"/>
    <x v="1"/>
    <x v="1"/>
    <x v="2"/>
    <x v="1"/>
    <n v="3795.55"/>
    <n v="28400"/>
    <n v="3056.67"/>
    <n v="52.68"/>
  </r>
  <r>
    <s v="F074"/>
    <x v="1"/>
    <x v="3"/>
    <x v="0"/>
    <x v="0"/>
    <n v="4134.2097940000003"/>
    <n v="25148"/>
    <n v="9604.5499999999993"/>
    <n v="63.47"/>
  </r>
  <r>
    <s v="F165"/>
    <x v="4"/>
    <x v="3"/>
    <x v="0"/>
    <x v="2"/>
    <n v="2597.355055"/>
    <n v="79330"/>
    <n v="6075.23"/>
    <n v="83.97"/>
  </r>
  <r>
    <s v="F179"/>
    <x v="1"/>
    <x v="0"/>
    <x v="1"/>
    <x v="2"/>
    <n v="2151.91"/>
    <n v="84524"/>
    <n v="9350.11"/>
    <n v="27.53"/>
  </r>
  <r>
    <s v="F113"/>
    <x v="3"/>
    <x v="3"/>
    <x v="1"/>
    <x v="0"/>
    <n v="3338.56"/>
    <n v="69636"/>
    <n v="4246.55"/>
    <n v="69.290000000000006"/>
  </r>
  <r>
    <s v="F028"/>
    <x v="4"/>
    <x v="2"/>
    <x v="0"/>
    <x v="1"/>
    <n v="284.86"/>
    <n v="73977"/>
    <n v="1646.75"/>
    <n v="43.77"/>
  </r>
  <r>
    <s v="F095"/>
    <x v="2"/>
    <x v="3"/>
    <x v="1"/>
    <x v="1"/>
    <n v="4418.62"/>
    <n v="49885"/>
    <n v="6845.46"/>
    <n v="58.4"/>
  </r>
  <r>
    <s v="F020"/>
    <x v="2"/>
    <x v="2"/>
    <x v="1"/>
    <x v="2"/>
    <n v="1452.21"/>
    <n v="95165"/>
    <n v="8562.76"/>
    <n v="37.54"/>
  </r>
  <r>
    <s v="F194"/>
    <x v="3"/>
    <x v="2"/>
    <x v="2"/>
    <x v="1"/>
    <n v="1001.43"/>
    <n v="42382"/>
    <n v="5116.6899999999996"/>
    <n v="80.42"/>
  </r>
  <r>
    <s v="F028"/>
    <x v="4"/>
    <x v="0"/>
    <x v="2"/>
    <x v="1"/>
    <n v="3280.78"/>
    <n v="73977"/>
    <n v="1646.75"/>
    <n v="43.77"/>
  </r>
  <r>
    <s v="F040"/>
    <x v="0"/>
    <x v="0"/>
    <x v="1"/>
    <x v="2"/>
    <n v="2429.6"/>
    <n v="52357"/>
    <n v="5643.16"/>
    <n v="37.130000000000003"/>
  </r>
  <r>
    <s v="F054"/>
    <x v="3"/>
    <x v="1"/>
    <x v="0"/>
    <x v="0"/>
    <n v="4025.991227"/>
    <n v="38869"/>
    <n v="5109.76"/>
    <n v="35.270000000000003"/>
  </r>
  <r>
    <s v="F040"/>
    <x v="0"/>
    <x v="1"/>
    <x v="1"/>
    <x v="1"/>
    <n v="1880.25"/>
    <n v="52357"/>
    <n v="5643.16"/>
    <n v="37.130000000000003"/>
  </r>
  <r>
    <s v="F183"/>
    <x v="3"/>
    <x v="2"/>
    <x v="2"/>
    <x v="1"/>
    <n v="3107.51"/>
    <n v="29860"/>
    <n v="3956.23"/>
    <n v="57.5"/>
  </r>
  <r>
    <s v="F018"/>
    <x v="4"/>
    <x v="2"/>
    <x v="0"/>
    <x v="1"/>
    <n v="1430.937486"/>
    <n v="69305"/>
    <n v="3203.67"/>
    <n v="83.65"/>
  </r>
  <r>
    <s v="F102"/>
    <x v="1"/>
    <x v="3"/>
    <x v="2"/>
    <x v="1"/>
    <n v="4735.9399999999996"/>
    <n v="82377"/>
    <n v="7974.74"/>
    <n v="9.17"/>
  </r>
  <r>
    <s v="F154"/>
    <x v="0"/>
    <x v="0"/>
    <x v="2"/>
    <x v="1"/>
    <n v="419.21"/>
    <n v="17097"/>
    <n v="9061.7800000000007"/>
    <n v="95.92"/>
  </r>
  <r>
    <s v="F094"/>
    <x v="3"/>
    <x v="3"/>
    <x v="0"/>
    <x v="2"/>
    <n v="3952.788094"/>
    <n v="40553"/>
    <n v="4875.2299999999996"/>
    <n v="23.33"/>
  </r>
  <r>
    <s v="F001"/>
    <x v="1"/>
    <x v="0"/>
    <x v="2"/>
    <x v="0"/>
    <n v="2905.28"/>
    <n v="54133"/>
    <n v="8543.68"/>
    <n v="24"/>
  </r>
  <r>
    <s v="F108"/>
    <x v="3"/>
    <x v="1"/>
    <x v="2"/>
    <x v="2"/>
    <n v="2595.02"/>
    <n v="39050"/>
    <n v="5885.73"/>
    <n v="93.04"/>
  </r>
  <r>
    <s v="F071"/>
    <x v="4"/>
    <x v="3"/>
    <x v="0"/>
    <x v="1"/>
    <n v="4395.4888259999998"/>
    <n v="26378"/>
    <n v="2915.44"/>
    <n v="29.84"/>
  </r>
  <r>
    <s v="F022"/>
    <x v="4"/>
    <x v="2"/>
    <x v="1"/>
    <x v="2"/>
    <n v="969.03"/>
    <n v="20207"/>
    <n v="5369.46"/>
    <n v="57.51"/>
  </r>
  <r>
    <s v="F119"/>
    <x v="2"/>
    <x v="3"/>
    <x v="1"/>
    <x v="1"/>
    <n v="4736.7"/>
    <n v="22525"/>
    <n v="9465.65"/>
    <n v="37.79"/>
  </r>
  <r>
    <s v="F190"/>
    <x v="0"/>
    <x v="0"/>
    <x v="0"/>
    <x v="1"/>
    <n v="3116.27"/>
    <n v="70582"/>
    <n v="7517.59"/>
    <n v="95.71"/>
  </r>
  <r>
    <s v="F171"/>
    <x v="4"/>
    <x v="3"/>
    <x v="2"/>
    <x v="1"/>
    <n v="3048.92"/>
    <n v="98356"/>
    <n v="6968.69"/>
    <n v="81.72"/>
  </r>
  <r>
    <s v="F084"/>
    <x v="3"/>
    <x v="3"/>
    <x v="0"/>
    <x v="1"/>
    <n v="4792.2007899999999"/>
    <n v="54136"/>
    <n v="2775.38"/>
    <n v="75.459999999999994"/>
  </r>
  <r>
    <s v="F117"/>
    <x v="2"/>
    <x v="3"/>
    <x v="1"/>
    <x v="1"/>
    <n v="1851.08"/>
    <n v="52594"/>
    <n v="8715.0400000000009"/>
    <n v="90.54"/>
  </r>
  <r>
    <s v="F039"/>
    <x v="2"/>
    <x v="3"/>
    <x v="1"/>
    <x v="0"/>
    <n v="331.53"/>
    <n v="40503"/>
    <n v="7447.46"/>
    <n v="98.27"/>
  </r>
  <r>
    <s v="F138"/>
    <x v="0"/>
    <x v="1"/>
    <x v="2"/>
    <x v="2"/>
    <n v="2756.07"/>
    <n v="94393"/>
    <n v="6691.7"/>
    <n v="74.790000000000006"/>
  </r>
  <r>
    <s v="F114"/>
    <x v="1"/>
    <x v="1"/>
    <x v="0"/>
    <x v="1"/>
    <n v="1185.144685"/>
    <n v="57353"/>
    <n v="2274.71"/>
    <n v="65.34"/>
  </r>
  <r>
    <s v="F104"/>
    <x v="4"/>
    <x v="1"/>
    <x v="1"/>
    <x v="1"/>
    <n v="770.82"/>
    <n v="84851"/>
    <n v="560.75"/>
    <n v="80.23"/>
  </r>
  <r>
    <s v="F045"/>
    <x v="0"/>
    <x v="0"/>
    <x v="1"/>
    <x v="2"/>
    <n v="1735.38"/>
    <n v="34725"/>
    <n v="3269.89"/>
    <n v="78.86"/>
  </r>
  <r>
    <s v="F105"/>
    <x v="0"/>
    <x v="0"/>
    <x v="0"/>
    <x v="1"/>
    <n v="2191.312218"/>
    <n v="27028"/>
    <n v="4617.92"/>
    <n v="57.62"/>
  </r>
  <r>
    <s v="F189"/>
    <x v="0"/>
    <x v="1"/>
    <x v="2"/>
    <x v="1"/>
    <n v="759.32"/>
    <n v="67820"/>
    <n v="8177.95"/>
    <n v="40.69"/>
  </r>
  <r>
    <s v="F146"/>
    <x v="2"/>
    <x v="2"/>
    <x v="1"/>
    <x v="1"/>
    <n v="1954.05"/>
    <n v="99115"/>
    <n v="827.26"/>
    <n v="28.88"/>
  </r>
  <r>
    <s v="F006"/>
    <x v="4"/>
    <x v="3"/>
    <x v="0"/>
    <x v="1"/>
    <n v="4153"/>
    <n v="11426"/>
    <n v="4439.5600000000004"/>
    <n v="52.71"/>
  </r>
  <r>
    <s v="F019"/>
    <x v="0"/>
    <x v="2"/>
    <x v="0"/>
    <x v="1"/>
    <n v="3571.7574920000002"/>
    <n v="68018"/>
    <n v="3523.4"/>
    <n v="92.26"/>
  </r>
  <r>
    <s v="F147"/>
    <x v="1"/>
    <x v="0"/>
    <x v="2"/>
    <x v="2"/>
    <n v="3705.85"/>
    <n v="13333"/>
    <n v="6102.15"/>
    <n v="17.670000000000002"/>
  </r>
  <r>
    <s v="F069"/>
    <x v="4"/>
    <x v="1"/>
    <x v="1"/>
    <x v="1"/>
    <n v="4393.54"/>
    <n v="85488"/>
    <n v="9691.57"/>
    <n v="96.98"/>
  </r>
  <r>
    <s v="F089"/>
    <x v="4"/>
    <x v="0"/>
    <x v="0"/>
    <x v="2"/>
    <n v="1303.2390740000001"/>
    <n v="58895"/>
    <n v="3039.17"/>
    <n v="59.82"/>
  </r>
  <r>
    <s v="F060"/>
    <x v="4"/>
    <x v="0"/>
    <x v="2"/>
    <x v="1"/>
    <n v="1709.14"/>
    <n v="41539"/>
    <n v="982.8"/>
    <n v="79.7"/>
  </r>
  <r>
    <s v="F006"/>
    <x v="4"/>
    <x v="3"/>
    <x v="0"/>
    <x v="1"/>
    <n v="4816.54"/>
    <n v="11426"/>
    <n v="4439.5600000000004"/>
    <n v="52.71"/>
  </r>
  <r>
    <s v="F132"/>
    <x v="4"/>
    <x v="2"/>
    <x v="0"/>
    <x v="2"/>
    <n v="4237.9135159999996"/>
    <n v="76544"/>
    <n v="8632.77"/>
    <n v="12.87"/>
  </r>
  <r>
    <s v="F013"/>
    <x v="2"/>
    <x v="3"/>
    <x v="1"/>
    <x v="2"/>
    <n v="2911.32"/>
    <n v="72813"/>
    <n v="8818.16"/>
    <n v="54.12"/>
  </r>
  <r>
    <s v="F133"/>
    <x v="2"/>
    <x v="1"/>
    <x v="1"/>
    <x v="0"/>
    <n v="1512.18"/>
    <n v="41168"/>
    <n v="8226.77"/>
    <n v="42.55"/>
  </r>
  <r>
    <s v="F158"/>
    <x v="3"/>
    <x v="3"/>
    <x v="2"/>
    <x v="1"/>
    <n v="2308.83"/>
    <n v="61157"/>
    <n v="7331.54"/>
    <n v="55.52"/>
  </r>
  <r>
    <s v="F006"/>
    <x v="4"/>
    <x v="0"/>
    <x v="2"/>
    <x v="1"/>
    <n v="4743.8500000000004"/>
    <n v="11426"/>
    <n v="4439.5600000000004"/>
    <n v="52.71"/>
  </r>
  <r>
    <s v="F028"/>
    <x v="4"/>
    <x v="2"/>
    <x v="0"/>
    <x v="2"/>
    <n v="3863.8"/>
    <n v="73977"/>
    <n v="1646.75"/>
    <n v="43.77"/>
  </r>
  <r>
    <s v="F149"/>
    <x v="1"/>
    <x v="3"/>
    <x v="1"/>
    <x v="0"/>
    <n v="1928.39"/>
    <n v="61207"/>
    <n v="6922.33"/>
    <n v="9.1999999999999993"/>
  </r>
  <r>
    <s v="F128"/>
    <x v="2"/>
    <x v="2"/>
    <x v="2"/>
    <x v="2"/>
    <n v="2001.66"/>
    <n v="68216"/>
    <n v="9562.33"/>
    <n v="63.59"/>
  </r>
  <r>
    <s v="F034"/>
    <x v="4"/>
    <x v="2"/>
    <x v="1"/>
    <x v="0"/>
    <n v="1031.08"/>
    <n v="67213"/>
    <n v="5533.81"/>
    <n v="90.88"/>
  </r>
  <r>
    <s v="F200"/>
    <x v="1"/>
    <x v="3"/>
    <x v="1"/>
    <x v="0"/>
    <n v="4637.72"/>
    <n v="21081"/>
    <n v="9001.77"/>
    <n v="49.27"/>
  </r>
  <r>
    <s v="F153"/>
    <x v="3"/>
    <x v="3"/>
    <x v="1"/>
    <x v="1"/>
    <n v="2119.1"/>
    <n v="95306"/>
    <n v="9037.76"/>
    <n v="13.35"/>
  </r>
  <r>
    <s v="F185"/>
    <x v="0"/>
    <x v="0"/>
    <x v="0"/>
    <x v="0"/>
    <n v="672.58975539999994"/>
    <n v="68820"/>
    <n v="9612.25"/>
    <n v="83.51"/>
  </r>
  <r>
    <s v="F092"/>
    <x v="4"/>
    <x v="0"/>
    <x v="0"/>
    <x v="1"/>
    <n v="1187.166129"/>
    <n v="79495"/>
    <n v="7157.48"/>
    <n v="26.84"/>
  </r>
  <r>
    <s v="F126"/>
    <x v="2"/>
    <x v="1"/>
    <x v="1"/>
    <x v="1"/>
    <n v="3253.86"/>
    <n v="75508"/>
    <n v="6856.22"/>
    <n v="18.2"/>
  </r>
  <r>
    <s v="F079"/>
    <x v="2"/>
    <x v="2"/>
    <x v="1"/>
    <x v="0"/>
    <n v="276.16000000000003"/>
    <n v="17311"/>
    <n v="2257.38"/>
    <n v="91.07"/>
  </r>
  <r>
    <s v="F087"/>
    <x v="4"/>
    <x v="3"/>
    <x v="0"/>
    <x v="1"/>
    <n v="1988.313803"/>
    <n v="44164"/>
    <n v="3869.32"/>
    <n v="13.81"/>
  </r>
  <r>
    <s v="F190"/>
    <x v="0"/>
    <x v="1"/>
    <x v="2"/>
    <x v="0"/>
    <n v="1459.49"/>
    <n v="70582"/>
    <n v="7517.59"/>
    <n v="95.71"/>
  </r>
  <r>
    <s v="F152"/>
    <x v="4"/>
    <x v="1"/>
    <x v="1"/>
    <x v="1"/>
    <n v="4054.68"/>
    <n v="90679"/>
    <n v="7266.82"/>
    <n v="23.3"/>
  </r>
  <r>
    <s v="F002"/>
    <x v="4"/>
    <x v="1"/>
    <x v="1"/>
    <x v="2"/>
    <n v="270.88"/>
    <n v="53661"/>
    <n v="6965.81"/>
    <n v="69.400000000000006"/>
  </r>
  <r>
    <s v="F101"/>
    <x v="3"/>
    <x v="0"/>
    <x v="1"/>
    <x v="0"/>
    <n v="1234.77"/>
    <n v="65719"/>
    <n v="9362.41"/>
    <n v="86.55"/>
  </r>
  <r>
    <s v="F088"/>
    <x v="0"/>
    <x v="2"/>
    <x v="1"/>
    <x v="1"/>
    <n v="4028.89"/>
    <n v="77330"/>
    <n v="6936.58"/>
    <n v="82.3"/>
  </r>
  <r>
    <s v="F108"/>
    <x v="3"/>
    <x v="2"/>
    <x v="0"/>
    <x v="1"/>
    <n v="4303.8535140000004"/>
    <n v="39050"/>
    <n v="5885.73"/>
    <n v="93.04"/>
  </r>
  <r>
    <s v="F122"/>
    <x v="4"/>
    <x v="3"/>
    <x v="1"/>
    <x v="2"/>
    <n v="2941.43"/>
    <n v="49620"/>
    <n v="2424.31"/>
    <n v="62.09"/>
  </r>
  <r>
    <s v="F130"/>
    <x v="3"/>
    <x v="0"/>
    <x v="1"/>
    <x v="2"/>
    <n v="125.18"/>
    <n v="43227"/>
    <n v="5199.53"/>
    <n v="44.09"/>
  </r>
  <r>
    <s v="F171"/>
    <x v="4"/>
    <x v="3"/>
    <x v="1"/>
    <x v="1"/>
    <n v="2302.58"/>
    <n v="98356"/>
    <n v="6968.69"/>
    <n v="81.72"/>
  </r>
  <r>
    <s v="F154"/>
    <x v="0"/>
    <x v="2"/>
    <x v="1"/>
    <x v="0"/>
    <n v="365.22"/>
    <n v="17097"/>
    <n v="9061.7800000000007"/>
    <n v="95.92"/>
  </r>
  <r>
    <s v="F167"/>
    <x v="2"/>
    <x v="3"/>
    <x v="2"/>
    <x v="2"/>
    <n v="93.15"/>
    <n v="94128"/>
    <n v="8117.82"/>
    <n v="73.83"/>
  </r>
  <r>
    <s v="F001"/>
    <x v="1"/>
    <x v="1"/>
    <x v="2"/>
    <x v="1"/>
    <n v="807.86"/>
    <n v="54133"/>
    <n v="8543.68"/>
    <n v="24"/>
  </r>
  <r>
    <s v="F058"/>
    <x v="1"/>
    <x v="0"/>
    <x v="2"/>
    <x v="2"/>
    <n v="3779.13"/>
    <n v="66398"/>
    <n v="8713.61"/>
    <n v="83.44"/>
  </r>
  <r>
    <s v="F080"/>
    <x v="3"/>
    <x v="1"/>
    <x v="0"/>
    <x v="0"/>
    <n v="4998.3865500000002"/>
    <n v="10250"/>
    <n v="4717"/>
    <n v="16.600000000000001"/>
  </r>
  <r>
    <s v="F107"/>
    <x v="2"/>
    <x v="3"/>
    <x v="1"/>
    <x v="2"/>
    <n v="2268.11"/>
    <n v="43512"/>
    <n v="5352.18"/>
    <n v="6.17"/>
  </r>
  <r>
    <s v="F003"/>
    <x v="3"/>
    <x v="0"/>
    <x v="1"/>
    <x v="2"/>
    <n v="1247.71"/>
    <n v="27681"/>
    <n v="928.26"/>
    <n v="44.97"/>
  </r>
  <r>
    <s v="F114"/>
    <x v="1"/>
    <x v="3"/>
    <x v="2"/>
    <x v="2"/>
    <n v="2941.25"/>
    <n v="57353"/>
    <n v="2274.71"/>
    <n v="65.34"/>
  </r>
  <r>
    <s v="F032"/>
    <x v="1"/>
    <x v="1"/>
    <x v="2"/>
    <x v="2"/>
    <n v="1210.07"/>
    <n v="33688"/>
    <n v="9495.48"/>
    <n v="55.55"/>
  </r>
  <r>
    <s v="F153"/>
    <x v="3"/>
    <x v="3"/>
    <x v="2"/>
    <x v="1"/>
    <n v="4451"/>
    <n v="95306"/>
    <n v="9037.76"/>
    <n v="13.35"/>
  </r>
  <r>
    <s v="F090"/>
    <x v="2"/>
    <x v="2"/>
    <x v="2"/>
    <x v="2"/>
    <n v="867.35"/>
    <n v="29895"/>
    <n v="1631.08"/>
    <n v="39.93"/>
  </r>
  <r>
    <s v="F063"/>
    <x v="4"/>
    <x v="2"/>
    <x v="1"/>
    <x v="0"/>
    <n v="3856.1"/>
    <n v="45519"/>
    <n v="7987.69"/>
    <n v="10.86"/>
  </r>
  <r>
    <s v="F025"/>
    <x v="4"/>
    <x v="3"/>
    <x v="2"/>
    <x v="0"/>
    <n v="1963.47"/>
    <n v="32131"/>
    <n v="1474.23"/>
    <n v="45.47"/>
  </r>
  <r>
    <s v="F106"/>
    <x v="3"/>
    <x v="1"/>
    <x v="1"/>
    <x v="0"/>
    <n v="4776.8"/>
    <n v="98682"/>
    <n v="6220.56"/>
    <n v="70.099999999999994"/>
  </r>
  <r>
    <s v="F171"/>
    <x v="4"/>
    <x v="2"/>
    <x v="1"/>
    <x v="2"/>
    <n v="1736.71"/>
    <n v="98356"/>
    <n v="6968.69"/>
    <n v="81.72"/>
  </r>
  <r>
    <s v="F181"/>
    <x v="3"/>
    <x v="0"/>
    <x v="1"/>
    <x v="1"/>
    <n v="4367.4799999999996"/>
    <n v="42485"/>
    <n v="4755.75"/>
    <n v="10.19"/>
  </r>
  <r>
    <s v="F083"/>
    <x v="2"/>
    <x v="2"/>
    <x v="2"/>
    <x v="1"/>
    <n v="700.15"/>
    <n v="94704"/>
    <n v="6632.95"/>
    <n v="14.76"/>
  </r>
  <r>
    <s v="F149"/>
    <x v="1"/>
    <x v="3"/>
    <x v="2"/>
    <x v="1"/>
    <n v="4667.1400000000003"/>
    <n v="61207"/>
    <n v="6922.33"/>
    <n v="9.1999999999999993"/>
  </r>
  <r>
    <s v="F118"/>
    <x v="0"/>
    <x v="3"/>
    <x v="0"/>
    <x v="2"/>
    <n v="2262.4267799999998"/>
    <n v="14170"/>
    <n v="5455.23"/>
    <n v="25.46"/>
  </r>
  <r>
    <s v="F096"/>
    <x v="0"/>
    <x v="1"/>
    <x v="2"/>
    <x v="0"/>
    <n v="4898.1499999999996"/>
    <n v="21388"/>
    <n v="5249.39"/>
    <n v="64.2"/>
  </r>
  <r>
    <s v="F094"/>
    <x v="3"/>
    <x v="1"/>
    <x v="1"/>
    <x v="1"/>
    <n v="2735.09"/>
    <n v="40553"/>
    <n v="4875.2299999999996"/>
    <n v="23.33"/>
  </r>
  <r>
    <s v="F137"/>
    <x v="0"/>
    <x v="1"/>
    <x v="2"/>
    <x v="1"/>
    <n v="129.43"/>
    <n v="10933"/>
    <n v="9004.3700000000008"/>
    <n v="26.84"/>
  </r>
  <r>
    <s v="F058"/>
    <x v="1"/>
    <x v="3"/>
    <x v="2"/>
    <x v="1"/>
    <n v="556.38"/>
    <n v="66398"/>
    <n v="8713.61"/>
    <n v="83.44"/>
  </r>
  <r>
    <s v="F190"/>
    <x v="0"/>
    <x v="2"/>
    <x v="1"/>
    <x v="0"/>
    <n v="358.08"/>
    <n v="70582"/>
    <n v="7517.59"/>
    <n v="95.71"/>
  </r>
  <r>
    <s v="F193"/>
    <x v="1"/>
    <x v="3"/>
    <x v="0"/>
    <x v="2"/>
    <n v="5236.8358760000001"/>
    <n v="15333"/>
    <n v="2570.54"/>
    <n v="41.07"/>
  </r>
  <r>
    <s v="F049"/>
    <x v="0"/>
    <x v="3"/>
    <x v="2"/>
    <x v="2"/>
    <n v="2820.63"/>
    <n v="65666"/>
    <n v="7269.98"/>
    <n v="75.62"/>
  </r>
  <r>
    <s v="F194"/>
    <x v="3"/>
    <x v="3"/>
    <x v="0"/>
    <x v="1"/>
    <n v="1652.6301820000001"/>
    <n v="42382"/>
    <n v="5116.6899999999996"/>
    <n v="80.42"/>
  </r>
  <r>
    <s v="F080"/>
    <x v="3"/>
    <x v="3"/>
    <x v="0"/>
    <x v="1"/>
    <n v="4298.4759350000004"/>
    <n v="10250"/>
    <n v="4717"/>
    <n v="16.600000000000001"/>
  </r>
  <r>
    <s v="F102"/>
    <x v="1"/>
    <x v="3"/>
    <x v="1"/>
    <x v="0"/>
    <n v="2188.52"/>
    <n v="82377"/>
    <n v="7974.74"/>
    <n v="9.17"/>
  </r>
  <r>
    <s v="F009"/>
    <x v="0"/>
    <x v="0"/>
    <x v="2"/>
    <x v="1"/>
    <n v="228.37"/>
    <n v="45644"/>
    <n v="7724.73"/>
    <n v="31"/>
  </r>
  <r>
    <s v="F102"/>
    <x v="1"/>
    <x v="3"/>
    <x v="0"/>
    <x v="0"/>
    <n v="3425.06"/>
    <n v="82377"/>
    <n v="7974.74"/>
    <n v="9.17"/>
  </r>
  <r>
    <s v="F156"/>
    <x v="2"/>
    <x v="3"/>
    <x v="2"/>
    <x v="2"/>
    <n v="3780.56"/>
    <n v="88308"/>
    <n v="7802.07"/>
    <n v="36.130000000000003"/>
  </r>
  <r>
    <s v="F152"/>
    <x v="4"/>
    <x v="1"/>
    <x v="2"/>
    <x v="2"/>
    <n v="1026.45"/>
    <n v="90679"/>
    <n v="7266.82"/>
    <n v="23.3"/>
  </r>
  <r>
    <s v="F086"/>
    <x v="4"/>
    <x v="0"/>
    <x v="0"/>
    <x v="1"/>
    <n v="1973.1370979999999"/>
    <n v="55974"/>
    <n v="7542.28"/>
    <n v="72.430000000000007"/>
  </r>
  <r>
    <s v="F058"/>
    <x v="1"/>
    <x v="1"/>
    <x v="0"/>
    <x v="1"/>
    <n v="3828.4128340000002"/>
    <n v="66398"/>
    <n v="8713.61"/>
    <n v="83.44"/>
  </r>
  <r>
    <s v="F032"/>
    <x v="1"/>
    <x v="2"/>
    <x v="2"/>
    <x v="0"/>
    <n v="3883.26"/>
    <n v="33688"/>
    <n v="9495.48"/>
    <n v="55.55"/>
  </r>
  <r>
    <s v="F186"/>
    <x v="4"/>
    <x v="0"/>
    <x v="0"/>
    <x v="1"/>
    <n v="4934.9743390000003"/>
    <n v="61942"/>
    <n v="4891.32"/>
    <n v="91.59"/>
  </r>
  <r>
    <s v="F090"/>
    <x v="2"/>
    <x v="1"/>
    <x v="1"/>
    <x v="2"/>
    <n v="336.58"/>
    <n v="29895"/>
    <n v="1631.08"/>
    <n v="39.93"/>
  </r>
  <r>
    <s v="F052"/>
    <x v="3"/>
    <x v="1"/>
    <x v="2"/>
    <x v="0"/>
    <n v="3817.85"/>
    <n v="66163"/>
    <n v="1416.57"/>
    <n v="68.73"/>
  </r>
  <r>
    <s v="F027"/>
    <x v="4"/>
    <x v="1"/>
    <x v="2"/>
    <x v="1"/>
    <n v="1089.25"/>
    <n v="51800"/>
    <n v="3042.95"/>
    <n v="71.87"/>
  </r>
  <r>
    <s v="F097"/>
    <x v="1"/>
    <x v="2"/>
    <x v="0"/>
    <x v="0"/>
    <n v="316.07829400000003"/>
    <n v="69100"/>
    <n v="9356.02"/>
    <n v="16.5"/>
  </r>
  <r>
    <s v="F173"/>
    <x v="1"/>
    <x v="1"/>
    <x v="1"/>
    <x v="1"/>
    <n v="2112.3200000000002"/>
    <n v="38181"/>
    <n v="691.84"/>
    <n v="33.53"/>
  </r>
  <r>
    <s v="F093"/>
    <x v="2"/>
    <x v="2"/>
    <x v="0"/>
    <x v="0"/>
    <n v="892.44"/>
    <n v="15553"/>
    <n v="3909.51"/>
    <n v="46.44"/>
  </r>
  <r>
    <s v="F097"/>
    <x v="1"/>
    <x v="1"/>
    <x v="1"/>
    <x v="0"/>
    <n v="1569.2"/>
    <n v="69100"/>
    <n v="9356.02"/>
    <n v="16.5"/>
  </r>
  <r>
    <s v="F050"/>
    <x v="0"/>
    <x v="3"/>
    <x v="0"/>
    <x v="1"/>
    <n v="1407.4467239999999"/>
    <n v="10067"/>
    <n v="1953.33"/>
    <n v="25.15"/>
  </r>
  <r>
    <s v="F196"/>
    <x v="4"/>
    <x v="1"/>
    <x v="0"/>
    <x v="2"/>
    <n v="4401.5937169999997"/>
    <n v="85444"/>
    <n v="852.57"/>
    <n v="72.650000000000006"/>
  </r>
  <r>
    <s v="F148"/>
    <x v="1"/>
    <x v="3"/>
    <x v="2"/>
    <x v="0"/>
    <n v="4331.4399999999996"/>
    <n v="47491"/>
    <n v="5781.05"/>
    <n v="92.18"/>
  </r>
  <r>
    <s v="F050"/>
    <x v="0"/>
    <x v="2"/>
    <x v="1"/>
    <x v="1"/>
    <n v="191.28"/>
    <n v="10067"/>
    <n v="1953.33"/>
    <n v="25.15"/>
  </r>
  <r>
    <s v="F115"/>
    <x v="3"/>
    <x v="0"/>
    <x v="1"/>
    <x v="0"/>
    <n v="3002.77"/>
    <n v="29318"/>
    <n v="9860.6200000000008"/>
    <n v="14.58"/>
  </r>
  <r>
    <s v="F017"/>
    <x v="2"/>
    <x v="0"/>
    <x v="2"/>
    <x v="2"/>
    <n v="2511.59"/>
    <n v="71747"/>
    <n v="9838.66"/>
    <n v="7.25"/>
  </r>
  <r>
    <s v="F048"/>
    <x v="0"/>
    <x v="2"/>
    <x v="0"/>
    <x v="1"/>
    <n v="2282.1801989999999"/>
    <n v="26338"/>
    <n v="578.73"/>
    <n v="72.52"/>
  </r>
  <r>
    <s v="F119"/>
    <x v="2"/>
    <x v="0"/>
    <x v="2"/>
    <x v="0"/>
    <n v="4726.1099999999997"/>
    <n v="22525"/>
    <n v="9465.65"/>
    <n v="37.79"/>
  </r>
  <r>
    <s v="F054"/>
    <x v="3"/>
    <x v="1"/>
    <x v="1"/>
    <x v="2"/>
    <n v="252.05"/>
    <n v="38869"/>
    <n v="5109.76"/>
    <n v="35.270000000000003"/>
  </r>
  <r>
    <s v="F027"/>
    <x v="4"/>
    <x v="2"/>
    <x v="2"/>
    <x v="2"/>
    <n v="3693.42"/>
    <n v="51800"/>
    <n v="3042.95"/>
    <n v="71.87"/>
  </r>
  <r>
    <s v="F160"/>
    <x v="4"/>
    <x v="1"/>
    <x v="0"/>
    <x v="0"/>
    <n v="2670.5293769999998"/>
    <n v="36423"/>
    <n v="589.96"/>
    <n v="30.9"/>
  </r>
  <r>
    <s v="F102"/>
    <x v="1"/>
    <x v="1"/>
    <x v="2"/>
    <x v="1"/>
    <n v="1186.4000000000001"/>
    <n v="82377"/>
    <n v="7974.74"/>
    <n v="9.17"/>
  </r>
  <r>
    <s v="F175"/>
    <x v="3"/>
    <x v="2"/>
    <x v="0"/>
    <x v="0"/>
    <n v="1201.0995809999999"/>
    <n v="94949"/>
    <n v="9714.76"/>
    <n v="64.900000000000006"/>
  </r>
  <r>
    <s v="F058"/>
    <x v="1"/>
    <x v="0"/>
    <x v="0"/>
    <x v="0"/>
    <n v="1093.3917960000001"/>
    <n v="66398"/>
    <n v="8713.61"/>
    <n v="83.44"/>
  </r>
  <r>
    <s v="F188"/>
    <x v="3"/>
    <x v="1"/>
    <x v="1"/>
    <x v="2"/>
    <n v="4636.55"/>
    <n v="80824"/>
    <n v="2858.92"/>
    <n v="13.97"/>
  </r>
  <r>
    <s v="F132"/>
    <x v="4"/>
    <x v="0"/>
    <x v="0"/>
    <x v="1"/>
    <n v="1840.534678"/>
    <n v="76544"/>
    <n v="8632.77"/>
    <n v="12.87"/>
  </r>
  <r>
    <s v="F188"/>
    <x v="3"/>
    <x v="2"/>
    <x v="1"/>
    <x v="1"/>
    <n v="1036.07"/>
    <n v="80824"/>
    <n v="2858.92"/>
    <n v="13.97"/>
  </r>
  <r>
    <s v="F147"/>
    <x v="1"/>
    <x v="1"/>
    <x v="0"/>
    <x v="1"/>
    <n v="390.78143080000001"/>
    <n v="13333"/>
    <n v="6102.15"/>
    <n v="17.670000000000002"/>
  </r>
  <r>
    <s v="F154"/>
    <x v="0"/>
    <x v="2"/>
    <x v="2"/>
    <x v="0"/>
    <n v="4126.71"/>
    <n v="17097"/>
    <n v="9061.7800000000007"/>
    <n v="95.92"/>
  </r>
  <r>
    <s v="F036"/>
    <x v="3"/>
    <x v="2"/>
    <x v="2"/>
    <x v="0"/>
    <n v="4171.8100000000004"/>
    <n v="53942"/>
    <n v="5904.31"/>
    <n v="32.78"/>
  </r>
  <r>
    <s v="F164"/>
    <x v="0"/>
    <x v="0"/>
    <x v="1"/>
    <x v="2"/>
    <n v="3571.47"/>
    <n v="60710"/>
    <n v="2726.26"/>
    <n v="83.02"/>
  </r>
  <r>
    <s v="F195"/>
    <x v="1"/>
    <x v="3"/>
    <x v="2"/>
    <x v="0"/>
    <n v="1961.65"/>
    <n v="87012"/>
    <n v="7478.13"/>
    <n v="27.22"/>
  </r>
  <r>
    <s v="F085"/>
    <x v="4"/>
    <x v="3"/>
    <x v="1"/>
    <x v="0"/>
    <n v="3905.64"/>
    <n v="29264"/>
    <n v="8362.7199999999993"/>
    <n v="61.93"/>
  </r>
  <r>
    <s v="F122"/>
    <x v="4"/>
    <x v="1"/>
    <x v="0"/>
    <x v="1"/>
    <n v="2192.9713040000001"/>
    <n v="49620"/>
    <n v="2424.31"/>
    <n v="62.09"/>
  </r>
  <r>
    <s v="F129"/>
    <x v="1"/>
    <x v="2"/>
    <x v="1"/>
    <x v="1"/>
    <n v="369.5"/>
    <n v="58439"/>
    <n v="5817.93"/>
    <n v="63.77"/>
  </r>
  <r>
    <s v="F097"/>
    <x v="1"/>
    <x v="1"/>
    <x v="1"/>
    <x v="1"/>
    <n v="2277.1799999999998"/>
    <n v="69100"/>
    <n v="9356.02"/>
    <n v="16.5"/>
  </r>
  <r>
    <s v="F109"/>
    <x v="0"/>
    <x v="0"/>
    <x v="1"/>
    <x v="0"/>
    <n v="4278.8900000000003"/>
    <n v="34318"/>
    <n v="675.67"/>
    <n v="41.05"/>
  </r>
  <r>
    <s v="F028"/>
    <x v="4"/>
    <x v="1"/>
    <x v="1"/>
    <x v="1"/>
    <n v="3665.62"/>
    <n v="73977"/>
    <n v="1646.75"/>
    <n v="43.77"/>
  </r>
  <r>
    <s v="F130"/>
    <x v="3"/>
    <x v="1"/>
    <x v="0"/>
    <x v="1"/>
    <n v="4127.2296200000001"/>
    <n v="43227"/>
    <n v="5199.53"/>
    <n v="44.09"/>
  </r>
  <r>
    <s v="F173"/>
    <x v="1"/>
    <x v="2"/>
    <x v="1"/>
    <x v="2"/>
    <n v="1251.29"/>
    <n v="38181"/>
    <n v="691.84"/>
    <n v="33.53"/>
  </r>
  <r>
    <s v="F146"/>
    <x v="2"/>
    <x v="1"/>
    <x v="2"/>
    <x v="1"/>
    <n v="3935.94"/>
    <n v="99115"/>
    <n v="827.26"/>
    <n v="28.88"/>
  </r>
  <r>
    <s v="F060"/>
    <x v="4"/>
    <x v="3"/>
    <x v="2"/>
    <x v="1"/>
    <n v="1012.81"/>
    <n v="41539"/>
    <n v="982.8"/>
    <n v="79.7"/>
  </r>
  <r>
    <s v="F117"/>
    <x v="2"/>
    <x v="2"/>
    <x v="2"/>
    <x v="1"/>
    <n v="817.03"/>
    <n v="52594"/>
    <n v="8715.0400000000009"/>
    <n v="90.54"/>
  </r>
  <r>
    <s v="F001"/>
    <x v="1"/>
    <x v="1"/>
    <x v="2"/>
    <x v="1"/>
    <n v="4733.58"/>
    <n v="54133"/>
    <n v="8543.68"/>
    <n v="24"/>
  </r>
  <r>
    <s v="F131"/>
    <x v="4"/>
    <x v="2"/>
    <x v="1"/>
    <x v="0"/>
    <n v="4851.63"/>
    <n v="43294"/>
    <n v="3802.13"/>
    <n v="45.84"/>
  </r>
  <r>
    <s v="F122"/>
    <x v="4"/>
    <x v="3"/>
    <x v="2"/>
    <x v="0"/>
    <n v="2889.59"/>
    <n v="49620"/>
    <n v="2424.31"/>
    <n v="62.09"/>
  </r>
  <r>
    <s v="F007"/>
    <x v="4"/>
    <x v="3"/>
    <x v="1"/>
    <x v="0"/>
    <n v="2545.79"/>
    <n v="35506"/>
    <n v="1892.04"/>
    <n v="61.53"/>
  </r>
  <r>
    <s v="F080"/>
    <x v="3"/>
    <x v="2"/>
    <x v="0"/>
    <x v="2"/>
    <n v="3857.3744120000001"/>
    <n v="10250"/>
    <n v="4717"/>
    <n v="16.600000000000001"/>
  </r>
  <r>
    <s v="F025"/>
    <x v="4"/>
    <x v="0"/>
    <x v="0"/>
    <x v="0"/>
    <n v="1399.1880410000001"/>
    <n v="32131"/>
    <n v="1474.23"/>
    <n v="45.47"/>
  </r>
  <r>
    <s v="F099"/>
    <x v="3"/>
    <x v="0"/>
    <x v="2"/>
    <x v="0"/>
    <n v="1563.76"/>
    <n v="17162"/>
    <n v="5079.95"/>
    <n v="19.239999999999998"/>
  </r>
  <r>
    <s v="F119"/>
    <x v="2"/>
    <x v="1"/>
    <x v="1"/>
    <x v="0"/>
    <n v="2518.31"/>
    <n v="22525"/>
    <n v="9465.65"/>
    <n v="37.79"/>
  </r>
  <r>
    <s v="F019"/>
    <x v="0"/>
    <x v="2"/>
    <x v="1"/>
    <x v="1"/>
    <n v="4134.78"/>
    <n v="68018"/>
    <n v="3523.4"/>
    <n v="92.26"/>
  </r>
  <r>
    <s v="F112"/>
    <x v="4"/>
    <x v="0"/>
    <x v="2"/>
    <x v="0"/>
    <n v="2532.84"/>
    <n v="88188"/>
    <n v="815.86"/>
    <n v="57.53"/>
  </r>
  <r>
    <s v="F064"/>
    <x v="1"/>
    <x v="0"/>
    <x v="1"/>
    <x v="0"/>
    <n v="2192.7800000000002"/>
    <n v="70481"/>
    <n v="4452.83"/>
    <n v="91.26"/>
  </r>
  <r>
    <s v="F055"/>
    <x v="2"/>
    <x v="2"/>
    <x v="2"/>
    <x v="2"/>
    <n v="2433.0700000000002"/>
    <n v="41050"/>
    <n v="6025.84"/>
    <n v="53.53"/>
  </r>
  <r>
    <s v="F076"/>
    <x v="2"/>
    <x v="0"/>
    <x v="2"/>
    <x v="0"/>
    <n v="3760.84"/>
    <n v="41953"/>
    <n v="2379.14"/>
    <n v="65.67"/>
  </r>
  <r>
    <s v="F077"/>
    <x v="4"/>
    <x v="0"/>
    <x v="0"/>
    <x v="0"/>
    <n v="3726.94"/>
    <n v="52836"/>
    <n v="9330.2999999999993"/>
    <n v="87.27"/>
  </r>
  <r>
    <s v="F110"/>
    <x v="4"/>
    <x v="0"/>
    <x v="1"/>
    <x v="0"/>
    <n v="3670.96"/>
    <n v="85868"/>
    <n v="907.72"/>
    <n v="90.36"/>
  </r>
  <r>
    <s v="F078"/>
    <x v="0"/>
    <x v="1"/>
    <x v="0"/>
    <x v="0"/>
    <n v="1821.13"/>
    <n v="78624"/>
    <n v="2373.27"/>
    <n v="25.07"/>
  </r>
  <r>
    <s v="F177"/>
    <x v="3"/>
    <x v="2"/>
    <x v="2"/>
    <x v="0"/>
    <n v="231.16"/>
    <n v="87482"/>
    <n v="2231.7399999999998"/>
    <n v="45.43"/>
  </r>
  <r>
    <s v="F010"/>
    <x v="0"/>
    <x v="1"/>
    <x v="0"/>
    <x v="1"/>
    <n v="1503.886974"/>
    <n v="32991"/>
    <n v="8540.14"/>
    <n v="37.75"/>
  </r>
  <r>
    <s v="F056"/>
    <x v="4"/>
    <x v="2"/>
    <x v="2"/>
    <x v="2"/>
    <n v="1448.62"/>
    <n v="99026"/>
    <n v="5453.2"/>
    <n v="57.49"/>
  </r>
  <r>
    <s v="F027"/>
    <x v="4"/>
    <x v="1"/>
    <x v="1"/>
    <x v="0"/>
    <n v="3712.48"/>
    <n v="51800"/>
    <n v="3042.95"/>
    <n v="71.87"/>
  </r>
  <r>
    <s v="F073"/>
    <x v="3"/>
    <x v="2"/>
    <x v="2"/>
    <x v="0"/>
    <n v="4843.3"/>
    <n v="26170"/>
    <n v="8057.54"/>
    <n v="63.71"/>
  </r>
  <r>
    <s v="F062"/>
    <x v="2"/>
    <x v="2"/>
    <x v="1"/>
    <x v="1"/>
    <n v="2038.87"/>
    <n v="19265"/>
    <n v="776.6"/>
    <n v="39.75"/>
  </r>
  <r>
    <s v="F119"/>
    <x v="2"/>
    <x v="0"/>
    <x v="2"/>
    <x v="2"/>
    <n v="501.53"/>
    <n v="22525"/>
    <n v="9465.65"/>
    <n v="37.79"/>
  </r>
  <r>
    <s v="F009"/>
    <x v="0"/>
    <x v="3"/>
    <x v="1"/>
    <x v="2"/>
    <n v="2494.41"/>
    <n v="45644"/>
    <n v="7724.73"/>
    <n v="31"/>
  </r>
  <r>
    <s v="F039"/>
    <x v="2"/>
    <x v="0"/>
    <x v="1"/>
    <x v="2"/>
    <n v="3410.79"/>
    <n v="40503"/>
    <n v="7447.46"/>
    <n v="98.27"/>
  </r>
  <r>
    <s v="F161"/>
    <x v="2"/>
    <x v="0"/>
    <x v="0"/>
    <x v="1"/>
    <n v="4596.0482240000001"/>
    <n v="36171"/>
    <n v="6864.38"/>
    <n v="37.03"/>
  </r>
  <r>
    <s v="F038"/>
    <x v="4"/>
    <x v="0"/>
    <x v="2"/>
    <x v="2"/>
    <n v="2175.48"/>
    <n v="18341"/>
    <n v="8465.57"/>
    <n v="38.39"/>
  </r>
  <r>
    <s v="F122"/>
    <x v="4"/>
    <x v="0"/>
    <x v="2"/>
    <x v="0"/>
    <n v="4410.9799999999996"/>
    <n v="49620"/>
    <n v="2424.31"/>
    <n v="62.09"/>
  </r>
  <r>
    <s v="F190"/>
    <x v="0"/>
    <x v="0"/>
    <x v="0"/>
    <x v="1"/>
    <n v="4785.2299999999996"/>
    <n v="70582"/>
    <n v="7517.59"/>
    <n v="95.71"/>
  </r>
  <r>
    <s v="F030"/>
    <x v="0"/>
    <x v="2"/>
    <x v="2"/>
    <x v="1"/>
    <n v="3604.55"/>
    <n v="49924"/>
    <n v="2199.16"/>
    <n v="75.48"/>
  </r>
  <r>
    <s v="F041"/>
    <x v="1"/>
    <x v="1"/>
    <x v="2"/>
    <x v="1"/>
    <n v="3470.96"/>
    <n v="84721"/>
    <n v="2278.9699999999998"/>
    <n v="68.53"/>
  </r>
  <r>
    <s v="F131"/>
    <x v="4"/>
    <x v="2"/>
    <x v="1"/>
    <x v="0"/>
    <n v="3506.46"/>
    <n v="43294"/>
    <n v="3802.13"/>
    <n v="45.84"/>
  </r>
  <r>
    <s v="F004"/>
    <x v="0"/>
    <x v="1"/>
    <x v="0"/>
    <x v="2"/>
    <n v="2058.1298219999999"/>
    <n v="83923"/>
    <n v="8768.7999999999993"/>
    <n v="65.290000000000006"/>
  </r>
  <r>
    <s v="F048"/>
    <x v="0"/>
    <x v="3"/>
    <x v="2"/>
    <x v="2"/>
    <n v="1643.92"/>
    <n v="26338"/>
    <n v="578.73"/>
    <n v="72.52"/>
  </r>
  <r>
    <s v="F188"/>
    <x v="3"/>
    <x v="2"/>
    <x v="2"/>
    <x v="0"/>
    <n v="2080.0300000000002"/>
    <n v="80824"/>
    <n v="2858.92"/>
    <n v="13.97"/>
  </r>
  <r>
    <s v="F105"/>
    <x v="0"/>
    <x v="0"/>
    <x v="1"/>
    <x v="2"/>
    <n v="2465.4499999999998"/>
    <n v="27028"/>
    <n v="4617.92"/>
    <n v="57.62"/>
  </r>
  <r>
    <s v="F126"/>
    <x v="2"/>
    <x v="1"/>
    <x v="1"/>
    <x v="2"/>
    <n v="2931.16"/>
    <n v="75508"/>
    <n v="6856.22"/>
    <n v="18.2"/>
  </r>
  <r>
    <s v="F199"/>
    <x v="0"/>
    <x v="2"/>
    <x v="2"/>
    <x v="2"/>
    <n v="1925.79"/>
    <n v="89321"/>
    <n v="9836.34"/>
    <n v="16.989999999999998"/>
  </r>
  <r>
    <s v="F135"/>
    <x v="3"/>
    <x v="0"/>
    <x v="1"/>
    <x v="2"/>
    <n v="1331.9"/>
    <n v="56531"/>
    <n v="8958.07"/>
    <n v="83.44"/>
  </r>
  <r>
    <s v="F106"/>
    <x v="3"/>
    <x v="0"/>
    <x v="0"/>
    <x v="1"/>
    <n v="3932.2339569999999"/>
    <n v="98682"/>
    <n v="6220.56"/>
    <n v="70.099999999999994"/>
  </r>
  <r>
    <s v="F106"/>
    <x v="3"/>
    <x v="1"/>
    <x v="2"/>
    <x v="2"/>
    <n v="1414.52"/>
    <n v="98682"/>
    <n v="6220.56"/>
    <n v="70.099999999999994"/>
  </r>
  <r>
    <s v="F057"/>
    <x v="1"/>
    <x v="1"/>
    <x v="0"/>
    <x v="2"/>
    <n v="3472.6851879999999"/>
    <n v="40226"/>
    <n v="7868.86"/>
    <n v="80.53"/>
  </r>
  <r>
    <s v="F011"/>
    <x v="4"/>
    <x v="3"/>
    <x v="2"/>
    <x v="2"/>
    <n v="1357.85"/>
    <n v="72846"/>
    <n v="5169.53"/>
    <n v="76.709999999999994"/>
  </r>
  <r>
    <s v="F085"/>
    <x v="4"/>
    <x v="0"/>
    <x v="2"/>
    <x v="0"/>
    <n v="347.5"/>
    <n v="29264"/>
    <n v="8362.7199999999993"/>
    <n v="61.93"/>
  </r>
  <r>
    <s v="F165"/>
    <x v="4"/>
    <x v="1"/>
    <x v="0"/>
    <x v="2"/>
    <n v="4534.231914"/>
    <n v="79330"/>
    <n v="6075.23"/>
    <n v="83.97"/>
  </r>
  <r>
    <s v="F122"/>
    <x v="4"/>
    <x v="3"/>
    <x v="1"/>
    <x v="0"/>
    <n v="3600.52"/>
    <n v="49620"/>
    <n v="2424.31"/>
    <n v="62.09"/>
  </r>
  <r>
    <s v="F130"/>
    <x v="3"/>
    <x v="3"/>
    <x v="2"/>
    <x v="2"/>
    <n v="4875.1000000000004"/>
    <n v="43227"/>
    <n v="5199.53"/>
    <n v="44.09"/>
  </r>
  <r>
    <s v="F144"/>
    <x v="2"/>
    <x v="0"/>
    <x v="0"/>
    <x v="0"/>
    <n v="1708.84"/>
    <n v="16868"/>
    <n v="1378.01"/>
    <n v="47.52"/>
  </r>
  <r>
    <s v="F183"/>
    <x v="3"/>
    <x v="3"/>
    <x v="2"/>
    <x v="0"/>
    <n v="126.6"/>
    <n v="29860"/>
    <n v="3956.23"/>
    <n v="57.5"/>
  </r>
  <r>
    <s v="F077"/>
    <x v="4"/>
    <x v="2"/>
    <x v="2"/>
    <x v="2"/>
    <n v="1749.03"/>
    <n v="52836"/>
    <n v="9330.2999999999993"/>
    <n v="87.27"/>
  </r>
  <r>
    <s v="F024"/>
    <x v="4"/>
    <x v="0"/>
    <x v="0"/>
    <x v="2"/>
    <n v="2617.5188039999998"/>
    <n v="95718"/>
    <n v="2443.12"/>
    <n v="35.49"/>
  </r>
  <r>
    <s v="F191"/>
    <x v="0"/>
    <x v="1"/>
    <x v="0"/>
    <x v="0"/>
    <n v="351.56"/>
    <n v="86557"/>
    <n v="8631.2800000000007"/>
    <n v="69.53"/>
  </r>
  <r>
    <s v="F029"/>
    <x v="4"/>
    <x v="3"/>
    <x v="2"/>
    <x v="0"/>
    <n v="1743.41"/>
    <n v="12262"/>
    <n v="7106.18"/>
    <n v="45.69"/>
  </r>
  <r>
    <s v="F097"/>
    <x v="1"/>
    <x v="3"/>
    <x v="0"/>
    <x v="2"/>
    <n v="4857.8723879999998"/>
    <n v="69100"/>
    <n v="9356.02"/>
    <n v="16.5"/>
  </r>
  <r>
    <s v="F066"/>
    <x v="4"/>
    <x v="3"/>
    <x v="1"/>
    <x v="2"/>
    <n v="2816.93"/>
    <n v="13543"/>
    <n v="7854.96"/>
    <n v="85.57"/>
  </r>
  <r>
    <s v="F121"/>
    <x v="3"/>
    <x v="1"/>
    <x v="1"/>
    <x v="1"/>
    <n v="2641.98"/>
    <n v="11952"/>
    <n v="4637.74"/>
    <n v="63.78"/>
  </r>
  <r>
    <s v="F014"/>
    <x v="2"/>
    <x v="3"/>
    <x v="1"/>
    <x v="1"/>
    <n v="2924.31"/>
    <n v="17416"/>
    <n v="812.06"/>
    <n v="5.7"/>
  </r>
  <r>
    <s v="F131"/>
    <x v="4"/>
    <x v="1"/>
    <x v="0"/>
    <x v="1"/>
    <n v="2885.090361"/>
    <n v="43294"/>
    <n v="3802.13"/>
    <n v="45.84"/>
  </r>
  <r>
    <s v="F013"/>
    <x v="2"/>
    <x v="3"/>
    <x v="2"/>
    <x v="2"/>
    <n v="4563.34"/>
    <n v="72813"/>
    <n v="8818.16"/>
    <n v="54.12"/>
  </r>
  <r>
    <s v="F024"/>
    <x v="4"/>
    <x v="0"/>
    <x v="1"/>
    <x v="1"/>
    <n v="3703.75"/>
    <n v="95718"/>
    <n v="2443.12"/>
    <n v="35.49"/>
  </r>
  <r>
    <s v="F192"/>
    <x v="4"/>
    <x v="1"/>
    <x v="2"/>
    <x v="0"/>
    <n v="3328.72"/>
    <n v="21914"/>
    <n v="5897.27"/>
    <n v="49.41"/>
  </r>
  <r>
    <s v="F151"/>
    <x v="2"/>
    <x v="2"/>
    <x v="2"/>
    <x v="0"/>
    <n v="4650.1400000000003"/>
    <n v="81057"/>
    <n v="675.41"/>
    <n v="55.44"/>
  </r>
  <r>
    <s v="F106"/>
    <x v="3"/>
    <x v="0"/>
    <x v="0"/>
    <x v="0"/>
    <n v="1410.901711"/>
    <n v="98682"/>
    <n v="6220.56"/>
    <n v="70.099999999999994"/>
  </r>
  <r>
    <s v="F016"/>
    <x v="2"/>
    <x v="1"/>
    <x v="1"/>
    <x v="0"/>
    <n v="802.15"/>
    <n v="93409"/>
    <n v="2375.83"/>
    <n v="5.83"/>
  </r>
  <r>
    <s v="F179"/>
    <x v="1"/>
    <x v="3"/>
    <x v="1"/>
    <x v="1"/>
    <n v="3338.5"/>
    <n v="84524"/>
    <n v="9350.11"/>
    <n v="27.53"/>
  </r>
  <r>
    <s v="F192"/>
    <x v="4"/>
    <x v="2"/>
    <x v="2"/>
    <x v="2"/>
    <n v="1108.8800000000001"/>
    <n v="21914"/>
    <n v="5897.27"/>
    <n v="49.41"/>
  </r>
  <r>
    <s v="F136"/>
    <x v="1"/>
    <x v="1"/>
    <x v="1"/>
    <x v="2"/>
    <n v="350.22"/>
    <n v="43346"/>
    <n v="5559.12"/>
    <n v="39.4"/>
  </r>
  <r>
    <s v="F110"/>
    <x v="4"/>
    <x v="1"/>
    <x v="1"/>
    <x v="1"/>
    <n v="1884.68"/>
    <n v="85868"/>
    <n v="907.72"/>
    <n v="90.36"/>
  </r>
  <r>
    <s v="F055"/>
    <x v="2"/>
    <x v="1"/>
    <x v="0"/>
    <x v="0"/>
    <n v="2634.7603020000001"/>
    <n v="41050"/>
    <n v="6025.84"/>
    <n v="53.53"/>
  </r>
  <r>
    <s v="F004"/>
    <x v="0"/>
    <x v="1"/>
    <x v="1"/>
    <x v="0"/>
    <n v="1677.52"/>
    <n v="83923"/>
    <n v="8768.7999999999993"/>
    <n v="65.290000000000006"/>
  </r>
  <r>
    <s v="F059"/>
    <x v="2"/>
    <x v="0"/>
    <x v="2"/>
    <x v="0"/>
    <n v="2395.0100000000002"/>
    <n v="30934"/>
    <n v="4175.6499999999996"/>
    <n v="77.290000000000006"/>
  </r>
  <r>
    <s v="F118"/>
    <x v="0"/>
    <x v="2"/>
    <x v="0"/>
    <x v="1"/>
    <n v="2603.0123579999999"/>
    <n v="14170"/>
    <n v="5455.23"/>
    <n v="25.46"/>
  </r>
  <r>
    <s v="F027"/>
    <x v="4"/>
    <x v="1"/>
    <x v="0"/>
    <x v="1"/>
    <n v="1656.443522"/>
    <n v="51800"/>
    <n v="3042.95"/>
    <n v="71.87"/>
  </r>
  <r>
    <s v="F061"/>
    <x v="1"/>
    <x v="2"/>
    <x v="0"/>
    <x v="0"/>
    <n v="274.58999999999997"/>
    <n v="21386"/>
    <n v="2271.92"/>
    <n v="49.67"/>
  </r>
  <r>
    <s v="F159"/>
    <x v="0"/>
    <x v="0"/>
    <x v="0"/>
    <x v="0"/>
    <n v="1298.2818199999999"/>
    <n v="72224"/>
    <n v="1613.32"/>
    <n v="39.21"/>
  </r>
  <r>
    <s v="F070"/>
    <x v="2"/>
    <x v="3"/>
    <x v="2"/>
    <x v="1"/>
    <n v="814.66"/>
    <n v="15128"/>
    <n v="8847.09"/>
    <n v="5.25"/>
  </r>
  <r>
    <s v="F023"/>
    <x v="1"/>
    <x v="2"/>
    <x v="1"/>
    <x v="0"/>
    <n v="4037.11"/>
    <n v="47484"/>
    <n v="3396.39"/>
    <n v="19.510000000000002"/>
  </r>
  <r>
    <s v="F125"/>
    <x v="1"/>
    <x v="2"/>
    <x v="0"/>
    <x v="1"/>
    <n v="1604.8106110000001"/>
    <n v="82332"/>
    <n v="7134.86"/>
    <n v="22.44"/>
  </r>
  <r>
    <s v="F182"/>
    <x v="3"/>
    <x v="2"/>
    <x v="1"/>
    <x v="2"/>
    <n v="2667.56"/>
    <n v="41027"/>
    <n v="7285.85"/>
    <n v="59.87"/>
  </r>
  <r>
    <s v="F173"/>
    <x v="1"/>
    <x v="1"/>
    <x v="1"/>
    <x v="0"/>
    <n v="1194.52"/>
    <n v="38181"/>
    <n v="691.84"/>
    <n v="33.53"/>
  </r>
  <r>
    <s v="F147"/>
    <x v="1"/>
    <x v="0"/>
    <x v="2"/>
    <x v="0"/>
    <n v="4059.51"/>
    <n v="13333"/>
    <n v="6102.15"/>
    <n v="17.670000000000002"/>
  </r>
  <r>
    <s v="F110"/>
    <x v="4"/>
    <x v="2"/>
    <x v="1"/>
    <x v="1"/>
    <n v="1051.4000000000001"/>
    <n v="85868"/>
    <n v="907.72"/>
    <n v="90.36"/>
  </r>
  <r>
    <s v="F097"/>
    <x v="1"/>
    <x v="1"/>
    <x v="0"/>
    <x v="2"/>
    <n v="1810.544091"/>
    <n v="69100"/>
    <n v="9356.02"/>
    <n v="16.5"/>
  </r>
  <r>
    <s v="F106"/>
    <x v="3"/>
    <x v="3"/>
    <x v="1"/>
    <x v="2"/>
    <n v="2916.42"/>
    <n v="98682"/>
    <n v="6220.56"/>
    <n v="70.099999999999994"/>
  </r>
  <r>
    <s v="F087"/>
    <x v="4"/>
    <x v="3"/>
    <x v="2"/>
    <x v="1"/>
    <n v="3852.61"/>
    <n v="44164"/>
    <n v="3869.32"/>
    <n v="13.81"/>
  </r>
  <r>
    <s v="F113"/>
    <x v="3"/>
    <x v="3"/>
    <x v="2"/>
    <x v="0"/>
    <n v="4795.1400000000003"/>
    <n v="69636"/>
    <n v="4246.55"/>
    <n v="69.290000000000006"/>
  </r>
  <r>
    <s v="F147"/>
    <x v="1"/>
    <x v="2"/>
    <x v="2"/>
    <x v="1"/>
    <n v="1445.25"/>
    <n v="13333"/>
    <n v="6102.15"/>
    <n v="17.670000000000002"/>
  </r>
  <r>
    <s v="F071"/>
    <x v="4"/>
    <x v="1"/>
    <x v="2"/>
    <x v="1"/>
    <n v="869.01"/>
    <n v="26378"/>
    <n v="2915.44"/>
    <n v="29.84"/>
  </r>
  <r>
    <s v="F058"/>
    <x v="1"/>
    <x v="2"/>
    <x v="2"/>
    <x v="1"/>
    <n v="4077.29"/>
    <n v="66398"/>
    <n v="8713.61"/>
    <n v="83.44"/>
  </r>
  <r>
    <s v="F092"/>
    <x v="4"/>
    <x v="0"/>
    <x v="1"/>
    <x v="0"/>
    <n v="2770.18"/>
    <n v="79495"/>
    <n v="7157.48"/>
    <n v="26.84"/>
  </r>
  <r>
    <s v="F009"/>
    <x v="0"/>
    <x v="3"/>
    <x v="0"/>
    <x v="0"/>
    <n v="2004.6969160000001"/>
    <n v="45644"/>
    <n v="7724.73"/>
    <n v="31"/>
  </r>
  <r>
    <s v="F147"/>
    <x v="1"/>
    <x v="3"/>
    <x v="2"/>
    <x v="1"/>
    <n v="4717.47"/>
    <n v="13333"/>
    <n v="6102.15"/>
    <n v="17.670000000000002"/>
  </r>
  <r>
    <s v="F099"/>
    <x v="3"/>
    <x v="1"/>
    <x v="0"/>
    <x v="0"/>
    <n v="1392.4758690000001"/>
    <n v="17162"/>
    <n v="5079.95"/>
    <n v="19.239999999999998"/>
  </r>
  <r>
    <s v="F169"/>
    <x v="2"/>
    <x v="2"/>
    <x v="0"/>
    <x v="1"/>
    <n v="2563.3257619999999"/>
    <n v="44994"/>
    <n v="7305.59"/>
    <n v="91.53"/>
  </r>
  <r>
    <s v="F125"/>
    <x v="1"/>
    <x v="3"/>
    <x v="0"/>
    <x v="1"/>
    <n v="503.85614070000003"/>
    <n v="82332"/>
    <n v="7134.86"/>
    <n v="22.44"/>
  </r>
  <r>
    <s v="F113"/>
    <x v="3"/>
    <x v="0"/>
    <x v="2"/>
    <x v="2"/>
    <n v="897.2"/>
    <n v="69636"/>
    <n v="4246.55"/>
    <n v="69.290000000000006"/>
  </r>
  <r>
    <s v="F192"/>
    <x v="4"/>
    <x v="2"/>
    <x v="1"/>
    <x v="1"/>
    <n v="2988.56"/>
    <n v="21914"/>
    <n v="5897.27"/>
    <n v="49.41"/>
  </r>
  <r>
    <s v="F135"/>
    <x v="3"/>
    <x v="3"/>
    <x v="0"/>
    <x v="1"/>
    <n v="1067.2256460000001"/>
    <n v="56531"/>
    <n v="8958.07"/>
    <n v="83.44"/>
  </r>
  <r>
    <s v="F014"/>
    <x v="2"/>
    <x v="3"/>
    <x v="0"/>
    <x v="0"/>
    <n v="2128.8839579999999"/>
    <n v="17416"/>
    <n v="812.06"/>
    <n v="5.7"/>
  </r>
  <r>
    <s v="F083"/>
    <x v="2"/>
    <x v="1"/>
    <x v="2"/>
    <x v="1"/>
    <n v="569.36"/>
    <n v="94704"/>
    <n v="6632.95"/>
    <n v="14.76"/>
  </r>
  <r>
    <s v="F010"/>
    <x v="0"/>
    <x v="0"/>
    <x v="1"/>
    <x v="1"/>
    <n v="2763.46"/>
    <n v="32991"/>
    <n v="8540.14"/>
    <n v="37.75"/>
  </r>
  <r>
    <s v="F026"/>
    <x v="2"/>
    <x v="1"/>
    <x v="0"/>
    <x v="0"/>
    <n v="889.01334210000005"/>
    <n v="32246"/>
    <n v="7903.93"/>
    <n v="42.12"/>
  </r>
  <r>
    <s v="F114"/>
    <x v="1"/>
    <x v="3"/>
    <x v="0"/>
    <x v="2"/>
    <n v="565.20370019999996"/>
    <n v="57353"/>
    <n v="2274.71"/>
    <n v="65.34"/>
  </r>
  <r>
    <s v="F159"/>
    <x v="0"/>
    <x v="3"/>
    <x v="2"/>
    <x v="1"/>
    <n v="4475.2700000000004"/>
    <n v="72224"/>
    <n v="1613.32"/>
    <n v="39.21"/>
  </r>
  <r>
    <s v="F147"/>
    <x v="1"/>
    <x v="1"/>
    <x v="1"/>
    <x v="0"/>
    <n v="3884.64"/>
    <n v="13333"/>
    <n v="6102.15"/>
    <n v="17.670000000000002"/>
  </r>
  <r>
    <s v="F159"/>
    <x v="0"/>
    <x v="3"/>
    <x v="0"/>
    <x v="1"/>
    <n v="1548.146784"/>
    <n v="72224"/>
    <n v="1613.32"/>
    <n v="39.21"/>
  </r>
  <r>
    <s v="F119"/>
    <x v="2"/>
    <x v="2"/>
    <x v="1"/>
    <x v="0"/>
    <n v="1310.02"/>
    <n v="22525"/>
    <n v="9465.65"/>
    <n v="37.79"/>
  </r>
  <r>
    <s v="F080"/>
    <x v="3"/>
    <x v="1"/>
    <x v="1"/>
    <x v="2"/>
    <n v="1833.43"/>
    <n v="10250"/>
    <n v="4717"/>
    <n v="16.600000000000001"/>
  </r>
  <r>
    <s v="F075"/>
    <x v="3"/>
    <x v="1"/>
    <x v="1"/>
    <x v="1"/>
    <n v="1039.8399999999999"/>
    <n v="60513"/>
    <n v="4578.16"/>
    <n v="65.53"/>
  </r>
  <r>
    <s v="F064"/>
    <x v="1"/>
    <x v="1"/>
    <x v="2"/>
    <x v="1"/>
    <n v="3297.47"/>
    <n v="70481"/>
    <n v="4452.83"/>
    <n v="91.26"/>
  </r>
  <r>
    <s v="F012"/>
    <x v="3"/>
    <x v="1"/>
    <x v="1"/>
    <x v="0"/>
    <n v="3091.2"/>
    <n v="43747"/>
    <n v="3453.48"/>
    <n v="98.78"/>
  </r>
  <r>
    <s v="F035"/>
    <x v="4"/>
    <x v="3"/>
    <x v="2"/>
    <x v="1"/>
    <n v="301.86"/>
    <n v="24913"/>
    <n v="5727.27"/>
    <n v="78.849999999999994"/>
  </r>
  <r>
    <s v="F112"/>
    <x v="4"/>
    <x v="2"/>
    <x v="1"/>
    <x v="2"/>
    <n v="4171.41"/>
    <n v="88188"/>
    <n v="815.86"/>
    <n v="57.53"/>
  </r>
  <r>
    <s v="F179"/>
    <x v="1"/>
    <x v="3"/>
    <x v="1"/>
    <x v="0"/>
    <n v="4337.95"/>
    <n v="84524"/>
    <n v="9350.11"/>
    <n v="27.53"/>
  </r>
  <r>
    <s v="F171"/>
    <x v="4"/>
    <x v="3"/>
    <x v="0"/>
    <x v="2"/>
    <n v="3830.1000909999998"/>
    <n v="98356"/>
    <n v="6968.69"/>
    <n v="81.72"/>
  </r>
  <r>
    <s v="F022"/>
    <x v="4"/>
    <x v="0"/>
    <x v="2"/>
    <x v="2"/>
    <n v="3808.17"/>
    <n v="20207"/>
    <n v="5369.46"/>
    <n v="57.51"/>
  </r>
  <r>
    <s v="F090"/>
    <x v="2"/>
    <x v="0"/>
    <x v="1"/>
    <x v="0"/>
    <n v="3167.4"/>
    <n v="29895"/>
    <n v="1631.08"/>
    <n v="39.93"/>
  </r>
  <r>
    <s v="F139"/>
    <x v="0"/>
    <x v="1"/>
    <x v="0"/>
    <x v="1"/>
    <n v="742.10983380000005"/>
    <n v="80904"/>
    <n v="3263.09"/>
    <n v="58.37"/>
  </r>
  <r>
    <s v="F043"/>
    <x v="0"/>
    <x v="3"/>
    <x v="1"/>
    <x v="1"/>
    <n v="4632.6400000000003"/>
    <n v="14009"/>
    <n v="7528.98"/>
    <n v="77.62"/>
  </r>
  <r>
    <s v="F158"/>
    <x v="3"/>
    <x v="1"/>
    <x v="1"/>
    <x v="0"/>
    <n v="1268.8"/>
    <n v="61157"/>
    <n v="7331.54"/>
    <n v="55.52"/>
  </r>
  <r>
    <s v="F171"/>
    <x v="4"/>
    <x v="0"/>
    <x v="2"/>
    <x v="1"/>
    <n v="3546.58"/>
    <n v="98356"/>
    <n v="6968.69"/>
    <n v="81.72"/>
  </r>
  <r>
    <s v="F153"/>
    <x v="3"/>
    <x v="2"/>
    <x v="2"/>
    <x v="0"/>
    <n v="1609.6"/>
    <n v="95306"/>
    <n v="9037.76"/>
    <n v="13.35"/>
  </r>
  <r>
    <s v="F040"/>
    <x v="0"/>
    <x v="3"/>
    <x v="0"/>
    <x v="1"/>
    <n v="3630.7097180000001"/>
    <n v="52357"/>
    <n v="5643.16"/>
    <n v="37.130000000000003"/>
  </r>
  <r>
    <s v="F098"/>
    <x v="4"/>
    <x v="3"/>
    <x v="1"/>
    <x v="0"/>
    <n v="999.48"/>
    <n v="28704"/>
    <n v="6009.24"/>
    <n v="39.31"/>
  </r>
  <r>
    <s v="F014"/>
    <x v="2"/>
    <x v="1"/>
    <x v="1"/>
    <x v="1"/>
    <n v="4553.04"/>
    <n v="17416"/>
    <n v="812.06"/>
    <n v="5.7"/>
  </r>
  <r>
    <s v="F028"/>
    <x v="4"/>
    <x v="0"/>
    <x v="0"/>
    <x v="2"/>
    <n v="1345.95"/>
    <n v="73977"/>
    <n v="1646.75"/>
    <n v="43.77"/>
  </r>
  <r>
    <s v="F161"/>
    <x v="2"/>
    <x v="3"/>
    <x v="2"/>
    <x v="0"/>
    <n v="1432.5"/>
    <n v="36171"/>
    <n v="6864.38"/>
    <n v="37.03"/>
  </r>
  <r>
    <s v="F190"/>
    <x v="0"/>
    <x v="3"/>
    <x v="2"/>
    <x v="0"/>
    <n v="2537.5"/>
    <n v="70582"/>
    <n v="7517.59"/>
    <n v="95.71"/>
  </r>
  <r>
    <s v="F020"/>
    <x v="2"/>
    <x v="1"/>
    <x v="1"/>
    <x v="0"/>
    <n v="4832.05"/>
    <n v="95165"/>
    <n v="8562.76"/>
    <n v="37.54"/>
  </r>
  <r>
    <s v="F011"/>
    <x v="4"/>
    <x v="1"/>
    <x v="1"/>
    <x v="0"/>
    <n v="3935.58"/>
    <n v="72846"/>
    <n v="5169.53"/>
    <n v="76.709999999999994"/>
  </r>
  <r>
    <s v="F040"/>
    <x v="0"/>
    <x v="1"/>
    <x v="0"/>
    <x v="2"/>
    <n v="3258.2856310000002"/>
    <n v="52357"/>
    <n v="5643.16"/>
    <n v="37.130000000000003"/>
  </r>
  <r>
    <s v="F052"/>
    <x v="3"/>
    <x v="3"/>
    <x v="1"/>
    <x v="1"/>
    <n v="1512.13"/>
    <n v="66163"/>
    <n v="1416.57"/>
    <n v="68.73"/>
  </r>
  <r>
    <s v="F060"/>
    <x v="4"/>
    <x v="1"/>
    <x v="1"/>
    <x v="0"/>
    <n v="245.71"/>
    <n v="41539"/>
    <n v="982.8"/>
    <n v="79.7"/>
  </r>
  <r>
    <s v="F104"/>
    <x v="4"/>
    <x v="0"/>
    <x v="1"/>
    <x v="2"/>
    <n v="3387.13"/>
    <n v="84851"/>
    <n v="560.75"/>
    <n v="80.23"/>
  </r>
  <r>
    <s v="F186"/>
    <x v="4"/>
    <x v="0"/>
    <x v="2"/>
    <x v="1"/>
    <n v="1014.2"/>
    <n v="61942"/>
    <n v="4891.32"/>
    <n v="91.59"/>
  </r>
  <r>
    <s v="F161"/>
    <x v="2"/>
    <x v="1"/>
    <x v="2"/>
    <x v="0"/>
    <n v="269.87"/>
    <n v="36171"/>
    <n v="6864.38"/>
    <n v="37.03"/>
  </r>
  <r>
    <s v="F157"/>
    <x v="0"/>
    <x v="1"/>
    <x v="1"/>
    <x v="0"/>
    <n v="2444.67"/>
    <n v="15788"/>
    <n v="1824.14"/>
    <n v="52.78"/>
  </r>
  <r>
    <s v="F087"/>
    <x v="4"/>
    <x v="2"/>
    <x v="1"/>
    <x v="0"/>
    <n v="1734.64"/>
    <n v="44164"/>
    <n v="3869.32"/>
    <n v="13.81"/>
  </r>
  <r>
    <s v="F086"/>
    <x v="4"/>
    <x v="3"/>
    <x v="1"/>
    <x v="0"/>
    <n v="4948.8500000000004"/>
    <n v="55974"/>
    <n v="7542.28"/>
    <n v="72.430000000000007"/>
  </r>
  <r>
    <s v="F146"/>
    <x v="2"/>
    <x v="0"/>
    <x v="0"/>
    <x v="1"/>
    <n v="2924.7805619999999"/>
    <n v="99115"/>
    <n v="827.26"/>
    <n v="28.88"/>
  </r>
  <r>
    <s v="F168"/>
    <x v="2"/>
    <x v="0"/>
    <x v="1"/>
    <x v="0"/>
    <n v="1898.32"/>
    <n v="24095"/>
    <n v="3167.52"/>
    <n v="31.02"/>
  </r>
  <r>
    <s v="F137"/>
    <x v="0"/>
    <x v="1"/>
    <x v="2"/>
    <x v="1"/>
    <n v="1296.76"/>
    <n v="10933"/>
    <n v="9004.3700000000008"/>
    <n v="26.84"/>
  </r>
  <r>
    <s v="F084"/>
    <x v="3"/>
    <x v="2"/>
    <x v="1"/>
    <x v="2"/>
    <n v="1414.37"/>
    <n v="54136"/>
    <n v="2775.38"/>
    <n v="75.459999999999994"/>
  </r>
  <r>
    <s v="F199"/>
    <x v="0"/>
    <x v="3"/>
    <x v="0"/>
    <x v="1"/>
    <n v="4136.0716000000002"/>
    <n v="89321"/>
    <n v="9836.34"/>
    <n v="16.989999999999998"/>
  </r>
  <r>
    <s v="F068"/>
    <x v="0"/>
    <x v="2"/>
    <x v="2"/>
    <x v="2"/>
    <n v="3952.36"/>
    <n v="44825"/>
    <n v="6023.03"/>
    <n v="27.2"/>
  </r>
  <r>
    <s v="F147"/>
    <x v="1"/>
    <x v="3"/>
    <x v="1"/>
    <x v="0"/>
    <n v="4563.3599999999997"/>
    <n v="13333"/>
    <n v="6102.15"/>
    <n v="17.670000000000002"/>
  </r>
  <r>
    <s v="F017"/>
    <x v="2"/>
    <x v="2"/>
    <x v="0"/>
    <x v="1"/>
    <n v="2084.5673750000001"/>
    <n v="71747"/>
    <n v="9838.66"/>
    <n v="7.25"/>
  </r>
  <r>
    <s v="F165"/>
    <x v="4"/>
    <x v="3"/>
    <x v="1"/>
    <x v="0"/>
    <n v="4081.51"/>
    <n v="79330"/>
    <n v="6075.23"/>
    <n v="83.97"/>
  </r>
  <r>
    <s v="F029"/>
    <x v="4"/>
    <x v="1"/>
    <x v="2"/>
    <x v="1"/>
    <n v="4483.63"/>
    <n v="12262"/>
    <n v="7106.18"/>
    <n v="45.69"/>
  </r>
  <r>
    <s v="F135"/>
    <x v="3"/>
    <x v="3"/>
    <x v="1"/>
    <x v="2"/>
    <n v="3368.54"/>
    <n v="56531"/>
    <n v="8958.07"/>
    <n v="83.44"/>
  </r>
  <r>
    <s v="F067"/>
    <x v="1"/>
    <x v="1"/>
    <x v="1"/>
    <x v="2"/>
    <n v="82.35"/>
    <n v="28400"/>
    <n v="3056.67"/>
    <n v="52.68"/>
  </r>
  <r>
    <s v="F170"/>
    <x v="2"/>
    <x v="3"/>
    <x v="2"/>
    <x v="1"/>
    <n v="4175.62"/>
    <n v="24502"/>
    <n v="7466.86"/>
    <n v="88.83"/>
  </r>
  <r>
    <s v="F174"/>
    <x v="3"/>
    <x v="3"/>
    <x v="1"/>
    <x v="0"/>
    <n v="1796.14"/>
    <n v="95962"/>
    <n v="524.72"/>
    <n v="49.55"/>
  </r>
  <r>
    <s v="F126"/>
    <x v="2"/>
    <x v="3"/>
    <x v="2"/>
    <x v="1"/>
    <n v="3373.26"/>
    <n v="75508"/>
    <n v="6856.22"/>
    <n v="18.2"/>
  </r>
  <r>
    <s v="F068"/>
    <x v="0"/>
    <x v="1"/>
    <x v="1"/>
    <x v="2"/>
    <n v="3051.55"/>
    <n v="44825"/>
    <n v="6023.03"/>
    <n v="27.2"/>
  </r>
  <r>
    <s v="F099"/>
    <x v="3"/>
    <x v="0"/>
    <x v="2"/>
    <x v="1"/>
    <n v="3770.37"/>
    <n v="17162"/>
    <n v="5079.95"/>
    <n v="19.239999999999998"/>
  </r>
  <r>
    <s v="F171"/>
    <x v="4"/>
    <x v="3"/>
    <x v="2"/>
    <x v="1"/>
    <n v="3887.64"/>
    <n v="98356"/>
    <n v="6968.69"/>
    <n v="81.72"/>
  </r>
  <r>
    <s v="F200"/>
    <x v="1"/>
    <x v="0"/>
    <x v="1"/>
    <x v="0"/>
    <n v="4523.25"/>
    <n v="21081"/>
    <n v="9001.77"/>
    <n v="49.27"/>
  </r>
  <r>
    <s v="F024"/>
    <x v="4"/>
    <x v="2"/>
    <x v="2"/>
    <x v="1"/>
    <n v="4229.33"/>
    <n v="95718"/>
    <n v="2443.12"/>
    <n v="35.49"/>
  </r>
  <r>
    <s v="F105"/>
    <x v="0"/>
    <x v="2"/>
    <x v="1"/>
    <x v="2"/>
    <n v="1909.18"/>
    <n v="27028"/>
    <n v="4617.92"/>
    <n v="57.62"/>
  </r>
  <r>
    <s v="F142"/>
    <x v="0"/>
    <x v="1"/>
    <x v="1"/>
    <x v="2"/>
    <n v="1689.24"/>
    <n v="68278"/>
    <n v="3272.65"/>
    <n v="30.47"/>
  </r>
  <r>
    <s v="F037"/>
    <x v="3"/>
    <x v="1"/>
    <x v="1"/>
    <x v="2"/>
    <n v="1270.1199999999999"/>
    <n v="97337"/>
    <n v="3362.06"/>
    <n v="55.46"/>
  </r>
  <r>
    <s v="F077"/>
    <x v="4"/>
    <x v="0"/>
    <x v="0"/>
    <x v="1"/>
    <n v="1816.03"/>
    <n v="52836"/>
    <n v="9330.2999999999993"/>
    <n v="87.27"/>
  </r>
  <r>
    <s v="F169"/>
    <x v="2"/>
    <x v="3"/>
    <x v="1"/>
    <x v="1"/>
    <n v="1943.87"/>
    <n v="44994"/>
    <n v="7305.59"/>
    <n v="91.53"/>
  </r>
  <r>
    <s v="F195"/>
    <x v="1"/>
    <x v="0"/>
    <x v="2"/>
    <x v="1"/>
    <n v="2832.16"/>
    <n v="87012"/>
    <n v="7478.13"/>
    <n v="27.22"/>
  </r>
  <r>
    <s v="F179"/>
    <x v="1"/>
    <x v="1"/>
    <x v="2"/>
    <x v="0"/>
    <n v="4684.57"/>
    <n v="84524"/>
    <n v="9350.11"/>
    <n v="27.53"/>
  </r>
  <r>
    <s v="F153"/>
    <x v="3"/>
    <x v="0"/>
    <x v="0"/>
    <x v="0"/>
    <n v="785.4165941"/>
    <n v="95306"/>
    <n v="9037.76"/>
    <n v="13.35"/>
  </r>
  <r>
    <s v="F050"/>
    <x v="0"/>
    <x v="0"/>
    <x v="0"/>
    <x v="2"/>
    <n v="828.30804790000002"/>
    <n v="10067"/>
    <n v="1953.33"/>
    <n v="25.15"/>
  </r>
  <r>
    <s v="F179"/>
    <x v="1"/>
    <x v="0"/>
    <x v="1"/>
    <x v="0"/>
    <n v="4960.6099999999997"/>
    <n v="84524"/>
    <n v="9350.11"/>
    <n v="27.53"/>
  </r>
  <r>
    <s v="F076"/>
    <x v="2"/>
    <x v="1"/>
    <x v="2"/>
    <x v="0"/>
    <n v="4377.79"/>
    <n v="41953"/>
    <n v="2379.14"/>
    <n v="65.67"/>
  </r>
  <r>
    <s v="F022"/>
    <x v="4"/>
    <x v="1"/>
    <x v="0"/>
    <x v="1"/>
    <n v="2535.300616"/>
    <n v="20207"/>
    <n v="5369.46"/>
    <n v="57.51"/>
  </r>
  <r>
    <s v="F063"/>
    <x v="4"/>
    <x v="2"/>
    <x v="1"/>
    <x v="0"/>
    <n v="2251.6"/>
    <n v="45519"/>
    <n v="7987.69"/>
    <n v="10.86"/>
  </r>
  <r>
    <s v="F004"/>
    <x v="0"/>
    <x v="0"/>
    <x v="0"/>
    <x v="2"/>
    <n v="733.12507359999995"/>
    <n v="83923"/>
    <n v="8768.7999999999993"/>
    <n v="65.290000000000006"/>
  </r>
  <r>
    <s v="F189"/>
    <x v="0"/>
    <x v="0"/>
    <x v="2"/>
    <x v="1"/>
    <n v="1054.48"/>
    <n v="67820"/>
    <n v="8177.95"/>
    <n v="40.69"/>
  </r>
  <r>
    <s v="F175"/>
    <x v="3"/>
    <x v="1"/>
    <x v="1"/>
    <x v="1"/>
    <n v="4429.91"/>
    <n v="94949"/>
    <n v="9714.76"/>
    <n v="64.900000000000006"/>
  </r>
  <r>
    <s v="F104"/>
    <x v="4"/>
    <x v="2"/>
    <x v="0"/>
    <x v="2"/>
    <n v="3923.1479300000001"/>
    <n v="84851"/>
    <n v="560.75"/>
    <n v="80.23"/>
  </r>
  <r>
    <s v="F062"/>
    <x v="2"/>
    <x v="1"/>
    <x v="0"/>
    <x v="0"/>
    <n v="767.46223359999999"/>
    <n v="19265"/>
    <n v="776.6"/>
    <n v="39.75"/>
  </r>
  <r>
    <s v="F173"/>
    <x v="1"/>
    <x v="3"/>
    <x v="0"/>
    <x v="2"/>
    <n v="592.72258729999999"/>
    <n v="38181"/>
    <n v="691.84"/>
    <n v="33.53"/>
  </r>
  <r>
    <s v="F017"/>
    <x v="2"/>
    <x v="0"/>
    <x v="1"/>
    <x v="0"/>
    <n v="3539.99"/>
    <n v="71747"/>
    <n v="9838.66"/>
    <n v="7.25"/>
  </r>
  <r>
    <s v="F024"/>
    <x v="4"/>
    <x v="0"/>
    <x v="0"/>
    <x v="2"/>
    <n v="2579.1888560000002"/>
    <n v="95718"/>
    <n v="2443.12"/>
    <n v="35.49"/>
  </r>
  <r>
    <s v="F160"/>
    <x v="4"/>
    <x v="3"/>
    <x v="2"/>
    <x v="2"/>
    <n v="4158.7700000000004"/>
    <n v="36423"/>
    <n v="589.96"/>
    <n v="30.9"/>
  </r>
  <r>
    <s v="F165"/>
    <x v="4"/>
    <x v="1"/>
    <x v="0"/>
    <x v="1"/>
    <n v="687.46053629999994"/>
    <n v="79330"/>
    <n v="6075.23"/>
    <n v="83.97"/>
  </r>
  <r>
    <s v="F135"/>
    <x v="3"/>
    <x v="2"/>
    <x v="1"/>
    <x v="2"/>
    <n v="2922.31"/>
    <n v="56531"/>
    <n v="8958.07"/>
    <n v="83.44"/>
  </r>
  <r>
    <s v="F137"/>
    <x v="0"/>
    <x v="3"/>
    <x v="1"/>
    <x v="1"/>
    <n v="584.58000000000004"/>
    <n v="10933"/>
    <n v="9004.3700000000008"/>
    <n v="26.84"/>
  </r>
  <r>
    <s v="F001"/>
    <x v="1"/>
    <x v="1"/>
    <x v="1"/>
    <x v="1"/>
    <n v="87.51"/>
    <n v="54133"/>
    <n v="8543.68"/>
    <n v="24"/>
  </r>
  <r>
    <s v="F183"/>
    <x v="3"/>
    <x v="2"/>
    <x v="1"/>
    <x v="2"/>
    <n v="3948.45"/>
    <n v="29860"/>
    <n v="3956.23"/>
    <n v="57.5"/>
  </r>
  <r>
    <s v="F172"/>
    <x v="4"/>
    <x v="3"/>
    <x v="0"/>
    <x v="1"/>
    <n v="3846.6288559999998"/>
    <n v="98396"/>
    <n v="5174.07"/>
    <n v="63.38"/>
  </r>
  <r>
    <s v="F141"/>
    <x v="1"/>
    <x v="0"/>
    <x v="0"/>
    <x v="2"/>
    <n v="4673.8026419999997"/>
    <n v="58622"/>
    <n v="7795.36"/>
    <n v="59.81"/>
  </r>
  <r>
    <s v="F170"/>
    <x v="2"/>
    <x v="3"/>
    <x v="2"/>
    <x v="2"/>
    <n v="4711.6899999999996"/>
    <n v="24502"/>
    <n v="7466.86"/>
    <n v="88.83"/>
  </r>
  <r>
    <s v="F017"/>
    <x v="2"/>
    <x v="1"/>
    <x v="0"/>
    <x v="1"/>
    <n v="2670.5212799999999"/>
    <n v="71747"/>
    <n v="9838.66"/>
    <n v="7.25"/>
  </r>
  <r>
    <s v="F166"/>
    <x v="3"/>
    <x v="3"/>
    <x v="0"/>
    <x v="1"/>
    <n v="919.40386920000003"/>
    <n v="96474"/>
    <n v="7574.39"/>
    <n v="95.54"/>
  </r>
  <r>
    <s v="F153"/>
    <x v="3"/>
    <x v="2"/>
    <x v="1"/>
    <x v="2"/>
    <n v="4514.75"/>
    <n v="95306"/>
    <n v="9037.76"/>
    <n v="13.35"/>
  </r>
  <r>
    <s v="F161"/>
    <x v="2"/>
    <x v="3"/>
    <x v="0"/>
    <x v="1"/>
    <n v="3766.601905"/>
    <n v="36171"/>
    <n v="6864.38"/>
    <n v="37.03"/>
  </r>
  <r>
    <s v="F130"/>
    <x v="3"/>
    <x v="2"/>
    <x v="2"/>
    <x v="0"/>
    <n v="730.13"/>
    <n v="43227"/>
    <n v="5199.53"/>
    <n v="44.09"/>
  </r>
  <r>
    <s v="F141"/>
    <x v="1"/>
    <x v="1"/>
    <x v="1"/>
    <x v="2"/>
    <n v="2811.95"/>
    <n v="58622"/>
    <n v="7795.36"/>
    <n v="59.81"/>
  </r>
  <r>
    <s v="F017"/>
    <x v="2"/>
    <x v="1"/>
    <x v="0"/>
    <x v="1"/>
    <n v="5044.2036189999999"/>
    <n v="71747"/>
    <n v="9838.66"/>
    <n v="7.25"/>
  </r>
  <r>
    <s v="F190"/>
    <x v="0"/>
    <x v="0"/>
    <x v="2"/>
    <x v="1"/>
    <n v="4074.33"/>
    <n v="70582"/>
    <n v="7517.59"/>
    <n v="95.71"/>
  </r>
  <r>
    <s v="F117"/>
    <x v="2"/>
    <x v="0"/>
    <x v="2"/>
    <x v="1"/>
    <n v="1048.08"/>
    <n v="52594"/>
    <n v="8715.0400000000009"/>
    <n v="90.54"/>
  </r>
  <r>
    <s v="F038"/>
    <x v="4"/>
    <x v="3"/>
    <x v="0"/>
    <x v="1"/>
    <n v="3290.44"/>
    <n v="18341"/>
    <n v="8465.57"/>
    <n v="38.39"/>
  </r>
  <r>
    <s v="F006"/>
    <x v="4"/>
    <x v="1"/>
    <x v="0"/>
    <x v="0"/>
    <n v="1966.43"/>
    <n v="11426"/>
    <n v="4439.5600000000004"/>
    <n v="52.71"/>
  </r>
  <r>
    <s v="F078"/>
    <x v="0"/>
    <x v="0"/>
    <x v="2"/>
    <x v="1"/>
    <n v="2842.86"/>
    <n v="78624"/>
    <n v="2373.27"/>
    <n v="25.07"/>
  </r>
  <r>
    <s v="F003"/>
    <x v="3"/>
    <x v="1"/>
    <x v="1"/>
    <x v="1"/>
    <n v="2556.0500000000002"/>
    <n v="27681"/>
    <n v="928.26"/>
    <n v="44.97"/>
  </r>
  <r>
    <s v="F118"/>
    <x v="0"/>
    <x v="2"/>
    <x v="2"/>
    <x v="1"/>
    <n v="3688.09"/>
    <n v="14170"/>
    <n v="5455.23"/>
    <n v="25.46"/>
  </r>
  <r>
    <s v="F012"/>
    <x v="3"/>
    <x v="0"/>
    <x v="0"/>
    <x v="0"/>
    <n v="3222.3519350000001"/>
    <n v="43747"/>
    <n v="3453.48"/>
    <n v="98.78"/>
  </r>
  <r>
    <s v="F063"/>
    <x v="4"/>
    <x v="2"/>
    <x v="1"/>
    <x v="2"/>
    <n v="475.84"/>
    <n v="45519"/>
    <n v="7987.69"/>
    <n v="10.86"/>
  </r>
  <r>
    <s v="F150"/>
    <x v="4"/>
    <x v="0"/>
    <x v="1"/>
    <x v="1"/>
    <n v="258.93"/>
    <n v="46863"/>
    <n v="6762.98"/>
    <n v="23.45"/>
  </r>
  <r>
    <s v="F028"/>
    <x v="4"/>
    <x v="0"/>
    <x v="0"/>
    <x v="2"/>
    <n v="850.45"/>
    <n v="73977"/>
    <n v="1646.75"/>
    <n v="43.77"/>
  </r>
  <r>
    <s v="F171"/>
    <x v="4"/>
    <x v="3"/>
    <x v="1"/>
    <x v="2"/>
    <n v="1887.87"/>
    <n v="98356"/>
    <n v="6968.69"/>
    <n v="81.72"/>
  </r>
  <r>
    <s v="F082"/>
    <x v="0"/>
    <x v="3"/>
    <x v="2"/>
    <x v="2"/>
    <n v="533.01"/>
    <n v="17468"/>
    <n v="6359.73"/>
    <n v="5.22"/>
  </r>
  <r>
    <s v="F183"/>
    <x v="3"/>
    <x v="0"/>
    <x v="2"/>
    <x v="0"/>
    <n v="572.46"/>
    <n v="29860"/>
    <n v="3956.23"/>
    <n v="57.5"/>
  </r>
  <r>
    <s v="F090"/>
    <x v="2"/>
    <x v="1"/>
    <x v="2"/>
    <x v="2"/>
    <n v="4635.99"/>
    <n v="29895"/>
    <n v="1631.08"/>
    <n v="39.93"/>
  </r>
  <r>
    <s v="F131"/>
    <x v="4"/>
    <x v="3"/>
    <x v="1"/>
    <x v="2"/>
    <n v="4891.97"/>
    <n v="43294"/>
    <n v="3802.13"/>
    <n v="45.84"/>
  </r>
  <r>
    <s v="F200"/>
    <x v="1"/>
    <x v="2"/>
    <x v="2"/>
    <x v="0"/>
    <n v="1184.1400000000001"/>
    <n v="21081"/>
    <n v="9001.77"/>
    <n v="49.27"/>
  </r>
  <r>
    <s v="F028"/>
    <x v="4"/>
    <x v="1"/>
    <x v="1"/>
    <x v="1"/>
    <n v="802.03"/>
    <n v="73977"/>
    <n v="1646.75"/>
    <n v="43.77"/>
  </r>
  <r>
    <s v="F042"/>
    <x v="1"/>
    <x v="1"/>
    <x v="0"/>
    <x v="0"/>
    <n v="2408.4791700000001"/>
    <n v="58111"/>
    <n v="4610.8999999999996"/>
    <n v="21.53"/>
  </r>
  <r>
    <s v="F157"/>
    <x v="0"/>
    <x v="1"/>
    <x v="0"/>
    <x v="1"/>
    <n v="3733.1564819999999"/>
    <n v="15788"/>
    <n v="1824.14"/>
    <n v="52.78"/>
  </r>
  <r>
    <s v="F010"/>
    <x v="0"/>
    <x v="2"/>
    <x v="0"/>
    <x v="2"/>
    <n v="163.45412289999999"/>
    <n v="32991"/>
    <n v="8540.14"/>
    <n v="37.75"/>
  </r>
  <r>
    <s v="F053"/>
    <x v="0"/>
    <x v="2"/>
    <x v="1"/>
    <x v="1"/>
    <n v="106.8"/>
    <n v="56392"/>
    <n v="5703.76"/>
    <n v="23.04"/>
  </r>
  <r>
    <s v="F174"/>
    <x v="3"/>
    <x v="3"/>
    <x v="1"/>
    <x v="1"/>
    <n v="2626.92"/>
    <n v="95962"/>
    <n v="524.72"/>
    <n v="49.55"/>
  </r>
  <r>
    <s v="F139"/>
    <x v="0"/>
    <x v="0"/>
    <x v="1"/>
    <x v="1"/>
    <n v="4932.7299999999996"/>
    <n v="80904"/>
    <n v="3263.09"/>
    <n v="58.37"/>
  </r>
  <r>
    <s v="F123"/>
    <x v="1"/>
    <x v="0"/>
    <x v="2"/>
    <x v="2"/>
    <n v="2097.4"/>
    <n v="58113"/>
    <n v="6382.12"/>
    <n v="56.66"/>
  </r>
  <r>
    <s v="F003"/>
    <x v="3"/>
    <x v="1"/>
    <x v="0"/>
    <x v="1"/>
    <n v="3185.28"/>
    <n v="27681"/>
    <n v="928.26"/>
    <n v="44.97"/>
  </r>
  <r>
    <s v="F148"/>
    <x v="1"/>
    <x v="3"/>
    <x v="1"/>
    <x v="0"/>
    <n v="3081.68"/>
    <n v="47491"/>
    <n v="5781.05"/>
    <n v="92.18"/>
  </r>
  <r>
    <s v="F040"/>
    <x v="0"/>
    <x v="1"/>
    <x v="2"/>
    <x v="1"/>
    <n v="1531.36"/>
    <n v="52357"/>
    <n v="5643.16"/>
    <n v="37.130000000000003"/>
  </r>
  <r>
    <s v="F067"/>
    <x v="1"/>
    <x v="3"/>
    <x v="1"/>
    <x v="0"/>
    <n v="1564.12"/>
    <n v="28400"/>
    <n v="3056.67"/>
    <n v="52.68"/>
  </r>
  <r>
    <s v="F108"/>
    <x v="3"/>
    <x v="2"/>
    <x v="2"/>
    <x v="0"/>
    <n v="3016.94"/>
    <n v="39050"/>
    <n v="5885.73"/>
    <n v="93.04"/>
  </r>
  <r>
    <s v="F012"/>
    <x v="3"/>
    <x v="3"/>
    <x v="0"/>
    <x v="1"/>
    <n v="3853.1870269999999"/>
    <n v="43747"/>
    <n v="3453.48"/>
    <n v="98.78"/>
  </r>
  <r>
    <s v="F170"/>
    <x v="2"/>
    <x v="2"/>
    <x v="2"/>
    <x v="0"/>
    <n v="459.36"/>
    <n v="24502"/>
    <n v="7466.86"/>
    <n v="88.83"/>
  </r>
  <r>
    <s v="F180"/>
    <x v="2"/>
    <x v="2"/>
    <x v="1"/>
    <x v="1"/>
    <n v="2792.22"/>
    <n v="13302"/>
    <n v="821.51"/>
    <n v="69.599999999999994"/>
  </r>
  <r>
    <s v="F100"/>
    <x v="0"/>
    <x v="3"/>
    <x v="2"/>
    <x v="1"/>
    <n v="4129.93"/>
    <n v="90632"/>
    <n v="5292.17"/>
    <n v="78.45"/>
  </r>
  <r>
    <s v="F130"/>
    <x v="3"/>
    <x v="3"/>
    <x v="2"/>
    <x v="1"/>
    <n v="2515.67"/>
    <n v="43227"/>
    <n v="5199.53"/>
    <n v="44.09"/>
  </r>
  <r>
    <s v="F017"/>
    <x v="2"/>
    <x v="1"/>
    <x v="0"/>
    <x v="0"/>
    <n v="1577.952059"/>
    <n v="71747"/>
    <n v="9838.66"/>
    <n v="7.25"/>
  </r>
  <r>
    <s v="F031"/>
    <x v="3"/>
    <x v="1"/>
    <x v="0"/>
    <x v="2"/>
    <n v="4224.2000390000003"/>
    <n v="86263"/>
    <n v="3213.71"/>
    <n v="98.39"/>
  </r>
  <r>
    <s v="F108"/>
    <x v="3"/>
    <x v="2"/>
    <x v="0"/>
    <x v="2"/>
    <n v="4932.401664"/>
    <n v="39050"/>
    <n v="5885.73"/>
    <n v="93.04"/>
  </r>
  <r>
    <s v="F189"/>
    <x v="0"/>
    <x v="1"/>
    <x v="2"/>
    <x v="0"/>
    <n v="1505.22"/>
    <n v="67820"/>
    <n v="8177.95"/>
    <n v="40.69"/>
  </r>
  <r>
    <s v="F009"/>
    <x v="0"/>
    <x v="2"/>
    <x v="0"/>
    <x v="1"/>
    <n v="2186.8441339999999"/>
    <n v="45644"/>
    <n v="7724.73"/>
    <n v="31"/>
  </r>
  <r>
    <s v="F010"/>
    <x v="0"/>
    <x v="1"/>
    <x v="1"/>
    <x v="0"/>
    <n v="1236.5999999999999"/>
    <n v="32991"/>
    <n v="8540.14"/>
    <n v="37.75"/>
  </r>
  <r>
    <s v="F102"/>
    <x v="1"/>
    <x v="3"/>
    <x v="1"/>
    <x v="0"/>
    <n v="950.62"/>
    <n v="82377"/>
    <n v="7974.74"/>
    <n v="9.17"/>
  </r>
  <r>
    <s v="F189"/>
    <x v="0"/>
    <x v="3"/>
    <x v="0"/>
    <x v="0"/>
    <n v="1417.732332"/>
    <n v="67820"/>
    <n v="8177.95"/>
    <n v="40.69"/>
  </r>
  <r>
    <s v="F096"/>
    <x v="0"/>
    <x v="0"/>
    <x v="1"/>
    <x v="0"/>
    <n v="1840.6"/>
    <n v="21388"/>
    <n v="5249.39"/>
    <n v="64.2"/>
  </r>
  <r>
    <s v="F022"/>
    <x v="4"/>
    <x v="3"/>
    <x v="2"/>
    <x v="1"/>
    <n v="136.41"/>
    <n v="20207"/>
    <n v="5369.46"/>
    <n v="57.51"/>
  </r>
  <r>
    <s v="F139"/>
    <x v="0"/>
    <x v="2"/>
    <x v="1"/>
    <x v="2"/>
    <n v="2167.6999999999998"/>
    <n v="80904"/>
    <n v="3263.09"/>
    <n v="58.37"/>
  </r>
  <r>
    <s v="F097"/>
    <x v="1"/>
    <x v="1"/>
    <x v="2"/>
    <x v="2"/>
    <n v="3755.45"/>
    <n v="69100"/>
    <n v="9356.02"/>
    <n v="16.5"/>
  </r>
  <r>
    <s v="F064"/>
    <x v="1"/>
    <x v="1"/>
    <x v="2"/>
    <x v="0"/>
    <n v="1313.84"/>
    <n v="70481"/>
    <n v="4452.83"/>
    <n v="91.26"/>
  </r>
  <r>
    <s v="F155"/>
    <x v="2"/>
    <x v="1"/>
    <x v="0"/>
    <x v="0"/>
    <n v="460.07946659999999"/>
    <n v="75736"/>
    <n v="6287.07"/>
    <n v="63.11"/>
  </r>
  <r>
    <s v="F098"/>
    <x v="4"/>
    <x v="1"/>
    <x v="0"/>
    <x v="2"/>
    <n v="2230.0799240000001"/>
    <n v="28704"/>
    <n v="6009.24"/>
    <n v="39.31"/>
  </r>
  <r>
    <s v="F158"/>
    <x v="3"/>
    <x v="0"/>
    <x v="1"/>
    <x v="2"/>
    <n v="324.83"/>
    <n v="61157"/>
    <n v="7331.54"/>
    <n v="55.52"/>
  </r>
  <r>
    <s v="F119"/>
    <x v="2"/>
    <x v="2"/>
    <x v="0"/>
    <x v="0"/>
    <n v="621.26902540000003"/>
    <n v="22525"/>
    <n v="9465.65"/>
    <n v="37.79"/>
  </r>
  <r>
    <s v="F178"/>
    <x v="3"/>
    <x v="2"/>
    <x v="2"/>
    <x v="0"/>
    <n v="1054.75"/>
    <n v="94861"/>
    <n v="8363.57"/>
    <n v="90.29"/>
  </r>
  <r>
    <s v="F082"/>
    <x v="0"/>
    <x v="1"/>
    <x v="0"/>
    <x v="1"/>
    <n v="5086.7290380000004"/>
    <n v="17468"/>
    <n v="6359.73"/>
    <n v="5.22"/>
  </r>
  <r>
    <s v="F080"/>
    <x v="3"/>
    <x v="2"/>
    <x v="2"/>
    <x v="2"/>
    <n v="733.07"/>
    <n v="10250"/>
    <n v="4717"/>
    <n v="16.600000000000001"/>
  </r>
  <r>
    <s v="F184"/>
    <x v="0"/>
    <x v="1"/>
    <x v="1"/>
    <x v="2"/>
    <n v="4608.12"/>
    <n v="22201"/>
    <n v="2853.66"/>
    <n v="71.94"/>
  </r>
  <r>
    <s v="F134"/>
    <x v="3"/>
    <x v="2"/>
    <x v="2"/>
    <x v="0"/>
    <n v="3092.45"/>
    <n v="16256"/>
    <n v="2127.1799999999998"/>
    <n v="38.94"/>
  </r>
  <r>
    <s v="F024"/>
    <x v="4"/>
    <x v="3"/>
    <x v="1"/>
    <x v="1"/>
    <n v="824.2"/>
    <n v="95718"/>
    <n v="2443.12"/>
    <n v="35.49"/>
  </r>
  <r>
    <s v="F026"/>
    <x v="2"/>
    <x v="0"/>
    <x v="2"/>
    <x v="0"/>
    <n v="1816.62"/>
    <n v="32246"/>
    <n v="7903.93"/>
    <n v="42.12"/>
  </r>
  <r>
    <s v="F155"/>
    <x v="2"/>
    <x v="1"/>
    <x v="0"/>
    <x v="1"/>
    <n v="1750.321625"/>
    <n v="75736"/>
    <n v="6287.07"/>
    <n v="63.11"/>
  </r>
  <r>
    <s v="F043"/>
    <x v="0"/>
    <x v="1"/>
    <x v="0"/>
    <x v="0"/>
    <n v="4387.1743159999996"/>
    <n v="14009"/>
    <n v="7528.98"/>
    <n v="77.62"/>
  </r>
  <r>
    <s v="F179"/>
    <x v="1"/>
    <x v="2"/>
    <x v="2"/>
    <x v="2"/>
    <n v="3959.46"/>
    <n v="84524"/>
    <n v="9350.11"/>
    <n v="27.53"/>
  </r>
  <r>
    <s v="F120"/>
    <x v="4"/>
    <x v="2"/>
    <x v="2"/>
    <x v="2"/>
    <n v="976.87"/>
    <n v="57215"/>
    <n v="3227.1"/>
    <n v="32.909999999999997"/>
  </r>
  <r>
    <s v="F037"/>
    <x v="3"/>
    <x v="0"/>
    <x v="1"/>
    <x v="2"/>
    <n v="836.5"/>
    <n v="97337"/>
    <n v="3362.06"/>
    <n v="55.46"/>
  </r>
  <r>
    <s v="F066"/>
    <x v="4"/>
    <x v="3"/>
    <x v="1"/>
    <x v="1"/>
    <n v="4095.46"/>
    <n v="13543"/>
    <n v="7854.96"/>
    <n v="85.57"/>
  </r>
  <r>
    <s v="F041"/>
    <x v="1"/>
    <x v="2"/>
    <x v="2"/>
    <x v="1"/>
    <n v="3574.84"/>
    <n v="84721"/>
    <n v="2278.9699999999998"/>
    <n v="68.53"/>
  </r>
  <r>
    <s v="F110"/>
    <x v="4"/>
    <x v="3"/>
    <x v="2"/>
    <x v="2"/>
    <n v="4705.34"/>
    <n v="85868"/>
    <n v="907.72"/>
    <n v="90.36"/>
  </r>
  <r>
    <s v="F154"/>
    <x v="0"/>
    <x v="1"/>
    <x v="1"/>
    <x v="2"/>
    <n v="4617.59"/>
    <n v="17097"/>
    <n v="9061.7800000000007"/>
    <n v="95.92"/>
  </r>
  <r>
    <s v="F117"/>
    <x v="2"/>
    <x v="0"/>
    <x v="1"/>
    <x v="0"/>
    <n v="3378.57"/>
    <n v="52594"/>
    <n v="8715.0400000000009"/>
    <n v="90.54"/>
  </r>
  <r>
    <s v="F106"/>
    <x v="3"/>
    <x v="2"/>
    <x v="2"/>
    <x v="0"/>
    <n v="1071.83"/>
    <n v="98682"/>
    <n v="6220.56"/>
    <n v="70.099999999999994"/>
  </r>
  <r>
    <s v="F140"/>
    <x v="4"/>
    <x v="1"/>
    <x v="0"/>
    <x v="2"/>
    <n v="958.6543772"/>
    <n v="94347"/>
    <n v="2272.58"/>
    <n v="34.75"/>
  </r>
  <r>
    <s v="F017"/>
    <x v="2"/>
    <x v="2"/>
    <x v="0"/>
    <x v="2"/>
    <n v="1194.635671"/>
    <n v="71747"/>
    <n v="9838.66"/>
    <n v="7.25"/>
  </r>
  <r>
    <s v="F151"/>
    <x v="2"/>
    <x v="3"/>
    <x v="0"/>
    <x v="2"/>
    <n v="1366.7456500000001"/>
    <n v="81057"/>
    <n v="675.41"/>
    <n v="55.44"/>
  </r>
  <r>
    <s v="F056"/>
    <x v="4"/>
    <x v="2"/>
    <x v="1"/>
    <x v="1"/>
    <n v="1936.56"/>
    <n v="99026"/>
    <n v="5453.2"/>
    <n v="57.49"/>
  </r>
  <r>
    <s v="F065"/>
    <x v="1"/>
    <x v="1"/>
    <x v="0"/>
    <x v="0"/>
    <n v="872.02317370000003"/>
    <n v="91031"/>
    <n v="1783.57"/>
    <n v="32.049999999999997"/>
  </r>
  <r>
    <s v="F026"/>
    <x v="2"/>
    <x v="3"/>
    <x v="2"/>
    <x v="1"/>
    <n v="4730.6899999999996"/>
    <n v="32246"/>
    <n v="7903.93"/>
    <n v="42.12"/>
  </r>
  <r>
    <s v="F036"/>
    <x v="3"/>
    <x v="1"/>
    <x v="0"/>
    <x v="0"/>
    <n v="3135.117119"/>
    <n v="53942"/>
    <n v="5904.31"/>
    <n v="32.78"/>
  </r>
  <r>
    <s v="F076"/>
    <x v="2"/>
    <x v="2"/>
    <x v="0"/>
    <x v="1"/>
    <n v="1288.693927"/>
    <n v="41953"/>
    <n v="2379.14"/>
    <n v="65.67"/>
  </r>
  <r>
    <s v="F172"/>
    <x v="4"/>
    <x v="0"/>
    <x v="1"/>
    <x v="0"/>
    <n v="3302.89"/>
    <n v="98396"/>
    <n v="5174.07"/>
    <n v="63.38"/>
  </r>
  <r>
    <s v="F136"/>
    <x v="1"/>
    <x v="1"/>
    <x v="2"/>
    <x v="1"/>
    <n v="1167.23"/>
    <n v="43346"/>
    <n v="5559.12"/>
    <n v="39.4"/>
  </r>
  <r>
    <s v="F101"/>
    <x v="3"/>
    <x v="3"/>
    <x v="0"/>
    <x v="0"/>
    <n v="1716.9930870000001"/>
    <n v="65719"/>
    <n v="9362.41"/>
    <n v="86.55"/>
  </r>
  <r>
    <s v="F133"/>
    <x v="2"/>
    <x v="1"/>
    <x v="2"/>
    <x v="2"/>
    <n v="2018.44"/>
    <n v="41168"/>
    <n v="8226.77"/>
    <n v="42.55"/>
  </r>
  <r>
    <s v="F174"/>
    <x v="3"/>
    <x v="2"/>
    <x v="0"/>
    <x v="0"/>
    <n v="5025.5408010000001"/>
    <n v="95962"/>
    <n v="524.72"/>
    <n v="49.55"/>
  </r>
  <r>
    <s v="F062"/>
    <x v="2"/>
    <x v="3"/>
    <x v="0"/>
    <x v="1"/>
    <n v="2513.2965159999999"/>
    <n v="19265"/>
    <n v="776.6"/>
    <n v="39.75"/>
  </r>
  <r>
    <s v="F109"/>
    <x v="0"/>
    <x v="0"/>
    <x v="1"/>
    <x v="1"/>
    <n v="2145.48"/>
    <n v="34318"/>
    <n v="675.67"/>
    <n v="41.05"/>
  </r>
  <r>
    <s v="F025"/>
    <x v="4"/>
    <x v="1"/>
    <x v="1"/>
    <x v="0"/>
    <n v="1701.79"/>
    <n v="32131"/>
    <n v="1474.23"/>
    <n v="45.47"/>
  </r>
  <r>
    <s v="F127"/>
    <x v="3"/>
    <x v="3"/>
    <x v="2"/>
    <x v="1"/>
    <n v="1017.33"/>
    <n v="77400"/>
    <n v="7504.8"/>
    <n v="68.819999999999993"/>
  </r>
  <r>
    <s v="F062"/>
    <x v="2"/>
    <x v="0"/>
    <x v="2"/>
    <x v="1"/>
    <n v="4417.58"/>
    <n v="19265"/>
    <n v="776.6"/>
    <n v="39.75"/>
  </r>
  <r>
    <s v="F153"/>
    <x v="3"/>
    <x v="0"/>
    <x v="1"/>
    <x v="0"/>
    <n v="2948.39"/>
    <n v="95306"/>
    <n v="9037.76"/>
    <n v="13.35"/>
  </r>
  <r>
    <s v="F029"/>
    <x v="4"/>
    <x v="2"/>
    <x v="2"/>
    <x v="2"/>
    <n v="2543.38"/>
    <n v="12262"/>
    <n v="7106.18"/>
    <n v="45.69"/>
  </r>
  <r>
    <s v="F038"/>
    <x v="4"/>
    <x v="1"/>
    <x v="0"/>
    <x v="1"/>
    <n v="3031.49"/>
    <n v="18341"/>
    <n v="8465.57"/>
    <n v="38.39"/>
  </r>
  <r>
    <s v="F128"/>
    <x v="2"/>
    <x v="3"/>
    <x v="0"/>
    <x v="1"/>
    <n v="4209.3514340000002"/>
    <n v="68216"/>
    <n v="9562.33"/>
    <n v="63.59"/>
  </r>
  <r>
    <s v="F015"/>
    <x v="4"/>
    <x v="0"/>
    <x v="1"/>
    <x v="2"/>
    <n v="3571.08"/>
    <n v="80488"/>
    <n v="7629.95"/>
    <n v="63.83"/>
  </r>
  <r>
    <s v="F005"/>
    <x v="4"/>
    <x v="0"/>
    <x v="2"/>
    <x v="1"/>
    <n v="887.49"/>
    <n v="61743"/>
    <n v="7426.75"/>
    <n v="26.39"/>
  </r>
  <r>
    <s v="F147"/>
    <x v="1"/>
    <x v="0"/>
    <x v="2"/>
    <x v="0"/>
    <n v="1618.49"/>
    <n v="13333"/>
    <n v="6102.15"/>
    <n v="17.670000000000002"/>
  </r>
  <r>
    <s v="F192"/>
    <x v="4"/>
    <x v="0"/>
    <x v="0"/>
    <x v="0"/>
    <n v="4625.4638729999997"/>
    <n v="21914"/>
    <n v="5897.27"/>
    <n v="49.41"/>
  </r>
  <r>
    <s v="F153"/>
    <x v="3"/>
    <x v="3"/>
    <x v="2"/>
    <x v="0"/>
    <n v="968.64"/>
    <n v="95306"/>
    <n v="9037.76"/>
    <n v="13.35"/>
  </r>
  <r>
    <s v="F095"/>
    <x v="2"/>
    <x v="2"/>
    <x v="0"/>
    <x v="1"/>
    <n v="2182.0643799999998"/>
    <n v="49885"/>
    <n v="6845.46"/>
    <n v="58.4"/>
  </r>
  <r>
    <s v="F054"/>
    <x v="3"/>
    <x v="2"/>
    <x v="0"/>
    <x v="2"/>
    <n v="2401.339125"/>
    <n v="38869"/>
    <n v="5109.76"/>
    <n v="35.270000000000003"/>
  </r>
  <r>
    <s v="F045"/>
    <x v="0"/>
    <x v="3"/>
    <x v="0"/>
    <x v="0"/>
    <n v="1887.9748999999999"/>
    <n v="34725"/>
    <n v="3269.89"/>
    <n v="78.86"/>
  </r>
  <r>
    <s v="F046"/>
    <x v="4"/>
    <x v="3"/>
    <x v="1"/>
    <x v="1"/>
    <n v="1740.85"/>
    <n v="87337"/>
    <n v="3603.06"/>
    <n v="67.13"/>
  </r>
  <r>
    <s v="F176"/>
    <x v="4"/>
    <x v="0"/>
    <x v="0"/>
    <x v="2"/>
    <n v="4524.0168549999999"/>
    <n v="18726"/>
    <n v="5099.54"/>
    <n v="71.05"/>
  </r>
  <r>
    <s v="F175"/>
    <x v="3"/>
    <x v="3"/>
    <x v="0"/>
    <x v="0"/>
    <n v="4975.538391"/>
    <n v="94949"/>
    <n v="9714.76"/>
    <n v="64.900000000000006"/>
  </r>
  <r>
    <s v="F168"/>
    <x v="2"/>
    <x v="1"/>
    <x v="2"/>
    <x v="0"/>
    <n v="1573"/>
    <n v="24095"/>
    <n v="3167.52"/>
    <n v="31.02"/>
  </r>
  <r>
    <s v="F141"/>
    <x v="1"/>
    <x v="3"/>
    <x v="2"/>
    <x v="0"/>
    <n v="1578.72"/>
    <n v="58622"/>
    <n v="7795.36"/>
    <n v="59.81"/>
  </r>
  <r>
    <s v="F196"/>
    <x v="4"/>
    <x v="3"/>
    <x v="0"/>
    <x v="2"/>
    <n v="3818.4985240000001"/>
    <n v="85444"/>
    <n v="852.57"/>
    <n v="72.650000000000006"/>
  </r>
  <r>
    <s v="F197"/>
    <x v="2"/>
    <x v="2"/>
    <x v="2"/>
    <x v="2"/>
    <n v="2731.54"/>
    <n v="59617"/>
    <n v="5000.95"/>
    <n v="80.36"/>
  </r>
  <r>
    <s v="F156"/>
    <x v="2"/>
    <x v="0"/>
    <x v="1"/>
    <x v="2"/>
    <n v="156.84"/>
    <n v="88308"/>
    <n v="7802.07"/>
    <n v="36.130000000000003"/>
  </r>
  <r>
    <s v="F063"/>
    <x v="4"/>
    <x v="2"/>
    <x v="2"/>
    <x v="0"/>
    <n v="300.70999999999998"/>
    <n v="45519"/>
    <n v="7987.69"/>
    <n v="10.86"/>
  </r>
  <r>
    <s v="F162"/>
    <x v="3"/>
    <x v="3"/>
    <x v="2"/>
    <x v="0"/>
    <n v="4929.3599999999997"/>
    <n v="18175"/>
    <n v="8349.49"/>
    <n v="39.97"/>
  </r>
  <r>
    <s v="F184"/>
    <x v="0"/>
    <x v="1"/>
    <x v="0"/>
    <x v="0"/>
    <n v="2623.4664130000001"/>
    <n v="22201"/>
    <n v="2853.66"/>
    <n v="71.94"/>
  </r>
  <r>
    <s v="F144"/>
    <x v="2"/>
    <x v="2"/>
    <x v="0"/>
    <x v="0"/>
    <n v="3247.07"/>
    <n v="16868"/>
    <n v="1378.01"/>
    <n v="47.52"/>
  </r>
  <r>
    <s v="F151"/>
    <x v="2"/>
    <x v="2"/>
    <x v="2"/>
    <x v="2"/>
    <n v="1917.71"/>
    <n v="81057"/>
    <n v="675.41"/>
    <n v="55.44"/>
  </r>
  <r>
    <s v="F159"/>
    <x v="0"/>
    <x v="1"/>
    <x v="2"/>
    <x v="2"/>
    <n v="3841.45"/>
    <n v="72224"/>
    <n v="1613.32"/>
    <n v="39.21"/>
  </r>
  <r>
    <s v="F089"/>
    <x v="4"/>
    <x v="3"/>
    <x v="2"/>
    <x v="0"/>
    <n v="4035.07"/>
    <n v="58895"/>
    <n v="3039.17"/>
    <n v="59.82"/>
  </r>
  <r>
    <s v="F004"/>
    <x v="0"/>
    <x v="3"/>
    <x v="1"/>
    <x v="1"/>
    <n v="3477.6"/>
    <n v="83923"/>
    <n v="8768.7999999999993"/>
    <n v="65.290000000000006"/>
  </r>
  <r>
    <s v="F110"/>
    <x v="4"/>
    <x v="0"/>
    <x v="1"/>
    <x v="2"/>
    <n v="1743.67"/>
    <n v="85868"/>
    <n v="907.72"/>
    <n v="90.36"/>
  </r>
  <r>
    <s v="F124"/>
    <x v="3"/>
    <x v="0"/>
    <x v="0"/>
    <x v="2"/>
    <n v="2351.4377829999999"/>
    <n v="37309"/>
    <n v="4508.54"/>
    <n v="47.15"/>
  </r>
  <r>
    <s v="F105"/>
    <x v="0"/>
    <x v="0"/>
    <x v="1"/>
    <x v="0"/>
    <n v="4335.1400000000003"/>
    <n v="27028"/>
    <n v="4617.92"/>
    <n v="57.62"/>
  </r>
  <r>
    <s v="F197"/>
    <x v="2"/>
    <x v="0"/>
    <x v="2"/>
    <x v="1"/>
    <n v="4697.66"/>
    <n v="59617"/>
    <n v="5000.95"/>
    <n v="80.36"/>
  </r>
  <r>
    <s v="F085"/>
    <x v="4"/>
    <x v="2"/>
    <x v="2"/>
    <x v="1"/>
    <n v="3378.49"/>
    <n v="29264"/>
    <n v="8362.7199999999993"/>
    <n v="61.93"/>
  </r>
  <r>
    <s v="F191"/>
    <x v="0"/>
    <x v="3"/>
    <x v="1"/>
    <x v="0"/>
    <n v="4068.86"/>
    <n v="86557"/>
    <n v="8631.2800000000007"/>
    <n v="69.53"/>
  </r>
  <r>
    <s v="F134"/>
    <x v="3"/>
    <x v="3"/>
    <x v="0"/>
    <x v="0"/>
    <n v="4658.5376130000004"/>
    <n v="16256"/>
    <n v="2127.1799999999998"/>
    <n v="38.94"/>
  </r>
  <r>
    <s v="F126"/>
    <x v="2"/>
    <x v="0"/>
    <x v="0"/>
    <x v="0"/>
    <n v="3516.4541060000001"/>
    <n v="75508"/>
    <n v="6856.22"/>
    <n v="18.2"/>
  </r>
  <r>
    <s v="F044"/>
    <x v="1"/>
    <x v="3"/>
    <x v="0"/>
    <x v="1"/>
    <n v="3133.8255669999999"/>
    <n v="93661"/>
    <n v="7324.58"/>
    <n v="23.55"/>
  </r>
  <r>
    <s v="F025"/>
    <x v="4"/>
    <x v="1"/>
    <x v="2"/>
    <x v="1"/>
    <n v="1951.82"/>
    <n v="32131"/>
    <n v="1474.23"/>
    <n v="45.47"/>
  </r>
  <r>
    <s v="F028"/>
    <x v="4"/>
    <x v="3"/>
    <x v="0"/>
    <x v="0"/>
    <n v="2056.02"/>
    <n v="73977"/>
    <n v="1646.75"/>
    <n v="43.77"/>
  </r>
  <r>
    <s v="F103"/>
    <x v="4"/>
    <x v="2"/>
    <x v="1"/>
    <x v="0"/>
    <n v="377.76"/>
    <n v="22309"/>
    <n v="3656.29"/>
    <n v="75.25"/>
  </r>
  <r>
    <s v="F043"/>
    <x v="0"/>
    <x v="0"/>
    <x v="1"/>
    <x v="2"/>
    <n v="4676.8"/>
    <n v="14009"/>
    <n v="7528.98"/>
    <n v="77.62"/>
  </r>
  <r>
    <s v="F123"/>
    <x v="1"/>
    <x v="2"/>
    <x v="0"/>
    <x v="1"/>
    <n v="3984.4592120000002"/>
    <n v="58113"/>
    <n v="6382.12"/>
    <n v="56.66"/>
  </r>
  <r>
    <s v="F117"/>
    <x v="2"/>
    <x v="1"/>
    <x v="0"/>
    <x v="1"/>
    <n v="1346.6818989999999"/>
    <n v="52594"/>
    <n v="8715.0400000000009"/>
    <n v="90.54"/>
  </r>
  <r>
    <s v="F007"/>
    <x v="4"/>
    <x v="1"/>
    <x v="0"/>
    <x v="2"/>
    <n v="4869.82"/>
    <n v="35506"/>
    <n v="1892.04"/>
    <n v="61.53"/>
  </r>
  <r>
    <s v="F043"/>
    <x v="0"/>
    <x v="3"/>
    <x v="0"/>
    <x v="1"/>
    <n v="2329.0853659999998"/>
    <n v="14009"/>
    <n v="7528.98"/>
    <n v="77.62"/>
  </r>
  <r>
    <s v="F188"/>
    <x v="3"/>
    <x v="0"/>
    <x v="0"/>
    <x v="1"/>
    <n v="4828.6000519999998"/>
    <n v="80824"/>
    <n v="2858.92"/>
    <n v="13.97"/>
  </r>
  <r>
    <s v="F125"/>
    <x v="1"/>
    <x v="0"/>
    <x v="2"/>
    <x v="0"/>
    <n v="3423.67"/>
    <n v="82332"/>
    <n v="7134.86"/>
    <n v="22.44"/>
  </r>
  <r>
    <s v="F123"/>
    <x v="1"/>
    <x v="3"/>
    <x v="1"/>
    <x v="0"/>
    <n v="2957.49"/>
    <n v="58113"/>
    <n v="6382.12"/>
    <n v="56.66"/>
  </r>
  <r>
    <s v="F051"/>
    <x v="4"/>
    <x v="1"/>
    <x v="1"/>
    <x v="1"/>
    <n v="3128.34"/>
    <n v="56752"/>
    <n v="4177.68"/>
    <n v="10.96"/>
  </r>
  <r>
    <s v="F174"/>
    <x v="3"/>
    <x v="3"/>
    <x v="0"/>
    <x v="2"/>
    <n v="4548.0730679999997"/>
    <n v="95962"/>
    <n v="524.72"/>
    <n v="49.55"/>
  </r>
  <r>
    <s v="F010"/>
    <x v="0"/>
    <x v="2"/>
    <x v="1"/>
    <x v="1"/>
    <n v="3929.66"/>
    <n v="32991"/>
    <n v="8540.14"/>
    <n v="37.75"/>
  </r>
  <r>
    <s v="F028"/>
    <x v="4"/>
    <x v="1"/>
    <x v="0"/>
    <x v="0"/>
    <n v="3790.62"/>
    <n v="73977"/>
    <n v="1646.75"/>
    <n v="43.77"/>
  </r>
  <r>
    <s v="F155"/>
    <x v="2"/>
    <x v="1"/>
    <x v="2"/>
    <x v="2"/>
    <n v="4480.07"/>
    <n v="75736"/>
    <n v="6287.07"/>
    <n v="63.11"/>
  </r>
  <r>
    <s v="F103"/>
    <x v="4"/>
    <x v="2"/>
    <x v="2"/>
    <x v="0"/>
    <n v="4123.79"/>
    <n v="22309"/>
    <n v="3656.29"/>
    <n v="75.25"/>
  </r>
  <r>
    <s v="F037"/>
    <x v="3"/>
    <x v="1"/>
    <x v="1"/>
    <x v="0"/>
    <n v="100.8"/>
    <n v="97337"/>
    <n v="3362.06"/>
    <n v="55.46"/>
  </r>
  <r>
    <s v="F082"/>
    <x v="0"/>
    <x v="2"/>
    <x v="2"/>
    <x v="0"/>
    <n v="4783.3999999999996"/>
    <n v="17468"/>
    <n v="6359.73"/>
    <n v="5.22"/>
  </r>
  <r>
    <s v="F167"/>
    <x v="2"/>
    <x v="2"/>
    <x v="0"/>
    <x v="0"/>
    <n v="2568.5214700000001"/>
    <n v="94128"/>
    <n v="8117.82"/>
    <n v="73.83"/>
  </r>
  <r>
    <s v="F008"/>
    <x v="3"/>
    <x v="1"/>
    <x v="2"/>
    <x v="1"/>
    <n v="246.64"/>
    <n v="50306"/>
    <n v="7031.37"/>
    <n v="13.27"/>
  </r>
  <r>
    <s v="F019"/>
    <x v="0"/>
    <x v="0"/>
    <x v="1"/>
    <x v="1"/>
    <n v="498.61"/>
    <n v="68018"/>
    <n v="3523.4"/>
    <n v="92.26"/>
  </r>
  <r>
    <s v="F050"/>
    <x v="0"/>
    <x v="0"/>
    <x v="1"/>
    <x v="0"/>
    <n v="3705.73"/>
    <n v="10067"/>
    <n v="1953.33"/>
    <n v="25.15"/>
  </r>
  <r>
    <s v="F001"/>
    <x v="1"/>
    <x v="2"/>
    <x v="2"/>
    <x v="2"/>
    <n v="470.38"/>
    <n v="54133"/>
    <n v="8543.68"/>
    <n v="24"/>
  </r>
  <r>
    <s v="F132"/>
    <x v="4"/>
    <x v="2"/>
    <x v="2"/>
    <x v="0"/>
    <n v="2355.87"/>
    <n v="76544"/>
    <n v="8632.77"/>
    <n v="12.87"/>
  </r>
  <r>
    <s v="F138"/>
    <x v="0"/>
    <x v="1"/>
    <x v="1"/>
    <x v="0"/>
    <n v="484.51"/>
    <n v="94393"/>
    <n v="6691.7"/>
    <n v="74.790000000000006"/>
  </r>
  <r>
    <s v="F106"/>
    <x v="3"/>
    <x v="2"/>
    <x v="1"/>
    <x v="1"/>
    <n v="3299.33"/>
    <n v="98682"/>
    <n v="6220.56"/>
    <n v="70.099999999999994"/>
  </r>
  <r>
    <s v="F064"/>
    <x v="1"/>
    <x v="3"/>
    <x v="2"/>
    <x v="0"/>
    <n v="3312.29"/>
    <n v="70481"/>
    <n v="4452.83"/>
    <n v="91.26"/>
  </r>
  <r>
    <s v="F071"/>
    <x v="4"/>
    <x v="0"/>
    <x v="2"/>
    <x v="1"/>
    <n v="2017.59"/>
    <n v="26378"/>
    <n v="2915.44"/>
    <n v="29.84"/>
  </r>
  <r>
    <s v="F027"/>
    <x v="4"/>
    <x v="3"/>
    <x v="0"/>
    <x v="0"/>
    <n v="3564.2129300000001"/>
    <n v="51800"/>
    <n v="3042.95"/>
    <n v="71.87"/>
  </r>
  <r>
    <s v="F174"/>
    <x v="3"/>
    <x v="1"/>
    <x v="0"/>
    <x v="2"/>
    <n v="4913.537131"/>
    <n v="95962"/>
    <n v="524.72"/>
    <n v="49.55"/>
  </r>
  <r>
    <s v="F066"/>
    <x v="4"/>
    <x v="3"/>
    <x v="0"/>
    <x v="0"/>
    <n v="1184.85844"/>
    <n v="13543"/>
    <n v="7854.96"/>
    <n v="85.57"/>
  </r>
  <r>
    <s v="F088"/>
    <x v="0"/>
    <x v="3"/>
    <x v="1"/>
    <x v="2"/>
    <n v="3845.16"/>
    <n v="77330"/>
    <n v="6936.58"/>
    <n v="82.3"/>
  </r>
  <r>
    <s v="F173"/>
    <x v="1"/>
    <x v="3"/>
    <x v="2"/>
    <x v="0"/>
    <n v="2288.2800000000002"/>
    <n v="38181"/>
    <n v="691.84"/>
    <n v="33.53"/>
  </r>
  <r>
    <s v="F182"/>
    <x v="3"/>
    <x v="3"/>
    <x v="2"/>
    <x v="1"/>
    <n v="751.28"/>
    <n v="41027"/>
    <n v="7285.85"/>
    <n v="59.87"/>
  </r>
  <r>
    <s v="F116"/>
    <x v="2"/>
    <x v="3"/>
    <x v="2"/>
    <x v="2"/>
    <n v="2159.65"/>
    <n v="48501"/>
    <n v="7209.77"/>
    <n v="92.51"/>
  </r>
  <r>
    <s v="F099"/>
    <x v="3"/>
    <x v="3"/>
    <x v="2"/>
    <x v="1"/>
    <n v="3251.65"/>
    <n v="17162"/>
    <n v="5079.95"/>
    <n v="19.239999999999998"/>
  </r>
  <r>
    <s v="F156"/>
    <x v="2"/>
    <x v="2"/>
    <x v="0"/>
    <x v="2"/>
    <n v="4889.7534070000002"/>
    <n v="88308"/>
    <n v="7802.07"/>
    <n v="36.130000000000003"/>
  </r>
  <r>
    <s v="F052"/>
    <x v="3"/>
    <x v="2"/>
    <x v="2"/>
    <x v="0"/>
    <n v="608.37"/>
    <n v="66163"/>
    <n v="1416.57"/>
    <n v="68.73"/>
  </r>
  <r>
    <s v="F173"/>
    <x v="1"/>
    <x v="1"/>
    <x v="0"/>
    <x v="0"/>
    <n v="3246.9869779999999"/>
    <n v="38181"/>
    <n v="691.84"/>
    <n v="33.53"/>
  </r>
  <r>
    <s v="F017"/>
    <x v="2"/>
    <x v="3"/>
    <x v="1"/>
    <x v="0"/>
    <n v="4214.38"/>
    <n v="71747"/>
    <n v="9838.66"/>
    <n v="7.25"/>
  </r>
  <r>
    <s v="F065"/>
    <x v="1"/>
    <x v="1"/>
    <x v="2"/>
    <x v="0"/>
    <n v="2178.11"/>
    <n v="91031"/>
    <n v="1783.57"/>
    <n v="32.049999999999997"/>
  </r>
  <r>
    <s v="F026"/>
    <x v="2"/>
    <x v="2"/>
    <x v="2"/>
    <x v="0"/>
    <n v="4250.24"/>
    <n v="32246"/>
    <n v="7903.93"/>
    <n v="42.12"/>
  </r>
  <r>
    <s v="F132"/>
    <x v="4"/>
    <x v="3"/>
    <x v="1"/>
    <x v="0"/>
    <n v="1294.92"/>
    <n v="76544"/>
    <n v="8632.77"/>
    <n v="12.87"/>
  </r>
  <r>
    <s v="F156"/>
    <x v="2"/>
    <x v="1"/>
    <x v="1"/>
    <x v="2"/>
    <n v="498.85"/>
    <n v="88308"/>
    <n v="7802.07"/>
    <n v="36.130000000000003"/>
  </r>
  <r>
    <s v="F032"/>
    <x v="1"/>
    <x v="2"/>
    <x v="2"/>
    <x v="1"/>
    <n v="4605.3599999999997"/>
    <n v="33688"/>
    <n v="9495.48"/>
    <n v="55.55"/>
  </r>
  <r>
    <s v="F155"/>
    <x v="2"/>
    <x v="2"/>
    <x v="1"/>
    <x v="2"/>
    <n v="4590.9799999999996"/>
    <n v="75736"/>
    <n v="6287.07"/>
    <n v="63.11"/>
  </r>
  <r>
    <s v="F001"/>
    <x v="1"/>
    <x v="1"/>
    <x v="2"/>
    <x v="1"/>
    <n v="2454.27"/>
    <n v="54133"/>
    <n v="8543.68"/>
    <n v="24"/>
  </r>
  <r>
    <s v="F127"/>
    <x v="3"/>
    <x v="1"/>
    <x v="0"/>
    <x v="2"/>
    <n v="2083"/>
    <n v="77400"/>
    <n v="7504.8"/>
    <n v="68.819999999999993"/>
  </r>
  <r>
    <s v="F035"/>
    <x v="4"/>
    <x v="0"/>
    <x v="0"/>
    <x v="2"/>
    <n v="3207.76"/>
    <n v="24913"/>
    <n v="5727.27"/>
    <n v="78.849999999999994"/>
  </r>
  <r>
    <s v="F055"/>
    <x v="2"/>
    <x v="0"/>
    <x v="0"/>
    <x v="0"/>
    <n v="4200.4249920000002"/>
    <n v="41050"/>
    <n v="6025.84"/>
    <n v="53.53"/>
  </r>
  <r>
    <s v="F097"/>
    <x v="1"/>
    <x v="2"/>
    <x v="0"/>
    <x v="0"/>
    <n v="4705.2145979999996"/>
    <n v="69100"/>
    <n v="9356.02"/>
    <n v="16.5"/>
  </r>
  <r>
    <s v="F194"/>
    <x v="3"/>
    <x v="1"/>
    <x v="1"/>
    <x v="2"/>
    <n v="171.51"/>
    <n v="42382"/>
    <n v="5116.6899999999996"/>
    <n v="80.42"/>
  </r>
  <r>
    <s v="F001"/>
    <x v="1"/>
    <x v="3"/>
    <x v="0"/>
    <x v="2"/>
    <n v="2210.630854"/>
    <n v="54133"/>
    <n v="8543.68"/>
    <n v="24"/>
  </r>
  <r>
    <s v="F021"/>
    <x v="1"/>
    <x v="2"/>
    <x v="0"/>
    <x v="2"/>
    <n v="4978.9324690000003"/>
    <n v="44657"/>
    <n v="7867.98"/>
    <n v="96.01"/>
  </r>
  <r>
    <s v="F199"/>
    <x v="0"/>
    <x v="0"/>
    <x v="2"/>
    <x v="1"/>
    <n v="3657.98"/>
    <n v="89321"/>
    <n v="9836.34"/>
    <n v="16.989999999999998"/>
  </r>
  <r>
    <s v="F090"/>
    <x v="2"/>
    <x v="2"/>
    <x v="2"/>
    <x v="2"/>
    <n v="1516.4"/>
    <n v="29895"/>
    <n v="1631.08"/>
    <n v="39.93"/>
  </r>
  <r>
    <s v="F008"/>
    <x v="3"/>
    <x v="2"/>
    <x v="2"/>
    <x v="0"/>
    <n v="1707.15"/>
    <n v="50306"/>
    <n v="7031.37"/>
    <n v="13.27"/>
  </r>
  <r>
    <s v="F073"/>
    <x v="3"/>
    <x v="3"/>
    <x v="1"/>
    <x v="2"/>
    <n v="526.19000000000005"/>
    <n v="26170"/>
    <n v="8057.54"/>
    <n v="63.71"/>
  </r>
  <r>
    <s v="F119"/>
    <x v="2"/>
    <x v="0"/>
    <x v="0"/>
    <x v="2"/>
    <n v="5253.4060950000003"/>
    <n v="22525"/>
    <n v="9465.65"/>
    <n v="37.79"/>
  </r>
  <r>
    <s v="F028"/>
    <x v="4"/>
    <x v="0"/>
    <x v="0"/>
    <x v="1"/>
    <n v="3617.9"/>
    <n v="73977"/>
    <n v="1646.75"/>
    <n v="43.77"/>
  </r>
  <r>
    <s v="F004"/>
    <x v="0"/>
    <x v="1"/>
    <x v="2"/>
    <x v="0"/>
    <n v="698.65"/>
    <n v="83923"/>
    <n v="8768.7999999999993"/>
    <n v="65.290000000000006"/>
  </r>
  <r>
    <s v="F021"/>
    <x v="1"/>
    <x v="2"/>
    <x v="0"/>
    <x v="2"/>
    <n v="4671.9711859999998"/>
    <n v="44657"/>
    <n v="7867.98"/>
    <n v="96.01"/>
  </r>
  <r>
    <s v="F122"/>
    <x v="4"/>
    <x v="2"/>
    <x v="1"/>
    <x v="1"/>
    <n v="4339.82"/>
    <n v="49620"/>
    <n v="2424.31"/>
    <n v="62.09"/>
  </r>
  <r>
    <s v="F127"/>
    <x v="3"/>
    <x v="1"/>
    <x v="0"/>
    <x v="2"/>
    <n v="132.41999999999999"/>
    <n v="77400"/>
    <n v="7504.8"/>
    <n v="68.819999999999993"/>
  </r>
  <r>
    <s v="F101"/>
    <x v="3"/>
    <x v="3"/>
    <x v="1"/>
    <x v="0"/>
    <n v="1388.99"/>
    <n v="65719"/>
    <n v="9362.41"/>
    <n v="86.55"/>
  </r>
  <r>
    <s v="F177"/>
    <x v="3"/>
    <x v="2"/>
    <x v="1"/>
    <x v="0"/>
    <n v="3966.31"/>
    <n v="87482"/>
    <n v="2231.7399999999998"/>
    <n v="45.43"/>
  </r>
  <r>
    <s v="F039"/>
    <x v="2"/>
    <x v="1"/>
    <x v="2"/>
    <x v="1"/>
    <n v="2647.7"/>
    <n v="40503"/>
    <n v="7447.46"/>
    <n v="98.27"/>
  </r>
  <r>
    <s v="F004"/>
    <x v="0"/>
    <x v="1"/>
    <x v="2"/>
    <x v="2"/>
    <n v="3541.47"/>
    <n v="83923"/>
    <n v="8768.7999999999993"/>
    <n v="65.290000000000006"/>
  </r>
  <r>
    <s v="F166"/>
    <x v="3"/>
    <x v="2"/>
    <x v="2"/>
    <x v="0"/>
    <n v="2083.98"/>
    <n v="96474"/>
    <n v="7574.39"/>
    <n v="95.54"/>
  </r>
  <r>
    <s v="F031"/>
    <x v="3"/>
    <x v="2"/>
    <x v="0"/>
    <x v="1"/>
    <n v="3597.2222860000002"/>
    <n v="86263"/>
    <n v="3213.71"/>
    <n v="98.39"/>
  </r>
  <r>
    <s v="F075"/>
    <x v="3"/>
    <x v="0"/>
    <x v="2"/>
    <x v="2"/>
    <n v="3828.14"/>
    <n v="60513"/>
    <n v="4578.16"/>
    <n v="65.53"/>
  </r>
  <r>
    <s v="F115"/>
    <x v="3"/>
    <x v="2"/>
    <x v="0"/>
    <x v="0"/>
    <n v="3705.619533"/>
    <n v="29318"/>
    <n v="9860.6200000000008"/>
    <n v="14.58"/>
  </r>
  <r>
    <s v="F034"/>
    <x v="4"/>
    <x v="0"/>
    <x v="0"/>
    <x v="1"/>
    <n v="2912.2502679999998"/>
    <n v="67213"/>
    <n v="5533.81"/>
    <n v="90.88"/>
  </r>
  <r>
    <s v="F175"/>
    <x v="3"/>
    <x v="3"/>
    <x v="2"/>
    <x v="2"/>
    <n v="1004.91"/>
    <n v="94949"/>
    <n v="9714.76"/>
    <n v="64.900000000000006"/>
  </r>
  <r>
    <s v="F082"/>
    <x v="0"/>
    <x v="3"/>
    <x v="1"/>
    <x v="0"/>
    <n v="4429.63"/>
    <n v="17468"/>
    <n v="6359.73"/>
    <n v="5.22"/>
  </r>
  <r>
    <s v="F184"/>
    <x v="0"/>
    <x v="1"/>
    <x v="0"/>
    <x v="0"/>
    <n v="4951.923847"/>
    <n v="22201"/>
    <n v="2853.66"/>
    <n v="71.94"/>
  </r>
  <r>
    <s v="F107"/>
    <x v="2"/>
    <x v="0"/>
    <x v="0"/>
    <x v="2"/>
    <n v="2036.074695"/>
    <n v="43512"/>
    <n v="5352.18"/>
    <n v="6.17"/>
  </r>
  <r>
    <s v="F157"/>
    <x v="0"/>
    <x v="0"/>
    <x v="2"/>
    <x v="0"/>
    <n v="4936.1400000000003"/>
    <n v="15788"/>
    <n v="1824.14"/>
    <n v="52.78"/>
  </r>
  <r>
    <s v="F088"/>
    <x v="0"/>
    <x v="3"/>
    <x v="2"/>
    <x v="1"/>
    <n v="2419.77"/>
    <n v="77330"/>
    <n v="6936.58"/>
    <n v="82.3"/>
  </r>
  <r>
    <s v="F015"/>
    <x v="4"/>
    <x v="3"/>
    <x v="0"/>
    <x v="1"/>
    <n v="574.95542599999999"/>
    <n v="80488"/>
    <n v="7629.95"/>
    <n v="63.83"/>
  </r>
  <r>
    <s v="F136"/>
    <x v="1"/>
    <x v="1"/>
    <x v="2"/>
    <x v="0"/>
    <n v="2530.5"/>
    <n v="43346"/>
    <n v="5559.12"/>
    <n v="39.4"/>
  </r>
  <r>
    <s v="F114"/>
    <x v="1"/>
    <x v="3"/>
    <x v="2"/>
    <x v="0"/>
    <n v="4691.6499999999996"/>
    <n v="57353"/>
    <n v="2274.71"/>
    <n v="65.34"/>
  </r>
  <r>
    <s v="F157"/>
    <x v="0"/>
    <x v="2"/>
    <x v="2"/>
    <x v="1"/>
    <n v="3798.92"/>
    <n v="15788"/>
    <n v="1824.14"/>
    <n v="52.78"/>
  </r>
  <r>
    <s v="F006"/>
    <x v="4"/>
    <x v="0"/>
    <x v="1"/>
    <x v="2"/>
    <n v="473.15"/>
    <n v="11426"/>
    <n v="4439.5600000000004"/>
    <n v="52.71"/>
  </r>
  <r>
    <s v="F162"/>
    <x v="3"/>
    <x v="3"/>
    <x v="2"/>
    <x v="1"/>
    <n v="2684.5"/>
    <n v="18175"/>
    <n v="8349.49"/>
    <n v="39.97"/>
  </r>
  <r>
    <s v="F168"/>
    <x v="2"/>
    <x v="3"/>
    <x v="0"/>
    <x v="0"/>
    <n v="3207.9661550000001"/>
    <n v="24095"/>
    <n v="3167.52"/>
    <n v="31.02"/>
  </r>
  <r>
    <s v="F004"/>
    <x v="0"/>
    <x v="2"/>
    <x v="0"/>
    <x v="1"/>
    <n v="2986.0217029999999"/>
    <n v="83923"/>
    <n v="8768.7999999999993"/>
    <n v="65.290000000000006"/>
  </r>
  <r>
    <s v="F132"/>
    <x v="4"/>
    <x v="0"/>
    <x v="2"/>
    <x v="0"/>
    <n v="862.55"/>
    <n v="76544"/>
    <n v="8632.77"/>
    <n v="12.87"/>
  </r>
  <r>
    <s v="F021"/>
    <x v="1"/>
    <x v="3"/>
    <x v="1"/>
    <x v="1"/>
    <n v="827.65"/>
    <n v="44657"/>
    <n v="7867.98"/>
    <n v="96.01"/>
  </r>
  <r>
    <s v="F125"/>
    <x v="1"/>
    <x v="0"/>
    <x v="2"/>
    <x v="0"/>
    <n v="1683.73"/>
    <n v="82332"/>
    <n v="7134.86"/>
    <n v="22.44"/>
  </r>
  <r>
    <s v="F027"/>
    <x v="4"/>
    <x v="1"/>
    <x v="1"/>
    <x v="2"/>
    <n v="1942.34"/>
    <n v="51800"/>
    <n v="3042.95"/>
    <n v="71.87"/>
  </r>
  <r>
    <s v="F001"/>
    <x v="1"/>
    <x v="3"/>
    <x v="1"/>
    <x v="0"/>
    <n v="4550.1099999999997"/>
    <n v="54133"/>
    <n v="8543.68"/>
    <n v="24"/>
  </r>
  <r>
    <s v="F094"/>
    <x v="3"/>
    <x v="0"/>
    <x v="0"/>
    <x v="1"/>
    <n v="3667.9851920000001"/>
    <n v="40553"/>
    <n v="4875.2299999999996"/>
    <n v="23.33"/>
  </r>
  <r>
    <s v="F034"/>
    <x v="4"/>
    <x v="2"/>
    <x v="1"/>
    <x v="2"/>
    <n v="4318.42"/>
    <n v="67213"/>
    <n v="5533.81"/>
    <n v="90.88"/>
  </r>
  <r>
    <s v="F175"/>
    <x v="3"/>
    <x v="2"/>
    <x v="1"/>
    <x v="0"/>
    <n v="3660.75"/>
    <n v="94949"/>
    <n v="9714.76"/>
    <n v="64.900000000000006"/>
  </r>
  <r>
    <s v="F195"/>
    <x v="1"/>
    <x v="1"/>
    <x v="1"/>
    <x v="1"/>
    <n v="1074.46"/>
    <n v="87012"/>
    <n v="7478.13"/>
    <n v="27.22"/>
  </r>
  <r>
    <s v="F152"/>
    <x v="4"/>
    <x v="2"/>
    <x v="1"/>
    <x v="2"/>
    <n v="4228.88"/>
    <n v="90679"/>
    <n v="7266.82"/>
    <n v="23.3"/>
  </r>
  <r>
    <s v="F124"/>
    <x v="3"/>
    <x v="3"/>
    <x v="1"/>
    <x v="2"/>
    <n v="2827.96"/>
    <n v="37309"/>
    <n v="4508.54"/>
    <n v="47.15"/>
  </r>
  <r>
    <s v="F181"/>
    <x v="3"/>
    <x v="0"/>
    <x v="0"/>
    <x v="0"/>
    <n v="1375.518959"/>
    <n v="42485"/>
    <n v="4755.75"/>
    <n v="10.19"/>
  </r>
  <r>
    <s v="F197"/>
    <x v="2"/>
    <x v="1"/>
    <x v="0"/>
    <x v="1"/>
    <n v="3501.5986440000001"/>
    <n v="59617"/>
    <n v="5000.95"/>
    <n v="80.36"/>
  </r>
  <r>
    <s v="F166"/>
    <x v="3"/>
    <x v="2"/>
    <x v="0"/>
    <x v="1"/>
    <n v="3492.9772149999999"/>
    <n v="96474"/>
    <n v="7574.39"/>
    <n v="95.54"/>
  </r>
  <r>
    <s v="F160"/>
    <x v="4"/>
    <x v="1"/>
    <x v="0"/>
    <x v="2"/>
    <n v="1594.77631"/>
    <n v="36423"/>
    <n v="589.96"/>
    <n v="30.9"/>
  </r>
  <r>
    <s v="F100"/>
    <x v="0"/>
    <x v="0"/>
    <x v="0"/>
    <x v="1"/>
    <n v="4328.8292810000003"/>
    <n v="90632"/>
    <n v="5292.17"/>
    <n v="78.45"/>
  </r>
  <r>
    <s v="F068"/>
    <x v="0"/>
    <x v="3"/>
    <x v="0"/>
    <x v="0"/>
    <n v="3820.762874"/>
    <n v="44825"/>
    <n v="6023.03"/>
    <n v="27.2"/>
  </r>
  <r>
    <s v="F049"/>
    <x v="0"/>
    <x v="0"/>
    <x v="1"/>
    <x v="0"/>
    <n v="2495.33"/>
    <n v="65666"/>
    <n v="7269.98"/>
    <n v="75.62"/>
  </r>
  <r>
    <s v="F051"/>
    <x v="4"/>
    <x v="2"/>
    <x v="2"/>
    <x v="0"/>
    <n v="286.39"/>
    <n v="56752"/>
    <n v="4177.68"/>
    <n v="10.96"/>
  </r>
  <r>
    <s v="F056"/>
    <x v="4"/>
    <x v="3"/>
    <x v="1"/>
    <x v="0"/>
    <n v="1994.05"/>
    <n v="99026"/>
    <n v="5453.2"/>
    <n v="57.49"/>
  </r>
  <r>
    <s v="F141"/>
    <x v="1"/>
    <x v="1"/>
    <x v="1"/>
    <x v="0"/>
    <n v="2165.4299999999998"/>
    <n v="58622"/>
    <n v="7795.36"/>
    <n v="59.81"/>
  </r>
  <r>
    <s v="F107"/>
    <x v="2"/>
    <x v="2"/>
    <x v="2"/>
    <x v="1"/>
    <n v="4197.01"/>
    <n v="43512"/>
    <n v="5352.18"/>
    <n v="6.17"/>
  </r>
  <r>
    <s v="F191"/>
    <x v="0"/>
    <x v="3"/>
    <x v="0"/>
    <x v="0"/>
    <n v="1921.28"/>
    <n v="86557"/>
    <n v="8631.2800000000007"/>
    <n v="69.53"/>
  </r>
  <r>
    <s v="F161"/>
    <x v="2"/>
    <x v="1"/>
    <x v="2"/>
    <x v="2"/>
    <n v="3491.72"/>
    <n v="36171"/>
    <n v="6864.38"/>
    <n v="37.03"/>
  </r>
  <r>
    <s v="F044"/>
    <x v="1"/>
    <x v="3"/>
    <x v="0"/>
    <x v="0"/>
    <n v="2500.066452"/>
    <n v="93661"/>
    <n v="7324.58"/>
    <n v="23.55"/>
  </r>
  <r>
    <s v="F189"/>
    <x v="0"/>
    <x v="1"/>
    <x v="2"/>
    <x v="0"/>
    <n v="818.77"/>
    <n v="67820"/>
    <n v="8177.95"/>
    <n v="40.69"/>
  </r>
  <r>
    <s v="F035"/>
    <x v="4"/>
    <x v="0"/>
    <x v="2"/>
    <x v="1"/>
    <n v="316.76"/>
    <n v="24913"/>
    <n v="5727.27"/>
    <n v="78.849999999999994"/>
  </r>
  <r>
    <s v="F067"/>
    <x v="1"/>
    <x v="1"/>
    <x v="2"/>
    <x v="1"/>
    <n v="2524.56"/>
    <n v="28400"/>
    <n v="3056.67"/>
    <n v="52.68"/>
  </r>
  <r>
    <s v="F146"/>
    <x v="2"/>
    <x v="3"/>
    <x v="0"/>
    <x v="1"/>
    <n v="1374.216095"/>
    <n v="99115"/>
    <n v="827.26"/>
    <n v="28.88"/>
  </r>
  <r>
    <s v="F157"/>
    <x v="0"/>
    <x v="1"/>
    <x v="2"/>
    <x v="0"/>
    <n v="3494.63"/>
    <n v="15788"/>
    <n v="1824.14"/>
    <n v="52.78"/>
  </r>
  <r>
    <s v="F015"/>
    <x v="4"/>
    <x v="1"/>
    <x v="0"/>
    <x v="2"/>
    <n v="1436.9353590000001"/>
    <n v="80488"/>
    <n v="7629.95"/>
    <n v="63.83"/>
  </r>
  <r>
    <s v="F188"/>
    <x v="3"/>
    <x v="1"/>
    <x v="2"/>
    <x v="0"/>
    <n v="1993.57"/>
    <n v="80824"/>
    <n v="2858.92"/>
    <n v="13.97"/>
  </r>
  <r>
    <s v="F027"/>
    <x v="4"/>
    <x v="0"/>
    <x v="1"/>
    <x v="1"/>
    <n v="2563.0100000000002"/>
    <n v="51800"/>
    <n v="3042.95"/>
    <n v="71.87"/>
  </r>
  <r>
    <s v="F145"/>
    <x v="4"/>
    <x v="1"/>
    <x v="2"/>
    <x v="0"/>
    <n v="3772.31"/>
    <n v="68492"/>
    <n v="3533.88"/>
    <n v="52.99"/>
  </r>
  <r>
    <s v="F051"/>
    <x v="4"/>
    <x v="0"/>
    <x v="2"/>
    <x v="1"/>
    <n v="1624.65"/>
    <n v="56752"/>
    <n v="4177.68"/>
    <n v="10.96"/>
  </r>
  <r>
    <s v="F138"/>
    <x v="0"/>
    <x v="1"/>
    <x v="2"/>
    <x v="0"/>
    <n v="4535.0200000000004"/>
    <n v="94393"/>
    <n v="6691.7"/>
    <n v="74.790000000000006"/>
  </r>
  <r>
    <s v="F004"/>
    <x v="0"/>
    <x v="1"/>
    <x v="0"/>
    <x v="2"/>
    <n v="3532.2748670000001"/>
    <n v="83923"/>
    <n v="8768.7999999999993"/>
    <n v="65.290000000000006"/>
  </r>
  <r>
    <s v="F096"/>
    <x v="0"/>
    <x v="1"/>
    <x v="1"/>
    <x v="1"/>
    <n v="2581.0300000000002"/>
    <n v="21388"/>
    <n v="5249.39"/>
    <n v="64.2"/>
  </r>
  <r>
    <s v="F020"/>
    <x v="2"/>
    <x v="3"/>
    <x v="0"/>
    <x v="1"/>
    <n v="4518.3755819999997"/>
    <n v="95165"/>
    <n v="8562.76"/>
    <n v="37.54"/>
  </r>
  <r>
    <s v="F055"/>
    <x v="2"/>
    <x v="1"/>
    <x v="2"/>
    <x v="2"/>
    <n v="4506.08"/>
    <n v="41050"/>
    <n v="6025.84"/>
    <n v="53.53"/>
  </r>
  <r>
    <s v="F113"/>
    <x v="3"/>
    <x v="0"/>
    <x v="0"/>
    <x v="1"/>
    <n v="3055.5135620000001"/>
    <n v="69636"/>
    <n v="4246.55"/>
    <n v="69.290000000000006"/>
  </r>
  <r>
    <s v="F063"/>
    <x v="4"/>
    <x v="0"/>
    <x v="1"/>
    <x v="1"/>
    <n v="1376.96"/>
    <n v="45519"/>
    <n v="7987.69"/>
    <n v="10.86"/>
  </r>
  <r>
    <s v="F054"/>
    <x v="3"/>
    <x v="0"/>
    <x v="0"/>
    <x v="1"/>
    <n v="3798.946269"/>
    <n v="38869"/>
    <n v="5109.76"/>
    <n v="35.270000000000003"/>
  </r>
  <r>
    <s v="F033"/>
    <x v="0"/>
    <x v="0"/>
    <x v="2"/>
    <x v="1"/>
    <n v="1881.41"/>
    <n v="47727"/>
    <n v="8907.33"/>
    <n v="47.4"/>
  </r>
  <r>
    <s v="F145"/>
    <x v="4"/>
    <x v="3"/>
    <x v="1"/>
    <x v="2"/>
    <n v="1308.54"/>
    <n v="68492"/>
    <n v="3533.88"/>
    <n v="52.99"/>
  </r>
  <r>
    <s v="F056"/>
    <x v="4"/>
    <x v="1"/>
    <x v="2"/>
    <x v="1"/>
    <n v="706.73"/>
    <n v="99026"/>
    <n v="5453.2"/>
    <n v="57.49"/>
  </r>
  <r>
    <s v="F051"/>
    <x v="4"/>
    <x v="2"/>
    <x v="0"/>
    <x v="2"/>
    <n v="3595.4041010000001"/>
    <n v="56752"/>
    <n v="4177.68"/>
    <n v="10.96"/>
  </r>
  <r>
    <s v="F167"/>
    <x v="2"/>
    <x v="2"/>
    <x v="1"/>
    <x v="0"/>
    <n v="1990.59"/>
    <n v="94128"/>
    <n v="8117.82"/>
    <n v="73.83"/>
  </r>
  <r>
    <s v="F112"/>
    <x v="4"/>
    <x v="0"/>
    <x v="0"/>
    <x v="2"/>
    <n v="4212.5026310000003"/>
    <n v="88188"/>
    <n v="815.86"/>
    <n v="57.53"/>
  </r>
  <r>
    <s v="F030"/>
    <x v="0"/>
    <x v="0"/>
    <x v="0"/>
    <x v="1"/>
    <n v="2388.243219"/>
    <n v="49924"/>
    <n v="2199.16"/>
    <n v="75.48"/>
  </r>
  <r>
    <s v="F181"/>
    <x v="3"/>
    <x v="3"/>
    <x v="0"/>
    <x v="2"/>
    <n v="318.91989990000002"/>
    <n v="42485"/>
    <n v="4755.75"/>
    <n v="10.19"/>
  </r>
  <r>
    <s v="F107"/>
    <x v="2"/>
    <x v="1"/>
    <x v="1"/>
    <x v="0"/>
    <n v="365.96"/>
    <n v="43512"/>
    <n v="5352.18"/>
    <n v="6.17"/>
  </r>
  <r>
    <s v="F105"/>
    <x v="0"/>
    <x v="3"/>
    <x v="2"/>
    <x v="0"/>
    <n v="1353.72"/>
    <n v="27028"/>
    <n v="4617.92"/>
    <n v="57.62"/>
  </r>
  <r>
    <s v="F141"/>
    <x v="1"/>
    <x v="3"/>
    <x v="1"/>
    <x v="2"/>
    <n v="3026.73"/>
    <n v="58622"/>
    <n v="7795.36"/>
    <n v="59.81"/>
  </r>
  <r>
    <s v="F138"/>
    <x v="0"/>
    <x v="1"/>
    <x v="1"/>
    <x v="0"/>
    <n v="4344.96"/>
    <n v="94393"/>
    <n v="6691.7"/>
    <n v="74.790000000000006"/>
  </r>
  <r>
    <s v="F027"/>
    <x v="4"/>
    <x v="0"/>
    <x v="0"/>
    <x v="0"/>
    <n v="2412.9017549999999"/>
    <n v="51800"/>
    <n v="3042.95"/>
    <n v="71.87"/>
  </r>
  <r>
    <s v="F064"/>
    <x v="1"/>
    <x v="1"/>
    <x v="2"/>
    <x v="2"/>
    <n v="4239.84"/>
    <n v="70481"/>
    <n v="4452.83"/>
    <n v="91.26"/>
  </r>
  <r>
    <s v="F157"/>
    <x v="0"/>
    <x v="1"/>
    <x v="0"/>
    <x v="1"/>
    <n v="3759.010796"/>
    <n v="15788"/>
    <n v="1824.14"/>
    <n v="52.78"/>
  </r>
  <r>
    <s v="F062"/>
    <x v="2"/>
    <x v="2"/>
    <x v="1"/>
    <x v="0"/>
    <n v="3558.82"/>
    <n v="19265"/>
    <n v="776.6"/>
    <n v="39.75"/>
  </r>
  <r>
    <s v="F083"/>
    <x v="2"/>
    <x v="1"/>
    <x v="2"/>
    <x v="1"/>
    <n v="2610.12"/>
    <n v="94704"/>
    <n v="6632.95"/>
    <n v="14.76"/>
  </r>
  <r>
    <s v="F011"/>
    <x v="4"/>
    <x v="3"/>
    <x v="2"/>
    <x v="0"/>
    <n v="2651.33"/>
    <n v="72846"/>
    <n v="5169.53"/>
    <n v="76.709999999999994"/>
  </r>
  <r>
    <s v="F071"/>
    <x v="4"/>
    <x v="2"/>
    <x v="2"/>
    <x v="2"/>
    <n v="1018.53"/>
    <n v="26378"/>
    <n v="2915.44"/>
    <n v="29.84"/>
  </r>
  <r>
    <s v="F064"/>
    <x v="1"/>
    <x v="2"/>
    <x v="0"/>
    <x v="1"/>
    <n v="503.93"/>
    <n v="70481"/>
    <n v="4452.83"/>
    <n v="91.26"/>
  </r>
  <r>
    <s v="F120"/>
    <x v="4"/>
    <x v="1"/>
    <x v="0"/>
    <x v="0"/>
    <n v="3013.4457640000001"/>
    <n v="57215"/>
    <n v="3227.1"/>
    <n v="32.909999999999997"/>
  </r>
  <r>
    <s v="F044"/>
    <x v="1"/>
    <x v="1"/>
    <x v="2"/>
    <x v="0"/>
    <n v="1639.95"/>
    <n v="93661"/>
    <n v="7324.58"/>
    <n v="23.55"/>
  </r>
  <r>
    <s v="F053"/>
    <x v="0"/>
    <x v="2"/>
    <x v="1"/>
    <x v="2"/>
    <n v="4092.48"/>
    <n v="56392"/>
    <n v="5703.76"/>
    <n v="23.04"/>
  </r>
  <r>
    <s v="F035"/>
    <x v="4"/>
    <x v="1"/>
    <x v="1"/>
    <x v="1"/>
    <n v="730.62"/>
    <n v="24913"/>
    <n v="5727.27"/>
    <n v="78.849999999999994"/>
  </r>
  <r>
    <s v="F143"/>
    <x v="1"/>
    <x v="0"/>
    <x v="0"/>
    <x v="2"/>
    <n v="5247.8932150000001"/>
    <n v="29406"/>
    <n v="5281.69"/>
    <n v="27.01"/>
  </r>
  <r>
    <s v="F129"/>
    <x v="1"/>
    <x v="3"/>
    <x v="1"/>
    <x v="2"/>
    <n v="2947.53"/>
    <n v="58439"/>
    <n v="5817.93"/>
    <n v="63.77"/>
  </r>
  <r>
    <s v="F072"/>
    <x v="2"/>
    <x v="0"/>
    <x v="2"/>
    <x v="2"/>
    <n v="571.92999999999995"/>
    <n v="95292"/>
    <n v="697.47"/>
    <n v="88.35"/>
  </r>
  <r>
    <s v="F031"/>
    <x v="3"/>
    <x v="0"/>
    <x v="0"/>
    <x v="1"/>
    <n v="4065.7376650000001"/>
    <n v="86263"/>
    <n v="3213.71"/>
    <n v="98.39"/>
  </r>
  <r>
    <s v="F139"/>
    <x v="0"/>
    <x v="0"/>
    <x v="0"/>
    <x v="0"/>
    <n v="1983.30376"/>
    <n v="80904"/>
    <n v="3263.09"/>
    <n v="58.37"/>
  </r>
  <r>
    <s v="F047"/>
    <x v="0"/>
    <x v="3"/>
    <x v="1"/>
    <x v="2"/>
    <n v="3226.08"/>
    <n v="39568"/>
    <n v="3580.54"/>
    <n v="78.08"/>
  </r>
  <r>
    <s v="F027"/>
    <x v="4"/>
    <x v="0"/>
    <x v="0"/>
    <x v="1"/>
    <n v="885.44218950000004"/>
    <n v="51800"/>
    <n v="3042.95"/>
    <n v="71.87"/>
  </r>
  <r>
    <s v="F029"/>
    <x v="4"/>
    <x v="1"/>
    <x v="1"/>
    <x v="1"/>
    <n v="3998.24"/>
    <n v="12262"/>
    <n v="7106.18"/>
    <n v="45.69"/>
  </r>
  <r>
    <s v="F113"/>
    <x v="3"/>
    <x v="2"/>
    <x v="1"/>
    <x v="1"/>
    <n v="2639.81"/>
    <n v="69636"/>
    <n v="4246.55"/>
    <n v="69.290000000000006"/>
  </r>
  <r>
    <s v="F187"/>
    <x v="2"/>
    <x v="3"/>
    <x v="1"/>
    <x v="0"/>
    <n v="2835.04"/>
    <n v="77317"/>
    <n v="4862.95"/>
    <n v="89.78"/>
  </r>
  <r>
    <s v="F158"/>
    <x v="3"/>
    <x v="2"/>
    <x v="1"/>
    <x v="0"/>
    <n v="2182.6999999999998"/>
    <n v="61157"/>
    <n v="7331.54"/>
    <n v="55.52"/>
  </r>
  <r>
    <s v="F173"/>
    <x v="1"/>
    <x v="1"/>
    <x v="2"/>
    <x v="0"/>
    <n v="3507.39"/>
    <n v="38181"/>
    <n v="691.84"/>
    <n v="33.53"/>
  </r>
  <r>
    <s v="F040"/>
    <x v="0"/>
    <x v="1"/>
    <x v="1"/>
    <x v="2"/>
    <n v="4743.79"/>
    <n v="52357"/>
    <n v="5643.16"/>
    <n v="37.130000000000003"/>
  </r>
  <r>
    <s v="F020"/>
    <x v="2"/>
    <x v="1"/>
    <x v="2"/>
    <x v="0"/>
    <n v="2798.51"/>
    <n v="95165"/>
    <n v="8562.76"/>
    <n v="37.54"/>
  </r>
  <r>
    <s v="F138"/>
    <x v="0"/>
    <x v="0"/>
    <x v="1"/>
    <x v="1"/>
    <n v="2111.5100000000002"/>
    <n v="94393"/>
    <n v="6691.7"/>
    <n v="74.790000000000006"/>
  </r>
  <r>
    <s v="F018"/>
    <x v="4"/>
    <x v="0"/>
    <x v="2"/>
    <x v="1"/>
    <n v="440.45"/>
    <n v="69305"/>
    <n v="3203.67"/>
    <n v="83.65"/>
  </r>
  <r>
    <s v="F084"/>
    <x v="3"/>
    <x v="1"/>
    <x v="1"/>
    <x v="1"/>
    <n v="2532.06"/>
    <n v="54136"/>
    <n v="2775.38"/>
    <n v="75.459999999999994"/>
  </r>
  <r>
    <s v="F116"/>
    <x v="2"/>
    <x v="1"/>
    <x v="0"/>
    <x v="1"/>
    <n v="3682.33"/>
    <n v="48501"/>
    <n v="7209.77"/>
    <n v="92.51"/>
  </r>
  <r>
    <s v="F003"/>
    <x v="3"/>
    <x v="2"/>
    <x v="2"/>
    <x v="1"/>
    <n v="1546.78"/>
    <n v="27681"/>
    <n v="928.26"/>
    <n v="44.97"/>
  </r>
  <r>
    <s v="F053"/>
    <x v="0"/>
    <x v="2"/>
    <x v="2"/>
    <x v="1"/>
    <n v="2135.9699999999998"/>
    <n v="56392"/>
    <n v="5703.76"/>
    <n v="23.04"/>
  </r>
  <r>
    <s v="F011"/>
    <x v="4"/>
    <x v="1"/>
    <x v="2"/>
    <x v="0"/>
    <n v="1344"/>
    <n v="72846"/>
    <n v="5169.53"/>
    <n v="76.709999999999994"/>
  </r>
  <r>
    <s v="F083"/>
    <x v="2"/>
    <x v="2"/>
    <x v="2"/>
    <x v="0"/>
    <n v="1009.35"/>
    <n v="94704"/>
    <n v="6632.95"/>
    <n v="14.76"/>
  </r>
  <r>
    <s v="F120"/>
    <x v="4"/>
    <x v="0"/>
    <x v="2"/>
    <x v="2"/>
    <n v="1620.64"/>
    <n v="57215"/>
    <n v="3227.1"/>
    <n v="32.909999999999997"/>
  </r>
  <r>
    <s v="F063"/>
    <x v="4"/>
    <x v="3"/>
    <x v="1"/>
    <x v="0"/>
    <n v="3874.19"/>
    <n v="45519"/>
    <n v="7987.69"/>
    <n v="10.86"/>
  </r>
  <r>
    <s v="F176"/>
    <x v="4"/>
    <x v="0"/>
    <x v="2"/>
    <x v="1"/>
    <n v="3045.93"/>
    <n v="18726"/>
    <n v="5099.54"/>
    <n v="71.05"/>
  </r>
  <r>
    <s v="F074"/>
    <x v="1"/>
    <x v="0"/>
    <x v="2"/>
    <x v="2"/>
    <n v="1476.28"/>
    <n v="25148"/>
    <n v="9604.5499999999993"/>
    <n v="63.47"/>
  </r>
  <r>
    <s v="F199"/>
    <x v="0"/>
    <x v="2"/>
    <x v="0"/>
    <x v="1"/>
    <n v="3862.2531779999999"/>
    <n v="89321"/>
    <n v="9836.34"/>
    <n v="16.989999999999998"/>
  </r>
  <r>
    <s v="F116"/>
    <x v="2"/>
    <x v="1"/>
    <x v="1"/>
    <x v="2"/>
    <n v="2517.98"/>
    <n v="48501"/>
    <n v="7209.77"/>
    <n v="92.51"/>
  </r>
  <r>
    <s v="F069"/>
    <x v="4"/>
    <x v="2"/>
    <x v="1"/>
    <x v="0"/>
    <n v="3737.89"/>
    <n v="85488"/>
    <n v="9691.57"/>
    <n v="96.98"/>
  </r>
  <r>
    <s v="F009"/>
    <x v="0"/>
    <x v="1"/>
    <x v="1"/>
    <x v="0"/>
    <n v="1111.82"/>
    <n v="45644"/>
    <n v="7724.73"/>
    <n v="31"/>
  </r>
  <r>
    <s v="F054"/>
    <x v="3"/>
    <x v="2"/>
    <x v="1"/>
    <x v="2"/>
    <n v="4547.9799999999996"/>
    <n v="38869"/>
    <n v="5109.76"/>
    <n v="35.270000000000003"/>
  </r>
  <r>
    <s v="F180"/>
    <x v="2"/>
    <x v="1"/>
    <x v="0"/>
    <x v="2"/>
    <n v="5035.8731600000001"/>
    <n v="13302"/>
    <n v="821.51"/>
    <n v="69.599999999999994"/>
  </r>
  <r>
    <s v="F061"/>
    <x v="1"/>
    <x v="0"/>
    <x v="1"/>
    <x v="1"/>
    <n v="666.62"/>
    <n v="21386"/>
    <n v="2271.92"/>
    <n v="49.67"/>
  </r>
  <r>
    <s v="F144"/>
    <x v="2"/>
    <x v="0"/>
    <x v="2"/>
    <x v="2"/>
    <n v="4848.67"/>
    <n v="16868"/>
    <n v="1378.01"/>
    <n v="47.52"/>
  </r>
  <r>
    <s v="F098"/>
    <x v="4"/>
    <x v="1"/>
    <x v="2"/>
    <x v="2"/>
    <n v="965.26"/>
    <n v="28704"/>
    <n v="6009.24"/>
    <n v="39.31"/>
  </r>
  <r>
    <s v="F031"/>
    <x v="3"/>
    <x v="3"/>
    <x v="0"/>
    <x v="2"/>
    <n v="3352.8806140000002"/>
    <n v="86263"/>
    <n v="3213.71"/>
    <n v="98.39"/>
  </r>
  <r>
    <s v="F163"/>
    <x v="1"/>
    <x v="2"/>
    <x v="0"/>
    <x v="2"/>
    <n v="3960.6895800000002"/>
    <n v="97040"/>
    <n v="5727.14"/>
    <n v="38.19"/>
  </r>
  <r>
    <s v="F035"/>
    <x v="4"/>
    <x v="0"/>
    <x v="2"/>
    <x v="2"/>
    <n v="4162.58"/>
    <n v="24913"/>
    <n v="5727.27"/>
    <n v="78.849999999999994"/>
  </r>
  <r>
    <s v="F183"/>
    <x v="3"/>
    <x v="1"/>
    <x v="2"/>
    <x v="2"/>
    <n v="3555.25"/>
    <n v="29860"/>
    <n v="3956.23"/>
    <n v="57.5"/>
  </r>
  <r>
    <s v="F173"/>
    <x v="1"/>
    <x v="3"/>
    <x v="0"/>
    <x v="2"/>
    <n v="4585.8885039999996"/>
    <n v="38181"/>
    <n v="691.84"/>
    <n v="33.53"/>
  </r>
  <r>
    <s v="F128"/>
    <x v="2"/>
    <x v="0"/>
    <x v="0"/>
    <x v="2"/>
    <n v="875.52542779999999"/>
    <n v="68216"/>
    <n v="9562.33"/>
    <n v="63.59"/>
  </r>
  <r>
    <s v="F123"/>
    <x v="1"/>
    <x v="0"/>
    <x v="0"/>
    <x v="2"/>
    <n v="3686.6816829999998"/>
    <n v="58113"/>
    <n v="6382.12"/>
    <n v="56.66"/>
  </r>
  <r>
    <s v="F122"/>
    <x v="4"/>
    <x v="0"/>
    <x v="1"/>
    <x v="2"/>
    <n v="2899.46"/>
    <n v="49620"/>
    <n v="2424.31"/>
    <n v="62.09"/>
  </r>
  <r>
    <s v="F025"/>
    <x v="4"/>
    <x v="2"/>
    <x v="2"/>
    <x v="1"/>
    <n v="429.01"/>
    <n v="32131"/>
    <n v="1474.23"/>
    <n v="45.47"/>
  </r>
  <r>
    <s v="F128"/>
    <x v="2"/>
    <x v="1"/>
    <x v="0"/>
    <x v="0"/>
    <n v="1770.1852530000001"/>
    <n v="68216"/>
    <n v="9562.33"/>
    <n v="63.59"/>
  </r>
  <r>
    <s v="F019"/>
    <x v="0"/>
    <x v="2"/>
    <x v="2"/>
    <x v="1"/>
    <n v="2143.0300000000002"/>
    <n v="68018"/>
    <n v="3523.4"/>
    <n v="92.26"/>
  </r>
  <r>
    <s v="F166"/>
    <x v="3"/>
    <x v="0"/>
    <x v="1"/>
    <x v="1"/>
    <n v="81.83"/>
    <n v="96474"/>
    <n v="7574.39"/>
    <n v="95.54"/>
  </r>
  <r>
    <s v="F116"/>
    <x v="2"/>
    <x v="2"/>
    <x v="0"/>
    <x v="2"/>
    <n v="2577.6"/>
    <n v="48501"/>
    <n v="7209.77"/>
    <n v="92.51"/>
  </r>
  <r>
    <s v="F074"/>
    <x v="1"/>
    <x v="0"/>
    <x v="0"/>
    <x v="1"/>
    <n v="5027.8617039999999"/>
    <n v="25148"/>
    <n v="9604.5499999999993"/>
    <n v="63.47"/>
  </r>
  <r>
    <s v="F148"/>
    <x v="1"/>
    <x v="2"/>
    <x v="2"/>
    <x v="1"/>
    <n v="3269.61"/>
    <n v="47491"/>
    <n v="5781.05"/>
    <n v="92.18"/>
  </r>
  <r>
    <s v="F123"/>
    <x v="1"/>
    <x v="1"/>
    <x v="0"/>
    <x v="0"/>
    <n v="3769.6593710000002"/>
    <n v="58113"/>
    <n v="6382.12"/>
    <n v="56.66"/>
  </r>
  <r>
    <s v="F011"/>
    <x v="4"/>
    <x v="2"/>
    <x v="1"/>
    <x v="0"/>
    <n v="3970.3"/>
    <n v="72846"/>
    <n v="5169.53"/>
    <n v="76.709999999999994"/>
  </r>
  <r>
    <s v="F167"/>
    <x v="2"/>
    <x v="2"/>
    <x v="1"/>
    <x v="0"/>
    <n v="2665.16"/>
    <n v="94128"/>
    <n v="8117.82"/>
    <n v="73.83"/>
  </r>
  <r>
    <s v="F200"/>
    <x v="1"/>
    <x v="2"/>
    <x v="1"/>
    <x v="2"/>
    <n v="374.88"/>
    <n v="21081"/>
    <n v="9001.77"/>
    <n v="49.27"/>
  </r>
  <r>
    <s v="F165"/>
    <x v="4"/>
    <x v="1"/>
    <x v="0"/>
    <x v="0"/>
    <n v="1106.076894"/>
    <n v="79330"/>
    <n v="6075.23"/>
    <n v="83.97"/>
  </r>
  <r>
    <s v="F146"/>
    <x v="2"/>
    <x v="0"/>
    <x v="0"/>
    <x v="1"/>
    <n v="2876.4781170000001"/>
    <n v="99115"/>
    <n v="827.26"/>
    <n v="28.88"/>
  </r>
  <r>
    <s v="F190"/>
    <x v="0"/>
    <x v="3"/>
    <x v="1"/>
    <x v="2"/>
    <n v="4394.3599999999997"/>
    <n v="70582"/>
    <n v="7517.59"/>
    <n v="95.71"/>
  </r>
  <r>
    <s v="F136"/>
    <x v="1"/>
    <x v="3"/>
    <x v="2"/>
    <x v="0"/>
    <n v="3682.56"/>
    <n v="43346"/>
    <n v="5559.12"/>
    <n v="39.4"/>
  </r>
  <r>
    <s v="F138"/>
    <x v="0"/>
    <x v="2"/>
    <x v="1"/>
    <x v="2"/>
    <n v="2576.87"/>
    <n v="94393"/>
    <n v="6691.7"/>
    <n v="74.790000000000006"/>
  </r>
  <r>
    <s v="F188"/>
    <x v="3"/>
    <x v="2"/>
    <x v="1"/>
    <x v="1"/>
    <n v="4625.6000000000004"/>
    <n v="80824"/>
    <n v="2858.92"/>
    <n v="13.97"/>
  </r>
  <r>
    <s v="F157"/>
    <x v="0"/>
    <x v="2"/>
    <x v="1"/>
    <x v="2"/>
    <n v="3554.21"/>
    <n v="15788"/>
    <n v="1824.14"/>
    <n v="52.78"/>
  </r>
  <r>
    <s v="F040"/>
    <x v="0"/>
    <x v="3"/>
    <x v="1"/>
    <x v="2"/>
    <n v="2525.88"/>
    <n v="52357"/>
    <n v="5643.16"/>
    <n v="37.130000000000003"/>
  </r>
  <r>
    <s v="F197"/>
    <x v="2"/>
    <x v="0"/>
    <x v="0"/>
    <x v="1"/>
    <n v="2134.7955550000001"/>
    <n v="59617"/>
    <n v="5000.95"/>
    <n v="80.36"/>
  </r>
  <r>
    <s v="F126"/>
    <x v="2"/>
    <x v="3"/>
    <x v="2"/>
    <x v="0"/>
    <n v="798.55"/>
    <n v="75508"/>
    <n v="6856.22"/>
    <n v="18.2"/>
  </r>
  <r>
    <s v="F146"/>
    <x v="2"/>
    <x v="0"/>
    <x v="2"/>
    <x v="2"/>
    <n v="4426.58"/>
    <n v="99115"/>
    <n v="827.26"/>
    <n v="28.88"/>
  </r>
  <r>
    <s v="F196"/>
    <x v="4"/>
    <x v="3"/>
    <x v="1"/>
    <x v="1"/>
    <n v="2921.55"/>
    <n v="85444"/>
    <n v="852.57"/>
    <n v="72.650000000000006"/>
  </r>
  <r>
    <s v="F111"/>
    <x v="3"/>
    <x v="3"/>
    <x v="1"/>
    <x v="2"/>
    <n v="1534.55"/>
    <n v="10907"/>
    <n v="4748.66"/>
    <n v="39.36"/>
  </r>
  <r>
    <s v="F021"/>
    <x v="1"/>
    <x v="1"/>
    <x v="0"/>
    <x v="1"/>
    <n v="3062.3459630000002"/>
    <n v="44657"/>
    <n v="7867.98"/>
    <n v="96.01"/>
  </r>
  <r>
    <s v="F035"/>
    <x v="4"/>
    <x v="0"/>
    <x v="0"/>
    <x v="1"/>
    <n v="1828.37"/>
    <n v="24913"/>
    <n v="5727.27"/>
    <n v="78.849999999999994"/>
  </r>
  <r>
    <s v="F098"/>
    <x v="4"/>
    <x v="0"/>
    <x v="0"/>
    <x v="1"/>
    <n v="2945.0437750000001"/>
    <n v="28704"/>
    <n v="6009.24"/>
    <n v="39.31"/>
  </r>
  <r>
    <s v="F025"/>
    <x v="4"/>
    <x v="3"/>
    <x v="2"/>
    <x v="0"/>
    <n v="2905.61"/>
    <n v="32131"/>
    <n v="1474.23"/>
    <n v="45.47"/>
  </r>
  <r>
    <s v="F187"/>
    <x v="2"/>
    <x v="2"/>
    <x v="2"/>
    <x v="2"/>
    <n v="3354.34"/>
    <n v="77317"/>
    <n v="4862.95"/>
    <n v="89.78"/>
  </r>
  <r>
    <s v="F055"/>
    <x v="2"/>
    <x v="2"/>
    <x v="1"/>
    <x v="0"/>
    <n v="4622.8599999999997"/>
    <n v="41050"/>
    <n v="6025.84"/>
    <n v="53.53"/>
  </r>
  <r>
    <s v="F078"/>
    <x v="0"/>
    <x v="1"/>
    <x v="0"/>
    <x v="2"/>
    <n v="4374"/>
    <n v="78624"/>
    <n v="2373.27"/>
    <n v="25.07"/>
  </r>
  <r>
    <s v="F027"/>
    <x v="4"/>
    <x v="3"/>
    <x v="2"/>
    <x v="0"/>
    <n v="1375.43"/>
    <n v="51800"/>
    <n v="3042.95"/>
    <n v="71.87"/>
  </r>
  <r>
    <s v="F072"/>
    <x v="2"/>
    <x v="0"/>
    <x v="0"/>
    <x v="2"/>
    <n v="4136.8180979999997"/>
    <n v="95292"/>
    <n v="697.47"/>
    <n v="88.35"/>
  </r>
  <r>
    <s v="F082"/>
    <x v="0"/>
    <x v="1"/>
    <x v="0"/>
    <x v="0"/>
    <n v="2988.4606469999999"/>
    <n v="17468"/>
    <n v="6359.73"/>
    <n v="5.22"/>
  </r>
  <r>
    <s v="F015"/>
    <x v="4"/>
    <x v="2"/>
    <x v="0"/>
    <x v="1"/>
    <n v="724.73842969999998"/>
    <n v="80488"/>
    <n v="7629.95"/>
    <n v="63.83"/>
  </r>
  <r>
    <s v="F135"/>
    <x v="3"/>
    <x v="0"/>
    <x v="2"/>
    <x v="1"/>
    <n v="4727.37"/>
    <n v="56531"/>
    <n v="8958.07"/>
    <n v="83.44"/>
  </r>
  <r>
    <s v="F067"/>
    <x v="1"/>
    <x v="1"/>
    <x v="2"/>
    <x v="2"/>
    <n v="78.44"/>
    <n v="28400"/>
    <n v="3056.67"/>
    <n v="52.68"/>
  </r>
  <r>
    <s v="F141"/>
    <x v="1"/>
    <x v="0"/>
    <x v="1"/>
    <x v="2"/>
    <n v="4289.21"/>
    <n v="58622"/>
    <n v="7795.36"/>
    <n v="59.81"/>
  </r>
  <r>
    <s v="F163"/>
    <x v="1"/>
    <x v="3"/>
    <x v="1"/>
    <x v="1"/>
    <n v="1666.98"/>
    <n v="97040"/>
    <n v="5727.14"/>
    <n v="38.19"/>
  </r>
  <r>
    <s v="F194"/>
    <x v="3"/>
    <x v="1"/>
    <x v="1"/>
    <x v="1"/>
    <n v="1277.3399999999999"/>
    <n v="42382"/>
    <n v="5116.6899999999996"/>
    <n v="80.42"/>
  </r>
  <r>
    <s v="F145"/>
    <x v="4"/>
    <x v="1"/>
    <x v="2"/>
    <x v="2"/>
    <n v="371.36"/>
    <n v="68492"/>
    <n v="3533.88"/>
    <n v="52.99"/>
  </r>
  <r>
    <s v="F083"/>
    <x v="2"/>
    <x v="1"/>
    <x v="0"/>
    <x v="1"/>
    <n v="4247.1697489999997"/>
    <n v="94704"/>
    <n v="6632.95"/>
    <n v="14.76"/>
  </r>
  <r>
    <s v="F053"/>
    <x v="0"/>
    <x v="1"/>
    <x v="1"/>
    <x v="1"/>
    <n v="3150.39"/>
    <n v="56392"/>
    <n v="5703.76"/>
    <n v="23.04"/>
  </r>
  <r>
    <s v="F014"/>
    <x v="2"/>
    <x v="1"/>
    <x v="0"/>
    <x v="1"/>
    <n v="3071.4404570000002"/>
    <n v="17416"/>
    <n v="812.06"/>
    <n v="5.7"/>
  </r>
  <r>
    <s v="F026"/>
    <x v="2"/>
    <x v="1"/>
    <x v="1"/>
    <x v="1"/>
    <n v="341.64"/>
    <n v="32246"/>
    <n v="7903.93"/>
    <n v="42.12"/>
  </r>
  <r>
    <s v="F045"/>
    <x v="0"/>
    <x v="1"/>
    <x v="2"/>
    <x v="2"/>
    <n v="4075.39"/>
    <n v="34725"/>
    <n v="3269.89"/>
    <n v="78.86"/>
  </r>
  <r>
    <s v="F155"/>
    <x v="2"/>
    <x v="0"/>
    <x v="2"/>
    <x v="2"/>
    <n v="4062.72"/>
    <n v="75736"/>
    <n v="6287.07"/>
    <n v="63.11"/>
  </r>
  <r>
    <s v="F077"/>
    <x v="4"/>
    <x v="1"/>
    <x v="2"/>
    <x v="1"/>
    <n v="3930.54"/>
    <n v="52836"/>
    <n v="9330.2999999999993"/>
    <n v="87.27"/>
  </r>
  <r>
    <s v="F129"/>
    <x v="1"/>
    <x v="2"/>
    <x v="1"/>
    <x v="0"/>
    <n v="1919.26"/>
    <n v="58439"/>
    <n v="5817.93"/>
    <n v="63.77"/>
  </r>
  <r>
    <s v="F049"/>
    <x v="0"/>
    <x v="1"/>
    <x v="1"/>
    <x v="0"/>
    <n v="3554.23"/>
    <n v="65666"/>
    <n v="7269.98"/>
    <n v="75.62"/>
  </r>
  <r>
    <s v="F102"/>
    <x v="1"/>
    <x v="1"/>
    <x v="0"/>
    <x v="2"/>
    <n v="493.58"/>
    <n v="82377"/>
    <n v="7974.74"/>
    <n v="9.17"/>
  </r>
  <r>
    <s v="F193"/>
    <x v="1"/>
    <x v="2"/>
    <x v="0"/>
    <x v="0"/>
    <n v="2362.1602800000001"/>
    <n v="15333"/>
    <n v="2570.54"/>
    <n v="41.07"/>
  </r>
  <r>
    <s v="F058"/>
    <x v="1"/>
    <x v="1"/>
    <x v="1"/>
    <x v="1"/>
    <n v="984.26"/>
    <n v="66398"/>
    <n v="8713.61"/>
    <n v="83.44"/>
  </r>
  <r>
    <s v="F177"/>
    <x v="3"/>
    <x v="2"/>
    <x v="2"/>
    <x v="2"/>
    <n v="2223.0500000000002"/>
    <n v="87482"/>
    <n v="2231.7399999999998"/>
    <n v="45.43"/>
  </r>
  <r>
    <s v="F042"/>
    <x v="1"/>
    <x v="3"/>
    <x v="0"/>
    <x v="2"/>
    <n v="2498.8473060000001"/>
    <n v="58111"/>
    <n v="4610.8999999999996"/>
    <n v="21.53"/>
  </r>
  <r>
    <s v="F158"/>
    <x v="3"/>
    <x v="0"/>
    <x v="0"/>
    <x v="0"/>
    <n v="857.66462850000005"/>
    <n v="61157"/>
    <n v="7331.54"/>
    <n v="55.52"/>
  </r>
  <r>
    <s v="F100"/>
    <x v="0"/>
    <x v="0"/>
    <x v="1"/>
    <x v="1"/>
    <n v="2079.4"/>
    <n v="90632"/>
    <n v="5292.17"/>
    <n v="78.45"/>
  </r>
  <r>
    <s v="F057"/>
    <x v="1"/>
    <x v="1"/>
    <x v="2"/>
    <x v="1"/>
    <n v="2644.71"/>
    <n v="40226"/>
    <n v="7868.86"/>
    <n v="80.53"/>
  </r>
  <r>
    <s v="F064"/>
    <x v="1"/>
    <x v="0"/>
    <x v="1"/>
    <x v="1"/>
    <n v="813.42"/>
    <n v="70481"/>
    <n v="4452.83"/>
    <n v="91.26"/>
  </r>
  <r>
    <s v="F186"/>
    <x v="4"/>
    <x v="2"/>
    <x v="0"/>
    <x v="1"/>
    <n v="1500.741311"/>
    <n v="61942"/>
    <n v="4891.32"/>
    <n v="91.59"/>
  </r>
  <r>
    <s v="F199"/>
    <x v="0"/>
    <x v="3"/>
    <x v="1"/>
    <x v="2"/>
    <n v="2099.7800000000002"/>
    <n v="89321"/>
    <n v="9836.34"/>
    <n v="16.989999999999998"/>
  </r>
  <r>
    <s v="F053"/>
    <x v="0"/>
    <x v="1"/>
    <x v="0"/>
    <x v="0"/>
    <n v="3573.184213"/>
    <n v="56392"/>
    <n v="5703.76"/>
    <n v="23.04"/>
  </r>
  <r>
    <s v="F070"/>
    <x v="2"/>
    <x v="2"/>
    <x v="0"/>
    <x v="1"/>
    <n v="3666.976435"/>
    <n v="15128"/>
    <n v="8847.09"/>
    <n v="5.25"/>
  </r>
  <r>
    <s v="F166"/>
    <x v="3"/>
    <x v="1"/>
    <x v="2"/>
    <x v="1"/>
    <n v="4772.12"/>
    <n v="96474"/>
    <n v="7574.39"/>
    <n v="95.54"/>
  </r>
  <r>
    <s v="F073"/>
    <x v="3"/>
    <x v="2"/>
    <x v="0"/>
    <x v="2"/>
    <n v="4691.37"/>
    <n v="26170"/>
    <n v="8057.54"/>
    <n v="63.71"/>
  </r>
  <r>
    <s v="F038"/>
    <x v="4"/>
    <x v="2"/>
    <x v="1"/>
    <x v="1"/>
    <n v="2731.04"/>
    <n v="18341"/>
    <n v="8465.57"/>
    <n v="38.39"/>
  </r>
  <r>
    <s v="F060"/>
    <x v="4"/>
    <x v="0"/>
    <x v="1"/>
    <x v="2"/>
    <n v="3020.79"/>
    <n v="41539"/>
    <n v="982.8"/>
    <n v="79.7"/>
  </r>
  <r>
    <s v="F131"/>
    <x v="4"/>
    <x v="3"/>
    <x v="2"/>
    <x v="2"/>
    <n v="1086.79"/>
    <n v="43294"/>
    <n v="3802.13"/>
    <n v="45.84"/>
  </r>
  <r>
    <s v="F125"/>
    <x v="1"/>
    <x v="2"/>
    <x v="0"/>
    <x v="2"/>
    <n v="5115.1311139999998"/>
    <n v="82332"/>
    <n v="7134.86"/>
    <n v="22.44"/>
  </r>
  <r>
    <s v="F128"/>
    <x v="2"/>
    <x v="2"/>
    <x v="1"/>
    <x v="0"/>
    <n v="2958.7"/>
    <n v="68216"/>
    <n v="9562.33"/>
    <n v="63.59"/>
  </r>
  <r>
    <s v="F071"/>
    <x v="4"/>
    <x v="2"/>
    <x v="0"/>
    <x v="0"/>
    <n v="1571.969407"/>
    <n v="26378"/>
    <n v="2915.44"/>
    <n v="29.84"/>
  </r>
  <r>
    <s v="F009"/>
    <x v="0"/>
    <x v="1"/>
    <x v="2"/>
    <x v="1"/>
    <n v="2745.85"/>
    <n v="45644"/>
    <n v="7724.73"/>
    <n v="31"/>
  </r>
  <r>
    <s v="F151"/>
    <x v="2"/>
    <x v="2"/>
    <x v="2"/>
    <x v="2"/>
    <n v="1531"/>
    <n v="81057"/>
    <n v="675.41"/>
    <n v="55.44"/>
  </r>
  <r>
    <s v="F146"/>
    <x v="2"/>
    <x v="0"/>
    <x v="0"/>
    <x v="0"/>
    <n v="4709.8048410000001"/>
    <n v="99115"/>
    <n v="827.26"/>
    <n v="28.88"/>
  </r>
  <r>
    <s v="F170"/>
    <x v="2"/>
    <x v="3"/>
    <x v="2"/>
    <x v="2"/>
    <n v="830.08"/>
    <n v="24502"/>
    <n v="7466.86"/>
    <n v="88.83"/>
  </r>
  <r>
    <s v="F058"/>
    <x v="1"/>
    <x v="0"/>
    <x v="2"/>
    <x v="1"/>
    <n v="4453.8999999999996"/>
    <n v="66398"/>
    <n v="8713.61"/>
    <n v="83.44"/>
  </r>
  <r>
    <s v="F181"/>
    <x v="3"/>
    <x v="1"/>
    <x v="2"/>
    <x v="2"/>
    <n v="4791.93"/>
    <n v="42485"/>
    <n v="4755.75"/>
    <n v="10.19"/>
  </r>
  <r>
    <s v="F062"/>
    <x v="2"/>
    <x v="1"/>
    <x v="0"/>
    <x v="0"/>
    <n v="2280.109602"/>
    <n v="19265"/>
    <n v="776.6"/>
    <n v="39.75"/>
  </r>
  <r>
    <s v="F108"/>
    <x v="3"/>
    <x v="3"/>
    <x v="0"/>
    <x v="2"/>
    <n v="4839.8084959999996"/>
    <n v="39050"/>
    <n v="5885.73"/>
    <n v="93.04"/>
  </r>
  <r>
    <s v="F196"/>
    <x v="4"/>
    <x v="1"/>
    <x v="1"/>
    <x v="2"/>
    <n v="506.81"/>
    <n v="85444"/>
    <n v="852.57"/>
    <n v="72.650000000000006"/>
  </r>
  <r>
    <s v="F194"/>
    <x v="3"/>
    <x v="1"/>
    <x v="0"/>
    <x v="1"/>
    <n v="3907.2413280000001"/>
    <n v="42382"/>
    <n v="5116.6899999999996"/>
    <n v="80.42"/>
  </r>
  <r>
    <s v="F180"/>
    <x v="2"/>
    <x v="1"/>
    <x v="0"/>
    <x v="1"/>
    <n v="2483.820612"/>
    <n v="13302"/>
    <n v="821.51"/>
    <n v="69.599999999999994"/>
  </r>
  <r>
    <s v="F116"/>
    <x v="2"/>
    <x v="2"/>
    <x v="2"/>
    <x v="0"/>
    <n v="139.57"/>
    <n v="48501"/>
    <n v="7209.77"/>
    <n v="92.51"/>
  </r>
  <r>
    <s v="F066"/>
    <x v="4"/>
    <x v="1"/>
    <x v="0"/>
    <x v="1"/>
    <n v="2912.6626670000001"/>
    <n v="13543"/>
    <n v="7854.96"/>
    <n v="85.57"/>
  </r>
  <r>
    <s v="F061"/>
    <x v="1"/>
    <x v="3"/>
    <x v="1"/>
    <x v="1"/>
    <n v="479.83"/>
    <n v="21386"/>
    <n v="2271.92"/>
    <n v="49.67"/>
  </r>
  <r>
    <s v="F145"/>
    <x v="4"/>
    <x v="3"/>
    <x v="0"/>
    <x v="1"/>
    <n v="5275.2422539999998"/>
    <n v="68492"/>
    <n v="3533.88"/>
    <n v="52.99"/>
  </r>
  <r>
    <s v="F128"/>
    <x v="2"/>
    <x v="0"/>
    <x v="1"/>
    <x v="1"/>
    <n v="3515.66"/>
    <n v="68216"/>
    <n v="9562.33"/>
    <n v="63.59"/>
  </r>
  <r>
    <s v="F064"/>
    <x v="1"/>
    <x v="3"/>
    <x v="0"/>
    <x v="1"/>
    <n v="771.45"/>
    <n v="70481"/>
    <n v="4452.83"/>
    <n v="91.26"/>
  </r>
  <r>
    <s v="F185"/>
    <x v="0"/>
    <x v="3"/>
    <x v="2"/>
    <x v="1"/>
    <n v="705.84"/>
    <n v="68820"/>
    <n v="9612.25"/>
    <n v="83.51"/>
  </r>
  <r>
    <s v="F007"/>
    <x v="4"/>
    <x v="2"/>
    <x v="0"/>
    <x v="0"/>
    <n v="3398.71"/>
    <n v="35506"/>
    <n v="1892.04"/>
    <n v="61.53"/>
  </r>
  <r>
    <s v="F018"/>
    <x v="4"/>
    <x v="3"/>
    <x v="2"/>
    <x v="2"/>
    <n v="2433.04"/>
    <n v="69305"/>
    <n v="3203.67"/>
    <n v="83.6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F088"/>
    <x v="0"/>
    <x v="0"/>
    <x v="0"/>
    <x v="0"/>
    <n v="2435.5974080000001"/>
    <n v="77330"/>
    <n v="6936.58"/>
    <n v="82.3"/>
    <n v="3.1496151661709555E-2"/>
  </r>
  <r>
    <s v="F021"/>
    <x v="1"/>
    <x v="1"/>
    <x v="1"/>
    <x v="1"/>
    <n v="835.45"/>
    <n v="44657"/>
    <n v="7867.98"/>
    <n v="96.01"/>
    <n v="1.8708153257048169E-2"/>
  </r>
  <r>
    <s v="F107"/>
    <x v="2"/>
    <x v="1"/>
    <x v="1"/>
    <x v="1"/>
    <n v="3430.45"/>
    <n v="43512"/>
    <n v="5352.18"/>
    <n v="6.17"/>
    <n v="7.883917080345651E-2"/>
  </r>
  <r>
    <s v="F106"/>
    <x v="3"/>
    <x v="0"/>
    <x v="1"/>
    <x v="1"/>
    <n v="4214.24"/>
    <n v="98682"/>
    <n v="6220.56"/>
    <n v="70.099999999999994"/>
    <n v="4.2705255264384588E-2"/>
  </r>
  <r>
    <s v="F090"/>
    <x v="2"/>
    <x v="1"/>
    <x v="0"/>
    <x v="0"/>
    <n v="605.59354689999998"/>
    <n v="29895"/>
    <n v="1631.08"/>
    <n v="39.93"/>
    <n v="2.0257352296370629E-2"/>
  </r>
  <r>
    <s v="F158"/>
    <x v="3"/>
    <x v="1"/>
    <x v="1"/>
    <x v="0"/>
    <n v="656.33"/>
    <n v="61157"/>
    <n v="7331.54"/>
    <n v="55.52"/>
    <n v="1.0731886783197345E-2"/>
  </r>
  <r>
    <s v="F023"/>
    <x v="1"/>
    <x v="2"/>
    <x v="0"/>
    <x v="2"/>
    <n v="4455.9340899999997"/>
    <n v="47484"/>
    <n v="3396.39"/>
    <n v="19.510000000000002"/>
    <n v="9.3840748252042791E-2"/>
  </r>
  <r>
    <s v="F153"/>
    <x v="3"/>
    <x v="1"/>
    <x v="0"/>
    <x v="0"/>
    <n v="660.19753639999999"/>
    <n v="95306"/>
    <n v="9037.76"/>
    <n v="13.35"/>
    <n v="6.9271350848844771E-3"/>
  </r>
  <r>
    <s v="F079"/>
    <x v="2"/>
    <x v="2"/>
    <x v="0"/>
    <x v="0"/>
    <n v="1883.3043130000001"/>
    <n v="17311"/>
    <n v="2257.38"/>
    <n v="91.07"/>
    <n v="0.10879234665819422"/>
  </r>
  <r>
    <s v="F065"/>
    <x v="1"/>
    <x v="0"/>
    <x v="2"/>
    <x v="2"/>
    <n v="221.01"/>
    <n v="91031"/>
    <n v="1783.57"/>
    <n v="32.049999999999997"/>
    <n v="2.4278542474541641E-3"/>
  </r>
  <r>
    <s v="F025"/>
    <x v="4"/>
    <x v="0"/>
    <x v="2"/>
    <x v="0"/>
    <n v="4737.0600000000004"/>
    <n v="32131"/>
    <n v="1474.23"/>
    <n v="45.47"/>
    <n v="0.14742958513585014"/>
  </r>
  <r>
    <s v="F104"/>
    <x v="4"/>
    <x v="0"/>
    <x v="0"/>
    <x v="2"/>
    <n v="1951.279029"/>
    <n v="84851"/>
    <n v="560.75"/>
    <n v="80.23"/>
    <n v="2.2996535444485038E-2"/>
  </r>
  <r>
    <s v="F137"/>
    <x v="0"/>
    <x v="1"/>
    <x v="2"/>
    <x v="0"/>
    <n v="4320.1099999999997"/>
    <n v="10933"/>
    <n v="9004.3700000000008"/>
    <n v="26.84"/>
    <n v="0.39514405927009966"/>
  </r>
  <r>
    <s v="F158"/>
    <x v="3"/>
    <x v="0"/>
    <x v="2"/>
    <x v="1"/>
    <n v="2179.33"/>
    <n v="61157"/>
    <n v="7331.54"/>
    <n v="55.52"/>
    <n v="3.5635004987164182E-2"/>
  </r>
  <r>
    <s v="F101"/>
    <x v="3"/>
    <x v="3"/>
    <x v="1"/>
    <x v="0"/>
    <n v="3612.19"/>
    <n v="65719"/>
    <n v="9362.41"/>
    <n v="86.55"/>
    <n v="5.4964165614205938E-2"/>
  </r>
  <r>
    <s v="F194"/>
    <x v="3"/>
    <x v="0"/>
    <x v="2"/>
    <x v="2"/>
    <n v="1270.3599999999999"/>
    <n v="42382"/>
    <n v="5116.6899999999996"/>
    <n v="80.42"/>
    <n v="2.9974045585390022E-2"/>
  </r>
  <r>
    <s v="F057"/>
    <x v="1"/>
    <x v="2"/>
    <x v="2"/>
    <x v="0"/>
    <n v="1630.06"/>
    <n v="40226"/>
    <n v="7868.86"/>
    <n v="80.53"/>
    <n v="4.0522547606025951E-2"/>
  </r>
  <r>
    <s v="F017"/>
    <x v="2"/>
    <x v="3"/>
    <x v="0"/>
    <x v="2"/>
    <n v="3063.6059129999999"/>
    <n v="71747"/>
    <n v="9838.66"/>
    <n v="7.25"/>
    <n v="4.2700125621977225E-2"/>
  </r>
  <r>
    <s v="F120"/>
    <x v="4"/>
    <x v="0"/>
    <x v="0"/>
    <x v="2"/>
    <n v="2447.4218510000001"/>
    <n v="57215"/>
    <n v="3227.1"/>
    <n v="32.909999999999997"/>
    <n v="4.2775877846718519E-2"/>
  </r>
  <r>
    <s v="F139"/>
    <x v="0"/>
    <x v="1"/>
    <x v="2"/>
    <x v="2"/>
    <n v="4170.13"/>
    <n v="80904"/>
    <n v="3263.09"/>
    <n v="58.37"/>
    <n v="5.1544175813309605E-2"/>
  </r>
  <r>
    <s v="F166"/>
    <x v="3"/>
    <x v="2"/>
    <x v="0"/>
    <x v="1"/>
    <n v="2099.6404550000002"/>
    <n v="96474"/>
    <n v="7574.39"/>
    <n v="95.54"/>
    <n v="2.1763795996848894E-2"/>
  </r>
  <r>
    <s v="F005"/>
    <x v="4"/>
    <x v="2"/>
    <x v="2"/>
    <x v="1"/>
    <n v="3701.02"/>
    <n v="61743"/>
    <n v="7426.75"/>
    <n v="26.39"/>
    <n v="5.994234164196751E-2"/>
  </r>
  <r>
    <s v="F060"/>
    <x v="4"/>
    <x v="2"/>
    <x v="2"/>
    <x v="0"/>
    <n v="1262.77"/>
    <n v="41539"/>
    <n v="982.8"/>
    <n v="79.7"/>
    <n v="3.0399624449312695E-2"/>
  </r>
  <r>
    <s v="F133"/>
    <x v="2"/>
    <x v="0"/>
    <x v="1"/>
    <x v="2"/>
    <n v="2741.92"/>
    <n v="41168"/>
    <n v="8226.77"/>
    <n v="42.55"/>
    <n v="6.6603186941313647E-2"/>
  </r>
  <r>
    <s v="F025"/>
    <x v="4"/>
    <x v="0"/>
    <x v="1"/>
    <x v="2"/>
    <n v="1824.14"/>
    <n v="32131"/>
    <n v="1474.23"/>
    <n v="45.47"/>
    <n v="5.6771964769225983E-2"/>
  </r>
  <r>
    <s v="F134"/>
    <x v="3"/>
    <x v="2"/>
    <x v="0"/>
    <x v="0"/>
    <n v="738.43863229999999"/>
    <n v="16256"/>
    <n v="2127.1799999999998"/>
    <n v="38.94"/>
    <n v="4.5425604841289373E-2"/>
  </r>
  <r>
    <s v="F030"/>
    <x v="0"/>
    <x v="1"/>
    <x v="0"/>
    <x v="1"/>
    <n v="2856.7613379999998"/>
    <n v="49924"/>
    <n v="2199.16"/>
    <n v="75.48"/>
    <n v="5.7222204510856495E-2"/>
  </r>
  <r>
    <s v="F091"/>
    <x v="4"/>
    <x v="1"/>
    <x v="1"/>
    <x v="2"/>
    <n v="1787.35"/>
    <n v="43490"/>
    <n v="9300.8799999999992"/>
    <n v="58.43"/>
    <n v="4.1097953552540811E-2"/>
  </r>
  <r>
    <s v="F002"/>
    <x v="4"/>
    <x v="2"/>
    <x v="0"/>
    <x v="1"/>
    <n v="5138.8326189999998"/>
    <n v="53661"/>
    <n v="6965.81"/>
    <n v="69.400000000000006"/>
    <n v="9.5764756881161359E-2"/>
  </r>
  <r>
    <s v="F121"/>
    <x v="3"/>
    <x v="0"/>
    <x v="0"/>
    <x v="0"/>
    <n v="5005.4416869999995"/>
    <n v="11952"/>
    <n v="4637.74"/>
    <n v="63.78"/>
    <n v="0.41879532187081658"/>
  </r>
  <r>
    <s v="F008"/>
    <x v="3"/>
    <x v="2"/>
    <x v="2"/>
    <x v="2"/>
    <n v="4053.3"/>
    <n v="50306"/>
    <n v="7031.37"/>
    <n v="13.27"/>
    <n v="8.0572893889396896E-2"/>
  </r>
  <r>
    <s v="F198"/>
    <x v="3"/>
    <x v="2"/>
    <x v="2"/>
    <x v="2"/>
    <n v="280.72000000000003"/>
    <n v="40577"/>
    <n v="4280.82"/>
    <n v="79.88"/>
    <n v="6.9182048943983053E-3"/>
  </r>
  <r>
    <s v="F087"/>
    <x v="4"/>
    <x v="2"/>
    <x v="1"/>
    <x v="2"/>
    <n v="329.41"/>
    <n v="44164"/>
    <n v="3869.32"/>
    <n v="13.81"/>
    <n v="7.4587899646771129E-3"/>
  </r>
  <r>
    <s v="F175"/>
    <x v="3"/>
    <x v="1"/>
    <x v="1"/>
    <x v="1"/>
    <n v="4133.74"/>
    <n v="94949"/>
    <n v="9714.76"/>
    <n v="64.900000000000006"/>
    <n v="4.3536424817533621E-2"/>
  </r>
  <r>
    <s v="F100"/>
    <x v="0"/>
    <x v="3"/>
    <x v="2"/>
    <x v="1"/>
    <n v="2773.3"/>
    <n v="90632"/>
    <n v="5292.17"/>
    <n v="78.45"/>
    <n v="3.0599567481684176E-2"/>
  </r>
  <r>
    <s v="F042"/>
    <x v="1"/>
    <x v="1"/>
    <x v="0"/>
    <x v="0"/>
    <n v="3482.0777469999998"/>
    <n v="58111"/>
    <n v="4610.8999999999996"/>
    <n v="21.53"/>
    <n v="5.9921146547125326E-2"/>
  </r>
  <r>
    <s v="F173"/>
    <x v="1"/>
    <x v="3"/>
    <x v="0"/>
    <x v="0"/>
    <n v="1953.7073989999999"/>
    <n v="38181"/>
    <n v="691.84"/>
    <n v="33.53"/>
    <n v="5.1169623608601132E-2"/>
  </r>
  <r>
    <s v="F025"/>
    <x v="4"/>
    <x v="3"/>
    <x v="1"/>
    <x v="1"/>
    <n v="4444.76"/>
    <n v="32131"/>
    <n v="1474.23"/>
    <n v="45.47"/>
    <n v="0.13833245152656315"/>
  </r>
  <r>
    <s v="F173"/>
    <x v="1"/>
    <x v="2"/>
    <x v="2"/>
    <x v="1"/>
    <n v="1836.99"/>
    <n v="38181"/>
    <n v="691.84"/>
    <n v="33.53"/>
    <n v="4.811267384301092E-2"/>
  </r>
  <r>
    <s v="F012"/>
    <x v="3"/>
    <x v="0"/>
    <x v="1"/>
    <x v="1"/>
    <n v="793.9"/>
    <n v="43747"/>
    <n v="3453.48"/>
    <n v="98.78"/>
    <n v="1.8147530116350834E-2"/>
  </r>
  <r>
    <s v="F182"/>
    <x v="3"/>
    <x v="3"/>
    <x v="2"/>
    <x v="2"/>
    <n v="1445.28"/>
    <n v="41027"/>
    <n v="7285.85"/>
    <n v="59.87"/>
    <n v="3.5227533087966459E-2"/>
  </r>
  <r>
    <s v="F026"/>
    <x v="2"/>
    <x v="3"/>
    <x v="0"/>
    <x v="2"/>
    <n v="1246.728069"/>
    <n v="32246"/>
    <n v="7903.93"/>
    <n v="42.12"/>
    <n v="3.8663030112261985E-2"/>
  </r>
  <r>
    <s v="F093"/>
    <x v="2"/>
    <x v="3"/>
    <x v="1"/>
    <x v="0"/>
    <n v="527.16999999999996"/>
    <n v="15553"/>
    <n v="3909.51"/>
    <n v="46.44"/>
    <n v="3.3895068475535264E-2"/>
  </r>
  <r>
    <s v="F074"/>
    <x v="1"/>
    <x v="3"/>
    <x v="1"/>
    <x v="1"/>
    <n v="542.33000000000004"/>
    <n v="25148"/>
    <n v="9604.5499999999993"/>
    <n v="63.47"/>
    <n v="2.1565532050262449E-2"/>
  </r>
  <r>
    <s v="F024"/>
    <x v="4"/>
    <x v="3"/>
    <x v="2"/>
    <x v="2"/>
    <n v="636.07000000000005"/>
    <n v="95718"/>
    <n v="2443.12"/>
    <n v="35.49"/>
    <n v="6.6452495873294479E-3"/>
  </r>
  <r>
    <s v="F103"/>
    <x v="4"/>
    <x v="3"/>
    <x v="0"/>
    <x v="1"/>
    <n v="3898.1983740000001"/>
    <n v="22309"/>
    <n v="3656.29"/>
    <n v="75.25"/>
    <n v="0.17473658048321306"/>
  </r>
  <r>
    <s v="F032"/>
    <x v="1"/>
    <x v="3"/>
    <x v="0"/>
    <x v="2"/>
    <n v="525.24931200000003"/>
    <n v="33688"/>
    <n v="9495.48"/>
    <n v="55.55"/>
    <n v="1.5591584896699122E-2"/>
  </r>
  <r>
    <s v="F077"/>
    <x v="4"/>
    <x v="0"/>
    <x v="1"/>
    <x v="1"/>
    <n v="1135.03"/>
    <n v="52836"/>
    <n v="9330.2999999999993"/>
    <n v="87.27"/>
    <n v="2.1482133393898099E-2"/>
  </r>
  <r>
    <s v="F017"/>
    <x v="2"/>
    <x v="2"/>
    <x v="0"/>
    <x v="2"/>
    <n v="1670.506361"/>
    <n v="71747"/>
    <n v="9838.66"/>
    <n v="7.25"/>
    <n v="2.3283292137650353E-2"/>
  </r>
  <r>
    <s v="F056"/>
    <x v="4"/>
    <x v="1"/>
    <x v="0"/>
    <x v="0"/>
    <n v="939.61298339999996"/>
    <n v="99026"/>
    <n v="5453.2"/>
    <n v="57.49"/>
    <n v="9.4885482943873316E-3"/>
  </r>
  <r>
    <s v="F008"/>
    <x v="3"/>
    <x v="3"/>
    <x v="2"/>
    <x v="0"/>
    <n v="1436.13"/>
    <n v="50306"/>
    <n v="7031.37"/>
    <n v="13.27"/>
    <n v="2.8547886931976307E-2"/>
  </r>
  <r>
    <s v="F172"/>
    <x v="4"/>
    <x v="3"/>
    <x v="0"/>
    <x v="2"/>
    <n v="3950.000207"/>
    <n v="98396"/>
    <n v="5174.07"/>
    <n v="63.38"/>
    <n v="4.0143910392698892E-2"/>
  </r>
  <r>
    <s v="F190"/>
    <x v="0"/>
    <x v="0"/>
    <x v="0"/>
    <x v="0"/>
    <n v="4777.7700000000004"/>
    <n v="70582"/>
    <n v="7517.59"/>
    <n v="95.71"/>
    <n v="6.7691054376469925E-2"/>
  </r>
  <r>
    <s v="F097"/>
    <x v="1"/>
    <x v="1"/>
    <x v="0"/>
    <x v="0"/>
    <n v="739.48049089999995"/>
    <n v="69100"/>
    <n v="9356.02"/>
    <n v="16.5"/>
    <n v="1.0701598999999999E-2"/>
  </r>
  <r>
    <s v="F045"/>
    <x v="0"/>
    <x v="2"/>
    <x v="1"/>
    <x v="0"/>
    <n v="2957.08"/>
    <n v="34725"/>
    <n v="3269.89"/>
    <n v="78.86"/>
    <n v="8.5157091432685378E-2"/>
  </r>
  <r>
    <s v="F181"/>
    <x v="3"/>
    <x v="1"/>
    <x v="2"/>
    <x v="2"/>
    <n v="4782.28"/>
    <n v="42485"/>
    <n v="4755.75"/>
    <n v="10.19"/>
    <n v="0.11256396375191244"/>
  </r>
  <r>
    <s v="F100"/>
    <x v="0"/>
    <x v="3"/>
    <x v="1"/>
    <x v="1"/>
    <n v="3836.23"/>
    <n v="90632"/>
    <n v="5292.17"/>
    <n v="78.45"/>
    <n v="4.2327544355194632E-2"/>
  </r>
  <r>
    <s v="F019"/>
    <x v="0"/>
    <x v="1"/>
    <x v="2"/>
    <x v="0"/>
    <n v="4410.6400000000003"/>
    <n v="68018"/>
    <n v="3523.4"/>
    <n v="92.26"/>
    <n v="6.4845188038460413E-2"/>
  </r>
  <r>
    <s v="F181"/>
    <x v="3"/>
    <x v="3"/>
    <x v="2"/>
    <x v="2"/>
    <n v="1861.93"/>
    <n v="42485"/>
    <n v="4755.75"/>
    <n v="10.19"/>
    <n v="4.3825585500764978E-2"/>
  </r>
  <r>
    <s v="F115"/>
    <x v="3"/>
    <x v="0"/>
    <x v="1"/>
    <x v="0"/>
    <n v="3332.83"/>
    <n v="29318"/>
    <n v="9860.6200000000008"/>
    <n v="14.58"/>
    <n v="0.11367862746435636"/>
  </r>
  <r>
    <s v="F086"/>
    <x v="4"/>
    <x v="3"/>
    <x v="2"/>
    <x v="2"/>
    <n v="2649.83"/>
    <n v="55974"/>
    <n v="7542.28"/>
    <n v="72.430000000000007"/>
    <n v="4.7340372315718013E-2"/>
  </r>
  <r>
    <s v="F162"/>
    <x v="3"/>
    <x v="0"/>
    <x v="1"/>
    <x v="2"/>
    <n v="3224.33"/>
    <n v="18175"/>
    <n v="8349.49"/>
    <n v="39.97"/>
    <n v="0.17740467675378266"/>
  </r>
  <r>
    <s v="F023"/>
    <x v="1"/>
    <x v="2"/>
    <x v="0"/>
    <x v="0"/>
    <n v="881.21756679999999"/>
    <n v="47484"/>
    <n v="3396.39"/>
    <n v="19.510000000000002"/>
    <n v="1.855819995788055E-2"/>
  </r>
  <r>
    <s v="F084"/>
    <x v="3"/>
    <x v="1"/>
    <x v="0"/>
    <x v="1"/>
    <n v="5563.319544"/>
    <n v="54136"/>
    <n v="2775.38"/>
    <n v="75.459999999999994"/>
    <n v="0.10276561888576917"/>
  </r>
  <r>
    <s v="F197"/>
    <x v="2"/>
    <x v="3"/>
    <x v="2"/>
    <x v="2"/>
    <n v="2558.1799999999998"/>
    <n v="59617"/>
    <n v="5000.95"/>
    <n v="80.36"/>
    <n v="4.2910243722428167E-2"/>
  </r>
  <r>
    <s v="F186"/>
    <x v="4"/>
    <x v="2"/>
    <x v="0"/>
    <x v="0"/>
    <n v="2013.870322"/>
    <n v="61942"/>
    <n v="4891.32"/>
    <n v="91.59"/>
    <n v="3.2512194020212458E-2"/>
  </r>
  <r>
    <s v="F191"/>
    <x v="0"/>
    <x v="2"/>
    <x v="2"/>
    <x v="1"/>
    <n v="1752.18"/>
    <n v="86557"/>
    <n v="8631.2800000000007"/>
    <n v="69.53"/>
    <n v="2.0243076816433104E-2"/>
  </r>
  <r>
    <s v="F039"/>
    <x v="2"/>
    <x v="1"/>
    <x v="2"/>
    <x v="2"/>
    <n v="4152.92"/>
    <n v="40503"/>
    <n v="7447.46"/>
    <n v="98.27"/>
    <n v="0.10253363948349505"/>
  </r>
  <r>
    <s v="F126"/>
    <x v="2"/>
    <x v="1"/>
    <x v="2"/>
    <x v="1"/>
    <n v="61.94"/>
    <n v="75508"/>
    <n v="6856.22"/>
    <n v="18.2"/>
    <n v="8.2031043068284148E-4"/>
  </r>
  <r>
    <s v="F172"/>
    <x v="4"/>
    <x v="3"/>
    <x v="0"/>
    <x v="1"/>
    <n v="4862.4353590000001"/>
    <n v="98396"/>
    <n v="5174.07"/>
    <n v="63.38"/>
    <n v="4.9417002307004347E-2"/>
  </r>
  <r>
    <s v="F044"/>
    <x v="1"/>
    <x v="2"/>
    <x v="0"/>
    <x v="0"/>
    <n v="1930.129142"/>
    <n v="93661"/>
    <n v="7324.58"/>
    <n v="23.55"/>
    <n v="2.0607607670214925E-2"/>
  </r>
  <r>
    <s v="F016"/>
    <x v="2"/>
    <x v="3"/>
    <x v="2"/>
    <x v="2"/>
    <n v="2818.75"/>
    <n v="93409"/>
    <n v="2375.83"/>
    <n v="5.83"/>
    <n v="3.017642839555075E-2"/>
  </r>
  <r>
    <s v="F059"/>
    <x v="2"/>
    <x v="0"/>
    <x v="0"/>
    <x v="2"/>
    <n v="2368.6695920000002"/>
    <n v="30934"/>
    <n v="4175.6499999999996"/>
    <n v="77.290000000000006"/>
    <n v="7.6571720178444436E-2"/>
  </r>
  <r>
    <s v="F042"/>
    <x v="1"/>
    <x v="3"/>
    <x v="1"/>
    <x v="1"/>
    <n v="1533.98"/>
    <n v="58111"/>
    <n v="4610.8999999999996"/>
    <n v="21.53"/>
    <n v="2.639741184973585E-2"/>
  </r>
  <r>
    <s v="F097"/>
    <x v="1"/>
    <x v="3"/>
    <x v="1"/>
    <x v="2"/>
    <n v="249.89"/>
    <n v="69100"/>
    <n v="9356.02"/>
    <n v="16.5"/>
    <n v="3.616353111432706E-3"/>
  </r>
  <r>
    <s v="F196"/>
    <x v="4"/>
    <x v="1"/>
    <x v="0"/>
    <x v="1"/>
    <n v="4797.8755950000004"/>
    <n v="85444"/>
    <n v="852.57"/>
    <n v="72.650000000000006"/>
    <n v="5.6152282138008526E-2"/>
  </r>
  <r>
    <s v="F063"/>
    <x v="4"/>
    <x v="2"/>
    <x v="1"/>
    <x v="2"/>
    <n v="534.05999999999995"/>
    <n v="45519"/>
    <n v="7987.69"/>
    <n v="10.86"/>
    <n v="1.1732683055427403E-2"/>
  </r>
  <r>
    <s v="F135"/>
    <x v="3"/>
    <x v="1"/>
    <x v="1"/>
    <x v="0"/>
    <n v="4285.8999999999996"/>
    <n v="56531"/>
    <n v="8958.07"/>
    <n v="83.44"/>
    <n v="7.5815039535829895E-2"/>
  </r>
  <r>
    <s v="F193"/>
    <x v="1"/>
    <x v="3"/>
    <x v="2"/>
    <x v="0"/>
    <n v="1042.25"/>
    <n v="15333"/>
    <n v="2570.54"/>
    <n v="41.07"/>
    <n v="6.7974303789212806E-2"/>
  </r>
  <r>
    <s v="F068"/>
    <x v="0"/>
    <x v="3"/>
    <x v="0"/>
    <x v="2"/>
    <n v="1836.6851220000001"/>
    <n v="44825"/>
    <n v="6023.03"/>
    <n v="27.2"/>
    <n v="4.0974570485220303E-2"/>
  </r>
  <r>
    <s v="F161"/>
    <x v="2"/>
    <x v="1"/>
    <x v="2"/>
    <x v="1"/>
    <n v="3337.6"/>
    <n v="36171"/>
    <n v="6864.38"/>
    <n v="37.03"/>
    <n v="9.2272815238727157E-2"/>
  </r>
  <r>
    <s v="F137"/>
    <x v="0"/>
    <x v="3"/>
    <x v="1"/>
    <x v="1"/>
    <n v="2632.11"/>
    <n v="10933"/>
    <n v="9004.3700000000008"/>
    <n v="26.84"/>
    <n v="0.24074910820451845"/>
  </r>
  <r>
    <s v="F037"/>
    <x v="3"/>
    <x v="2"/>
    <x v="2"/>
    <x v="2"/>
    <n v="2011.5"/>
    <n v="97337"/>
    <n v="3362.06"/>
    <n v="55.46"/>
    <n v="2.0665317402426622E-2"/>
  </r>
  <r>
    <s v="F022"/>
    <x v="4"/>
    <x v="2"/>
    <x v="2"/>
    <x v="1"/>
    <n v="724.26"/>
    <n v="20207"/>
    <n v="5369.46"/>
    <n v="57.51"/>
    <n v="3.5842034938387689E-2"/>
  </r>
  <r>
    <s v="F088"/>
    <x v="0"/>
    <x v="2"/>
    <x v="1"/>
    <x v="2"/>
    <n v="2373.2600000000002"/>
    <n v="77330"/>
    <n v="6936.58"/>
    <n v="82.3"/>
    <n v="3.0690029742661325E-2"/>
  </r>
  <r>
    <s v="F002"/>
    <x v="4"/>
    <x v="3"/>
    <x v="2"/>
    <x v="2"/>
    <n v="1440.9"/>
    <n v="53661"/>
    <n v="6965.81"/>
    <n v="69.400000000000006"/>
    <n v="2.6851903617152124E-2"/>
  </r>
  <r>
    <s v="F176"/>
    <x v="4"/>
    <x v="1"/>
    <x v="2"/>
    <x v="0"/>
    <n v="569.39"/>
    <n v="18726"/>
    <n v="5099.54"/>
    <n v="71.05"/>
    <n v="3.0406386841824201E-2"/>
  </r>
  <r>
    <s v="F133"/>
    <x v="2"/>
    <x v="2"/>
    <x v="1"/>
    <x v="2"/>
    <n v="1161.74"/>
    <n v="41168"/>
    <n v="8226.77"/>
    <n v="42.55"/>
    <n v="2.8219490866692579E-2"/>
  </r>
  <r>
    <s v="F017"/>
    <x v="2"/>
    <x v="0"/>
    <x v="0"/>
    <x v="2"/>
    <n v="4200.5000110000001"/>
    <n v="71747"/>
    <n v="9838.66"/>
    <n v="7.25"/>
    <n v="5.8546002076741883E-2"/>
  </r>
  <r>
    <s v="F173"/>
    <x v="1"/>
    <x v="0"/>
    <x v="1"/>
    <x v="1"/>
    <n v="2311.5500000000002"/>
    <n v="38181"/>
    <n v="691.84"/>
    <n v="33.53"/>
    <n v="6.0541892564364479E-2"/>
  </r>
  <r>
    <s v="F071"/>
    <x v="4"/>
    <x v="0"/>
    <x v="2"/>
    <x v="1"/>
    <n v="2116.64"/>
    <n v="26378"/>
    <n v="2915.44"/>
    <n v="29.84"/>
    <n v="8.0242626431116834E-2"/>
  </r>
  <r>
    <s v="F048"/>
    <x v="0"/>
    <x v="1"/>
    <x v="2"/>
    <x v="1"/>
    <n v="2833.88"/>
    <n v="26338"/>
    <n v="578.73"/>
    <n v="72.52"/>
    <n v="0.10759662844559192"/>
  </r>
  <r>
    <s v="F027"/>
    <x v="4"/>
    <x v="0"/>
    <x v="2"/>
    <x v="0"/>
    <n v="2605.96"/>
    <n v="51800"/>
    <n v="3042.95"/>
    <n v="71.87"/>
    <n v="5.030810810810811E-2"/>
  </r>
  <r>
    <s v="F045"/>
    <x v="0"/>
    <x v="3"/>
    <x v="0"/>
    <x v="2"/>
    <n v="532.45395829999995"/>
    <n v="34725"/>
    <n v="3269.89"/>
    <n v="78.86"/>
    <n v="1.5333447323254139E-2"/>
  </r>
  <r>
    <s v="F036"/>
    <x v="3"/>
    <x v="1"/>
    <x v="0"/>
    <x v="2"/>
    <n v="1876.9554659999999"/>
    <n v="53942"/>
    <n v="5904.31"/>
    <n v="32.78"/>
    <n v="3.4795807830632901E-2"/>
  </r>
  <r>
    <s v="F078"/>
    <x v="0"/>
    <x v="1"/>
    <x v="1"/>
    <x v="1"/>
    <n v="522.41"/>
    <n v="78624"/>
    <n v="2373.27"/>
    <n v="25.07"/>
    <n v="6.6444088319088318E-3"/>
  </r>
  <r>
    <s v="F073"/>
    <x v="3"/>
    <x v="2"/>
    <x v="0"/>
    <x v="0"/>
    <n v="4953.9799999999996"/>
    <n v="26170"/>
    <n v="8057.54"/>
    <n v="63.71"/>
    <n v="0.18929996178830721"/>
  </r>
  <r>
    <s v="F127"/>
    <x v="3"/>
    <x v="1"/>
    <x v="0"/>
    <x v="1"/>
    <n v="2322.96"/>
    <n v="77400"/>
    <n v="7504.8"/>
    <n v="68.819999999999993"/>
    <n v="3.0012403100775194E-2"/>
  </r>
  <r>
    <s v="F126"/>
    <x v="2"/>
    <x v="3"/>
    <x v="2"/>
    <x v="2"/>
    <n v="4662.91"/>
    <n v="75508"/>
    <n v="6856.22"/>
    <n v="18.2"/>
    <n v="6.1753853896275891E-2"/>
  </r>
  <r>
    <s v="F082"/>
    <x v="0"/>
    <x v="2"/>
    <x v="2"/>
    <x v="2"/>
    <n v="1907.29"/>
    <n v="17468"/>
    <n v="6359.73"/>
    <n v="5.22"/>
    <n v="0.10918765743073047"/>
  </r>
  <r>
    <s v="F108"/>
    <x v="3"/>
    <x v="1"/>
    <x v="0"/>
    <x v="1"/>
    <n v="1668.587237"/>
    <n v="39050"/>
    <n v="5885.73"/>
    <n v="93.04"/>
    <n v="4.2729506709346991E-2"/>
  </r>
  <r>
    <s v="F031"/>
    <x v="3"/>
    <x v="3"/>
    <x v="1"/>
    <x v="2"/>
    <n v="3260.51"/>
    <n v="86263"/>
    <n v="3213.71"/>
    <n v="98.39"/>
    <n v="3.7797317505767251E-2"/>
  </r>
  <r>
    <s v="F054"/>
    <x v="3"/>
    <x v="0"/>
    <x v="1"/>
    <x v="0"/>
    <n v="2218.4699999999998"/>
    <n v="38869"/>
    <n v="5109.76"/>
    <n v="35.270000000000003"/>
    <n v="5.7075561501453598E-2"/>
  </r>
  <r>
    <s v="F191"/>
    <x v="0"/>
    <x v="3"/>
    <x v="1"/>
    <x v="0"/>
    <n v="479.85"/>
    <n v="86557"/>
    <n v="8631.2800000000007"/>
    <n v="69.53"/>
    <n v="5.5437457398015188E-3"/>
  </r>
  <r>
    <s v="F144"/>
    <x v="2"/>
    <x v="0"/>
    <x v="2"/>
    <x v="1"/>
    <n v="401.65"/>
    <n v="16868"/>
    <n v="1378.01"/>
    <n v="47.52"/>
    <n v="2.3811358785866727E-2"/>
  </r>
  <r>
    <s v="F046"/>
    <x v="4"/>
    <x v="3"/>
    <x v="2"/>
    <x v="2"/>
    <n v="4844.9399999999996"/>
    <n v="87337"/>
    <n v="3603.06"/>
    <n v="67.13"/>
    <n v="5.5474083149180758E-2"/>
  </r>
  <r>
    <s v="F061"/>
    <x v="1"/>
    <x v="3"/>
    <x v="1"/>
    <x v="0"/>
    <n v="1954.31"/>
    <n v="21386"/>
    <n v="2271.92"/>
    <n v="49.67"/>
    <n v="9.1382680258112775E-2"/>
  </r>
  <r>
    <s v="F172"/>
    <x v="4"/>
    <x v="2"/>
    <x v="2"/>
    <x v="1"/>
    <n v="2094.86"/>
    <n v="98396"/>
    <n v="5174.07"/>
    <n v="63.38"/>
    <n v="2.1290093093215171E-2"/>
  </r>
  <r>
    <s v="F018"/>
    <x v="4"/>
    <x v="0"/>
    <x v="2"/>
    <x v="2"/>
    <n v="3876.8"/>
    <n v="69305"/>
    <n v="3203.67"/>
    <n v="83.65"/>
    <n v="5.5938243993939832E-2"/>
  </r>
  <r>
    <s v="F030"/>
    <x v="0"/>
    <x v="3"/>
    <x v="2"/>
    <x v="0"/>
    <n v="3209.34"/>
    <n v="49924"/>
    <n v="2199.16"/>
    <n v="75.48"/>
    <n v="6.4284512458937584E-2"/>
  </r>
  <r>
    <s v="F184"/>
    <x v="0"/>
    <x v="0"/>
    <x v="2"/>
    <x v="2"/>
    <n v="1290.4100000000001"/>
    <n v="22201"/>
    <n v="2853.66"/>
    <n v="71.94"/>
    <n v="5.8123958380253145E-2"/>
  </r>
  <r>
    <s v="F060"/>
    <x v="4"/>
    <x v="1"/>
    <x v="1"/>
    <x v="2"/>
    <n v="3768.03"/>
    <n v="41539"/>
    <n v="982.8"/>
    <n v="79.7"/>
    <n v="9.0710657454440416E-2"/>
  </r>
  <r>
    <s v="F041"/>
    <x v="1"/>
    <x v="0"/>
    <x v="2"/>
    <x v="0"/>
    <n v="2209.6"/>
    <n v="84721"/>
    <n v="2278.9699999999998"/>
    <n v="68.53"/>
    <n v="2.6080900839225221E-2"/>
  </r>
  <r>
    <s v="F064"/>
    <x v="1"/>
    <x v="3"/>
    <x v="0"/>
    <x v="2"/>
    <n v="3789.17"/>
    <n v="70481"/>
    <n v="4452.83"/>
    <n v="91.26"/>
    <n v="5.3761581135341442E-2"/>
  </r>
  <r>
    <s v="F124"/>
    <x v="3"/>
    <x v="0"/>
    <x v="2"/>
    <x v="0"/>
    <n v="2970.05"/>
    <n v="37309"/>
    <n v="4508.54"/>
    <n v="47.15"/>
    <n v="7.9606797287517767E-2"/>
  </r>
  <r>
    <s v="F131"/>
    <x v="4"/>
    <x v="2"/>
    <x v="2"/>
    <x v="0"/>
    <n v="1858.31"/>
    <n v="43294"/>
    <n v="3802.13"/>
    <n v="45.84"/>
    <n v="4.292303783434194E-2"/>
  </r>
  <r>
    <s v="F103"/>
    <x v="4"/>
    <x v="0"/>
    <x v="0"/>
    <x v="0"/>
    <n v="3702.9533959999999"/>
    <n v="22309"/>
    <n v="3656.29"/>
    <n v="75.25"/>
    <n v="0.16598473243982248"/>
  </r>
  <r>
    <s v="F152"/>
    <x v="4"/>
    <x v="2"/>
    <x v="2"/>
    <x v="0"/>
    <n v="3276"/>
    <n v="90679"/>
    <n v="7266.82"/>
    <n v="23.3"/>
    <n v="3.6127438546962362E-2"/>
  </r>
  <r>
    <s v="F085"/>
    <x v="4"/>
    <x v="0"/>
    <x v="1"/>
    <x v="2"/>
    <n v="526.37"/>
    <n v="29264"/>
    <n v="8362.7199999999993"/>
    <n v="61.93"/>
    <n v="1.7986946418808093E-2"/>
  </r>
  <r>
    <s v="F099"/>
    <x v="3"/>
    <x v="1"/>
    <x v="1"/>
    <x v="0"/>
    <n v="445.6"/>
    <n v="17162"/>
    <n v="5079.95"/>
    <n v="19.239999999999998"/>
    <n v="2.5964339820533738E-2"/>
  </r>
  <r>
    <s v="F128"/>
    <x v="2"/>
    <x v="3"/>
    <x v="0"/>
    <x v="1"/>
    <n v="4486.2700949999999"/>
    <n v="68216"/>
    <n v="9562.33"/>
    <n v="63.59"/>
    <n v="6.5765657543684769E-2"/>
  </r>
  <r>
    <s v="F124"/>
    <x v="3"/>
    <x v="1"/>
    <x v="0"/>
    <x v="1"/>
    <n v="1770.5416849999999"/>
    <n v="37309"/>
    <n v="4508.54"/>
    <n v="47.15"/>
    <n v="4.7456154949207963E-2"/>
  </r>
  <r>
    <s v="F031"/>
    <x v="3"/>
    <x v="3"/>
    <x v="0"/>
    <x v="2"/>
    <n v="2762.189746"/>
    <n v="86263"/>
    <n v="3213.71"/>
    <n v="98.39"/>
    <n v="3.202056207180367E-2"/>
  </r>
  <r>
    <s v="F198"/>
    <x v="3"/>
    <x v="3"/>
    <x v="1"/>
    <x v="1"/>
    <n v="1531.3"/>
    <n v="40577"/>
    <n v="4280.82"/>
    <n v="79.88"/>
    <n v="3.7738127510658748E-2"/>
  </r>
  <r>
    <s v="F135"/>
    <x v="3"/>
    <x v="3"/>
    <x v="0"/>
    <x v="1"/>
    <n v="4453.3686580000003"/>
    <n v="56531"/>
    <n v="8958.07"/>
    <n v="83.44"/>
    <n v="7.8777461180591188E-2"/>
  </r>
  <r>
    <s v="F019"/>
    <x v="0"/>
    <x v="2"/>
    <x v="2"/>
    <x v="0"/>
    <n v="4934.5600000000004"/>
    <n v="68018"/>
    <n v="3523.4"/>
    <n v="92.26"/>
    <n v="7.2547854979564244E-2"/>
  </r>
  <r>
    <s v="F199"/>
    <x v="0"/>
    <x v="1"/>
    <x v="1"/>
    <x v="0"/>
    <n v="1164.7"/>
    <n v="89321"/>
    <n v="9836.34"/>
    <n v="16.989999999999998"/>
    <n v="1.3039486794818688E-2"/>
  </r>
  <r>
    <s v="F145"/>
    <x v="4"/>
    <x v="1"/>
    <x v="1"/>
    <x v="2"/>
    <n v="2732.08"/>
    <n v="68492"/>
    <n v="3533.88"/>
    <n v="52.99"/>
    <n v="3.9889038135840681E-2"/>
  </r>
  <r>
    <s v="F196"/>
    <x v="4"/>
    <x v="1"/>
    <x v="0"/>
    <x v="0"/>
    <n v="3114.4974299999999"/>
    <n v="85444"/>
    <n v="852.57"/>
    <n v="72.650000000000006"/>
    <n v="3.6450744698281912E-2"/>
  </r>
  <r>
    <s v="F015"/>
    <x v="4"/>
    <x v="2"/>
    <x v="1"/>
    <x v="0"/>
    <n v="3329.18"/>
    <n v="80488"/>
    <n v="7629.95"/>
    <n v="63.83"/>
    <n v="4.1362439121359701E-2"/>
  </r>
  <r>
    <s v="F092"/>
    <x v="4"/>
    <x v="2"/>
    <x v="2"/>
    <x v="0"/>
    <n v="3195.93"/>
    <n v="79495"/>
    <n v="7157.48"/>
    <n v="26.84"/>
    <n v="4.0202905843134788E-2"/>
  </r>
  <r>
    <s v="F022"/>
    <x v="4"/>
    <x v="0"/>
    <x v="2"/>
    <x v="1"/>
    <n v="1246.5"/>
    <n v="20207"/>
    <n v="5369.46"/>
    <n v="57.51"/>
    <n v="6.1686544266838221E-2"/>
  </r>
  <r>
    <s v="F089"/>
    <x v="4"/>
    <x v="0"/>
    <x v="2"/>
    <x v="0"/>
    <n v="2737.6"/>
    <n v="58895"/>
    <n v="3039.17"/>
    <n v="59.82"/>
    <n v="4.6482723490958486E-2"/>
  </r>
  <r>
    <s v="F174"/>
    <x v="3"/>
    <x v="3"/>
    <x v="2"/>
    <x v="1"/>
    <n v="1722.2"/>
    <n v="95962"/>
    <n v="524.72"/>
    <n v="49.55"/>
    <n v="1.794668723036202E-2"/>
  </r>
  <r>
    <s v="F028"/>
    <x v="4"/>
    <x v="0"/>
    <x v="1"/>
    <x v="1"/>
    <n v="4036.12"/>
    <n v="73977"/>
    <n v="1646.75"/>
    <n v="43.77"/>
    <n v="5.4559119726401449E-2"/>
  </r>
  <r>
    <s v="F148"/>
    <x v="1"/>
    <x v="2"/>
    <x v="2"/>
    <x v="0"/>
    <n v="897.74"/>
    <n v="47491"/>
    <n v="5781.05"/>
    <n v="92.18"/>
    <n v="1.8903371165062854E-2"/>
  </r>
  <r>
    <s v="F053"/>
    <x v="0"/>
    <x v="2"/>
    <x v="1"/>
    <x v="0"/>
    <n v="1853.54"/>
    <n v="56392"/>
    <n v="5703.76"/>
    <n v="23.04"/>
    <n v="3.2868846644914171E-2"/>
  </r>
  <r>
    <s v="F089"/>
    <x v="4"/>
    <x v="3"/>
    <x v="1"/>
    <x v="1"/>
    <n v="4674.16"/>
    <n v="58895"/>
    <n v="3039.17"/>
    <n v="59.82"/>
    <n v="7.9364292384752524E-2"/>
  </r>
  <r>
    <s v="F028"/>
    <x v="4"/>
    <x v="1"/>
    <x v="0"/>
    <x v="1"/>
    <n v="4723.6000000000004"/>
    <n v="73977"/>
    <n v="1646.75"/>
    <n v="43.77"/>
    <n v="6.385227841085743E-2"/>
  </r>
  <r>
    <s v="F199"/>
    <x v="0"/>
    <x v="2"/>
    <x v="0"/>
    <x v="0"/>
    <n v="3244.2138880000002"/>
    <n v="89321"/>
    <n v="9836.34"/>
    <n v="16.989999999999998"/>
    <n v="3.6320841549019829E-2"/>
  </r>
  <r>
    <s v="F106"/>
    <x v="3"/>
    <x v="1"/>
    <x v="1"/>
    <x v="2"/>
    <n v="980.22"/>
    <n v="98682"/>
    <n v="6220.56"/>
    <n v="70.099999999999994"/>
    <n v="9.9331185018544411E-3"/>
  </r>
  <r>
    <s v="F007"/>
    <x v="4"/>
    <x v="0"/>
    <x v="2"/>
    <x v="1"/>
    <n v="4810.13"/>
    <n v="35506"/>
    <n v="1892.04"/>
    <n v="61.53"/>
    <n v="0.13547372275108432"/>
  </r>
  <r>
    <s v="F014"/>
    <x v="2"/>
    <x v="2"/>
    <x v="2"/>
    <x v="2"/>
    <n v="3868.27"/>
    <n v="17416"/>
    <n v="812.06"/>
    <n v="5.7"/>
    <n v="0.22211012861736334"/>
  </r>
  <r>
    <s v="F085"/>
    <x v="4"/>
    <x v="0"/>
    <x v="2"/>
    <x v="2"/>
    <n v="714.41"/>
    <n v="29264"/>
    <n v="8362.7199999999993"/>
    <n v="61.93"/>
    <n v="2.4412588846364134E-2"/>
  </r>
  <r>
    <s v="F199"/>
    <x v="0"/>
    <x v="1"/>
    <x v="0"/>
    <x v="0"/>
    <n v="1121.057894"/>
    <n v="89321"/>
    <n v="9836.34"/>
    <n v="16.989999999999998"/>
    <n v="1.2550888301743151E-2"/>
  </r>
  <r>
    <s v="F143"/>
    <x v="1"/>
    <x v="1"/>
    <x v="0"/>
    <x v="2"/>
    <n v="1645.674403"/>
    <n v="29406"/>
    <n v="5281.69"/>
    <n v="27.01"/>
    <n v="5.5963898626130722E-2"/>
  </r>
  <r>
    <s v="F072"/>
    <x v="2"/>
    <x v="3"/>
    <x v="0"/>
    <x v="1"/>
    <n v="3519.7372449999998"/>
    <n v="95292"/>
    <n v="697.47"/>
    <n v="88.35"/>
    <n v="3.6936335106829532E-2"/>
  </r>
  <r>
    <s v="F016"/>
    <x v="2"/>
    <x v="3"/>
    <x v="0"/>
    <x v="2"/>
    <n v="2222.6799999999998"/>
    <n v="93409"/>
    <n v="2375.83"/>
    <n v="5.83"/>
    <n v="2.3795137513515828E-2"/>
  </r>
  <r>
    <s v="F126"/>
    <x v="2"/>
    <x v="3"/>
    <x v="1"/>
    <x v="1"/>
    <n v="261.56"/>
    <n v="75508"/>
    <n v="6856.22"/>
    <n v="18.2"/>
    <n v="3.4640038141653864E-3"/>
  </r>
  <r>
    <s v="F032"/>
    <x v="1"/>
    <x v="3"/>
    <x v="0"/>
    <x v="2"/>
    <n v="4724.5603350000001"/>
    <n v="33688"/>
    <n v="9495.48"/>
    <n v="55.55"/>
    <n v="0.14024460742697697"/>
  </r>
  <r>
    <s v="F125"/>
    <x v="1"/>
    <x v="1"/>
    <x v="1"/>
    <x v="0"/>
    <n v="1696.11"/>
    <n v="82332"/>
    <n v="7134.86"/>
    <n v="22.44"/>
    <n v="2.060085993295438E-2"/>
  </r>
  <r>
    <s v="F167"/>
    <x v="2"/>
    <x v="1"/>
    <x v="2"/>
    <x v="2"/>
    <n v="1447.34"/>
    <n v="94128"/>
    <n v="8117.82"/>
    <n v="73.83"/>
    <n v="1.5376296107428182E-2"/>
  </r>
  <r>
    <s v="F183"/>
    <x v="3"/>
    <x v="1"/>
    <x v="1"/>
    <x v="2"/>
    <n v="3456.69"/>
    <n v="29860"/>
    <n v="3956.23"/>
    <n v="57.5"/>
    <n v="0.11576322839919626"/>
  </r>
  <r>
    <s v="F002"/>
    <x v="4"/>
    <x v="3"/>
    <x v="2"/>
    <x v="0"/>
    <n v="1842.07"/>
    <n v="53661"/>
    <n v="6965.81"/>
    <n v="69.400000000000006"/>
    <n v="3.4327910400477064E-2"/>
  </r>
  <r>
    <s v="F116"/>
    <x v="2"/>
    <x v="1"/>
    <x v="0"/>
    <x v="1"/>
    <n v="670.69"/>
    <n v="48501"/>
    <n v="7209.77"/>
    <n v="92.51"/>
    <n v="1.3828374672687162E-2"/>
  </r>
  <r>
    <s v="F047"/>
    <x v="0"/>
    <x v="2"/>
    <x v="0"/>
    <x v="1"/>
    <n v="1143.20198"/>
    <n v="39568"/>
    <n v="3580.54"/>
    <n v="78.08"/>
    <n v="2.889208400727861E-2"/>
  </r>
  <r>
    <s v="F126"/>
    <x v="2"/>
    <x v="2"/>
    <x v="0"/>
    <x v="0"/>
    <n v="3475.5149740000002"/>
    <n v="75508"/>
    <n v="6856.22"/>
    <n v="18.2"/>
    <n v="4.6028433728876411E-2"/>
  </r>
  <r>
    <s v="F176"/>
    <x v="4"/>
    <x v="3"/>
    <x v="2"/>
    <x v="0"/>
    <n v="1313.1"/>
    <n v="18726"/>
    <n v="5099.54"/>
    <n v="71.05"/>
    <n v="7.0121755847484771E-2"/>
  </r>
  <r>
    <s v="F037"/>
    <x v="3"/>
    <x v="1"/>
    <x v="1"/>
    <x v="2"/>
    <n v="2271.65"/>
    <n v="97337"/>
    <n v="3362.06"/>
    <n v="55.46"/>
    <n v="2.3337990692131463E-2"/>
  </r>
  <r>
    <s v="F126"/>
    <x v="2"/>
    <x v="0"/>
    <x v="0"/>
    <x v="1"/>
    <n v="4185.7462960000003"/>
    <n v="75508"/>
    <n v="6856.22"/>
    <n v="18.2"/>
    <n v="5.5434474439794462E-2"/>
  </r>
  <r>
    <s v="F135"/>
    <x v="3"/>
    <x v="1"/>
    <x v="0"/>
    <x v="0"/>
    <n v="704.33660399999997"/>
    <n v="56531"/>
    <n v="8958.07"/>
    <n v="83.44"/>
    <n v="1.2459298508782791E-2"/>
  </r>
  <r>
    <s v="F081"/>
    <x v="1"/>
    <x v="0"/>
    <x v="0"/>
    <x v="2"/>
    <n v="801.11"/>
    <n v="39560"/>
    <n v="8380.77"/>
    <n v="94.01"/>
    <n v="2.0250505561172902E-2"/>
  </r>
  <r>
    <s v="F158"/>
    <x v="3"/>
    <x v="1"/>
    <x v="1"/>
    <x v="0"/>
    <n v="1685.02"/>
    <n v="61157"/>
    <n v="7331.54"/>
    <n v="55.52"/>
    <n v="2.7552365223931848E-2"/>
  </r>
  <r>
    <s v="F183"/>
    <x v="3"/>
    <x v="0"/>
    <x v="1"/>
    <x v="0"/>
    <n v="4811.95"/>
    <n v="29860"/>
    <n v="3956.23"/>
    <n v="57.5"/>
    <n v="0.16115036838580041"/>
  </r>
  <r>
    <s v="F070"/>
    <x v="2"/>
    <x v="2"/>
    <x v="0"/>
    <x v="2"/>
    <n v="5093.5156129999996"/>
    <n v="15128"/>
    <n v="8847.09"/>
    <n v="5.25"/>
    <n v="0.33669458044685346"/>
  </r>
  <r>
    <s v="F092"/>
    <x v="4"/>
    <x v="2"/>
    <x v="0"/>
    <x v="2"/>
    <n v="4205.3747649999996"/>
    <n v="79495"/>
    <n v="7157.48"/>
    <n v="26.84"/>
    <n v="5.2901122900811365E-2"/>
  </r>
  <r>
    <s v="F012"/>
    <x v="3"/>
    <x v="2"/>
    <x v="0"/>
    <x v="1"/>
    <n v="1288.354116"/>
    <n v="43747"/>
    <n v="3453.48"/>
    <n v="98.78"/>
    <n v="2.9450113516355406E-2"/>
  </r>
  <r>
    <s v="F071"/>
    <x v="4"/>
    <x v="0"/>
    <x v="1"/>
    <x v="2"/>
    <n v="2663.02"/>
    <n v="26378"/>
    <n v="2915.44"/>
    <n v="29.84"/>
    <n v="0.1009560997801198"/>
  </r>
  <r>
    <s v="F070"/>
    <x v="2"/>
    <x v="0"/>
    <x v="1"/>
    <x v="0"/>
    <n v="2844.55"/>
    <n v="15128"/>
    <n v="8847.09"/>
    <n v="5.25"/>
    <n v="0.18803212585933371"/>
  </r>
  <r>
    <s v="F062"/>
    <x v="2"/>
    <x v="1"/>
    <x v="2"/>
    <x v="0"/>
    <n v="1998.08"/>
    <n v="19265"/>
    <n v="776.6"/>
    <n v="39.75"/>
    <n v="0.10371554632753698"/>
  </r>
  <r>
    <s v="F100"/>
    <x v="0"/>
    <x v="2"/>
    <x v="1"/>
    <x v="0"/>
    <n v="241.97"/>
    <n v="90632"/>
    <n v="5292.17"/>
    <n v="78.45"/>
    <n v="2.6698075734839792E-3"/>
  </r>
  <r>
    <s v="F114"/>
    <x v="1"/>
    <x v="1"/>
    <x v="0"/>
    <x v="1"/>
    <n v="2907.8946660000001"/>
    <n v="57353"/>
    <n v="2274.71"/>
    <n v="65.34"/>
    <n v="5.0701701149024468E-2"/>
  </r>
  <r>
    <s v="F077"/>
    <x v="4"/>
    <x v="2"/>
    <x v="0"/>
    <x v="1"/>
    <n v="4728.95"/>
    <n v="52836"/>
    <n v="9330.2999999999993"/>
    <n v="87.27"/>
    <n v="8.9502422590657882E-2"/>
  </r>
  <r>
    <s v="F198"/>
    <x v="3"/>
    <x v="1"/>
    <x v="1"/>
    <x v="2"/>
    <n v="4265.8500000000004"/>
    <n v="40577"/>
    <n v="4280.82"/>
    <n v="79.88"/>
    <n v="0.10512975330852455"/>
  </r>
  <r>
    <s v="F050"/>
    <x v="0"/>
    <x v="2"/>
    <x v="0"/>
    <x v="2"/>
    <n v="2361.5527539999998"/>
    <n v="10067"/>
    <n v="1953.33"/>
    <n v="25.15"/>
    <n v="0.23458356551107579"/>
  </r>
  <r>
    <s v="F026"/>
    <x v="2"/>
    <x v="2"/>
    <x v="1"/>
    <x v="0"/>
    <n v="235.74"/>
    <n v="32246"/>
    <n v="7903.93"/>
    <n v="42.12"/>
    <n v="7.3106741921478632E-3"/>
  </r>
  <r>
    <s v="F068"/>
    <x v="0"/>
    <x v="2"/>
    <x v="2"/>
    <x v="0"/>
    <n v="2737"/>
    <n v="44825"/>
    <n v="6023.03"/>
    <n v="27.2"/>
    <n v="6.1059676519799218E-2"/>
  </r>
  <r>
    <s v="F156"/>
    <x v="2"/>
    <x v="0"/>
    <x v="2"/>
    <x v="1"/>
    <n v="1539.15"/>
    <n v="88308"/>
    <n v="7802.07"/>
    <n v="36.130000000000003"/>
    <n v="1.7429338225302352E-2"/>
  </r>
  <r>
    <s v="F016"/>
    <x v="2"/>
    <x v="0"/>
    <x v="2"/>
    <x v="0"/>
    <n v="502.47"/>
    <n v="93409"/>
    <n v="2375.83"/>
    <n v="5.83"/>
    <n v="5.3792461111884298E-3"/>
  </r>
  <r>
    <s v="F092"/>
    <x v="4"/>
    <x v="0"/>
    <x v="1"/>
    <x v="1"/>
    <n v="2710.93"/>
    <n v="79495"/>
    <n v="7157.48"/>
    <n v="26.84"/>
    <n v="3.4101893200830236E-2"/>
  </r>
  <r>
    <s v="F009"/>
    <x v="0"/>
    <x v="3"/>
    <x v="0"/>
    <x v="0"/>
    <n v="2286.2420430000002"/>
    <n v="45644"/>
    <n v="7724.73"/>
    <n v="31"/>
    <n v="5.0088555845237054E-2"/>
  </r>
  <r>
    <s v="F158"/>
    <x v="3"/>
    <x v="2"/>
    <x v="0"/>
    <x v="0"/>
    <n v="3819.978924"/>
    <n v="61157"/>
    <n v="7331.54"/>
    <n v="55.52"/>
    <n v="6.2461842863449808E-2"/>
  </r>
  <r>
    <s v="F103"/>
    <x v="4"/>
    <x v="0"/>
    <x v="1"/>
    <x v="1"/>
    <n v="2138.08"/>
    <n v="22309"/>
    <n v="3656.29"/>
    <n v="75.25"/>
    <n v="9.5839347348603693E-2"/>
  </r>
  <r>
    <s v="F155"/>
    <x v="2"/>
    <x v="0"/>
    <x v="2"/>
    <x v="2"/>
    <n v="747.74"/>
    <n v="75736"/>
    <n v="6287.07"/>
    <n v="63.11"/>
    <n v="9.8729798246540608E-3"/>
  </r>
  <r>
    <s v="F083"/>
    <x v="2"/>
    <x v="3"/>
    <x v="2"/>
    <x v="2"/>
    <n v="1025.55"/>
    <n v="94704"/>
    <n v="6632.95"/>
    <n v="14.76"/>
    <n v="1.0829004054738975E-2"/>
  </r>
  <r>
    <s v="F006"/>
    <x v="4"/>
    <x v="0"/>
    <x v="0"/>
    <x v="1"/>
    <n v="3382"/>
    <n v="11426"/>
    <n v="4439.5600000000004"/>
    <n v="52.71"/>
    <n v="0.29599159810957465"/>
  </r>
  <r>
    <s v="F164"/>
    <x v="0"/>
    <x v="2"/>
    <x v="1"/>
    <x v="2"/>
    <n v="1772.18"/>
    <n v="60710"/>
    <n v="2726.26"/>
    <n v="83.02"/>
    <n v="2.9190907593477186E-2"/>
  </r>
  <r>
    <s v="F044"/>
    <x v="1"/>
    <x v="1"/>
    <x v="2"/>
    <x v="2"/>
    <n v="2150.66"/>
    <n v="93661"/>
    <n v="7324.58"/>
    <n v="23.55"/>
    <n v="2.2962172088702874E-2"/>
  </r>
  <r>
    <s v="F072"/>
    <x v="2"/>
    <x v="3"/>
    <x v="1"/>
    <x v="1"/>
    <n v="3214.91"/>
    <n v="95292"/>
    <n v="697.47"/>
    <n v="88.35"/>
    <n v="3.3737459597867607E-2"/>
  </r>
  <r>
    <s v="F042"/>
    <x v="1"/>
    <x v="3"/>
    <x v="1"/>
    <x v="2"/>
    <n v="1475.38"/>
    <n v="58111"/>
    <n v="4610.8999999999996"/>
    <n v="21.53"/>
    <n v="2.5388996919688184E-2"/>
  </r>
  <r>
    <s v="F079"/>
    <x v="2"/>
    <x v="0"/>
    <x v="2"/>
    <x v="2"/>
    <n v="2631.42"/>
    <n v="17311"/>
    <n v="2257.38"/>
    <n v="91.07"/>
    <n v="0.15200854947721101"/>
  </r>
  <r>
    <s v="F191"/>
    <x v="0"/>
    <x v="1"/>
    <x v="1"/>
    <x v="1"/>
    <n v="2973.99"/>
    <n v="86557"/>
    <n v="8631.2800000000007"/>
    <n v="69.53"/>
    <n v="3.4358746259690147E-2"/>
  </r>
  <r>
    <s v="F134"/>
    <x v="3"/>
    <x v="0"/>
    <x v="1"/>
    <x v="2"/>
    <n v="587.89"/>
    <n v="16256"/>
    <n v="2127.1799999999998"/>
    <n v="38.94"/>
    <n v="3.6164493110236222E-2"/>
  </r>
  <r>
    <s v="F118"/>
    <x v="0"/>
    <x v="3"/>
    <x v="1"/>
    <x v="2"/>
    <n v="599.52"/>
    <n v="14170"/>
    <n v="5455.23"/>
    <n v="25.46"/>
    <n v="4.2309103740296401E-2"/>
  </r>
  <r>
    <s v="F168"/>
    <x v="2"/>
    <x v="0"/>
    <x v="2"/>
    <x v="0"/>
    <n v="1993.42"/>
    <n v="24095"/>
    <n v="3167.52"/>
    <n v="31.02"/>
    <n v="8.2731687072006649E-2"/>
  </r>
  <r>
    <s v="F169"/>
    <x v="2"/>
    <x v="1"/>
    <x v="1"/>
    <x v="0"/>
    <n v="1395.49"/>
    <n v="44994"/>
    <n v="7305.59"/>
    <n v="91.53"/>
    <n v="3.1015024225452284E-2"/>
  </r>
  <r>
    <s v="F093"/>
    <x v="2"/>
    <x v="1"/>
    <x v="0"/>
    <x v="1"/>
    <n v="2509.14"/>
    <n v="15553"/>
    <n v="3909.51"/>
    <n v="46.44"/>
    <n v="0.161328361087893"/>
  </r>
  <r>
    <s v="F108"/>
    <x v="3"/>
    <x v="2"/>
    <x v="0"/>
    <x v="2"/>
    <n v="2619.1304719999998"/>
    <n v="39050"/>
    <n v="5885.73"/>
    <n v="93.04"/>
    <n v="6.7071202868117796E-2"/>
  </r>
  <r>
    <s v="F024"/>
    <x v="4"/>
    <x v="1"/>
    <x v="1"/>
    <x v="0"/>
    <n v="1192.6600000000001"/>
    <n v="95718"/>
    <n v="2443.12"/>
    <n v="35.49"/>
    <n v="1.2460143337721224E-2"/>
  </r>
  <r>
    <s v="F108"/>
    <x v="3"/>
    <x v="3"/>
    <x v="0"/>
    <x v="2"/>
    <n v="639.35639619999995"/>
    <n v="39050"/>
    <n v="5885.73"/>
    <n v="93.04"/>
    <n v="1.6372763026888604E-2"/>
  </r>
  <r>
    <s v="F002"/>
    <x v="4"/>
    <x v="1"/>
    <x v="2"/>
    <x v="2"/>
    <n v="3446.07"/>
    <n v="53661"/>
    <n v="6965.81"/>
    <n v="69.400000000000006"/>
    <n v="6.4219265388270816E-2"/>
  </r>
  <r>
    <s v="F095"/>
    <x v="2"/>
    <x v="1"/>
    <x v="0"/>
    <x v="0"/>
    <n v="2973.1976180000001"/>
    <n v="49885"/>
    <n v="6845.46"/>
    <n v="58.4"/>
    <n v="5.9601034739901776E-2"/>
  </r>
  <r>
    <s v="F005"/>
    <x v="4"/>
    <x v="1"/>
    <x v="2"/>
    <x v="1"/>
    <n v="4562.24"/>
    <n v="61743"/>
    <n v="7426.75"/>
    <n v="26.39"/>
    <n v="7.3890805435433971E-2"/>
  </r>
  <r>
    <s v="F162"/>
    <x v="3"/>
    <x v="1"/>
    <x v="2"/>
    <x v="1"/>
    <n v="3500.64"/>
    <n v="18175"/>
    <n v="8349.49"/>
    <n v="39.97"/>
    <n v="0.19260742778541953"/>
  </r>
  <r>
    <s v="F025"/>
    <x v="4"/>
    <x v="0"/>
    <x v="2"/>
    <x v="2"/>
    <n v="3289.66"/>
    <n v="32131"/>
    <n v="1474.23"/>
    <n v="45.47"/>
    <n v="0.10238274563505648"/>
  </r>
  <r>
    <s v="F100"/>
    <x v="0"/>
    <x v="3"/>
    <x v="1"/>
    <x v="1"/>
    <n v="540.26"/>
    <n v="90632"/>
    <n v="5292.17"/>
    <n v="78.45"/>
    <n v="5.9610292170535796E-3"/>
  </r>
  <r>
    <s v="F171"/>
    <x v="4"/>
    <x v="2"/>
    <x v="1"/>
    <x v="1"/>
    <n v="3784.31"/>
    <n v="98356"/>
    <n v="6968.69"/>
    <n v="81.72"/>
    <n v="3.8475639513603645E-2"/>
  </r>
  <r>
    <s v="F101"/>
    <x v="3"/>
    <x v="1"/>
    <x v="2"/>
    <x v="2"/>
    <n v="2320.83"/>
    <n v="65719"/>
    <n v="9362.41"/>
    <n v="86.55"/>
    <n v="3.5314444833305439E-2"/>
  </r>
  <r>
    <s v="F016"/>
    <x v="2"/>
    <x v="3"/>
    <x v="1"/>
    <x v="1"/>
    <n v="2311.4499999999998"/>
    <n v="93409"/>
    <n v="2375.83"/>
    <n v="5.83"/>
    <n v="2.4745474204841075E-2"/>
  </r>
  <r>
    <s v="F174"/>
    <x v="3"/>
    <x v="2"/>
    <x v="2"/>
    <x v="0"/>
    <n v="4836.59"/>
    <n v="95962"/>
    <n v="524.72"/>
    <n v="49.55"/>
    <n v="5.0401096267272461E-2"/>
  </r>
  <r>
    <s v="F077"/>
    <x v="4"/>
    <x v="1"/>
    <x v="2"/>
    <x v="1"/>
    <n v="4870.82"/>
    <n v="52836"/>
    <n v="9330.2999999999993"/>
    <n v="87.27"/>
    <n v="9.2187523658111892E-2"/>
  </r>
  <r>
    <s v="F149"/>
    <x v="1"/>
    <x v="2"/>
    <x v="2"/>
    <x v="1"/>
    <n v="4492.74"/>
    <n v="61207"/>
    <n v="6922.33"/>
    <n v="9.1999999999999993"/>
    <n v="7.3402388615681213E-2"/>
  </r>
  <r>
    <s v="F192"/>
    <x v="4"/>
    <x v="3"/>
    <x v="1"/>
    <x v="0"/>
    <n v="2776.43"/>
    <n v="21914"/>
    <n v="5897.27"/>
    <n v="49.41"/>
    <n v="0.12669663228986036"/>
  </r>
  <r>
    <s v="F107"/>
    <x v="2"/>
    <x v="2"/>
    <x v="2"/>
    <x v="0"/>
    <n v="4987.59"/>
    <n v="43512"/>
    <n v="5352.18"/>
    <n v="6.17"/>
    <n v="0.11462562051847766"/>
  </r>
  <r>
    <s v="F096"/>
    <x v="0"/>
    <x v="0"/>
    <x v="0"/>
    <x v="0"/>
    <n v="1335.7609"/>
    <n v="21388"/>
    <n v="5249.39"/>
    <n v="64.2"/>
    <n v="6.2453754441743031E-2"/>
  </r>
  <r>
    <s v="F139"/>
    <x v="0"/>
    <x v="3"/>
    <x v="1"/>
    <x v="0"/>
    <n v="1293.21"/>
    <n v="80904"/>
    <n v="3263.09"/>
    <n v="58.37"/>
    <n v="1.5984500148323939E-2"/>
  </r>
  <r>
    <s v="F195"/>
    <x v="1"/>
    <x v="3"/>
    <x v="2"/>
    <x v="2"/>
    <n v="1708"/>
    <n v="87012"/>
    <n v="7478.13"/>
    <n v="27.22"/>
    <n v="1.962947639406059E-2"/>
  </r>
  <r>
    <s v="F127"/>
    <x v="3"/>
    <x v="1"/>
    <x v="2"/>
    <x v="2"/>
    <n v="4594.9799999999996"/>
    <n v="77400"/>
    <n v="7504.8"/>
    <n v="68.819999999999993"/>
    <n v="5.9366666666666658E-2"/>
  </r>
  <r>
    <s v="F159"/>
    <x v="0"/>
    <x v="2"/>
    <x v="1"/>
    <x v="0"/>
    <n v="831.81"/>
    <n v="72224"/>
    <n v="1613.32"/>
    <n v="39.21"/>
    <n v="1.1517085733274257E-2"/>
  </r>
  <r>
    <s v="F151"/>
    <x v="2"/>
    <x v="2"/>
    <x v="1"/>
    <x v="0"/>
    <n v="2545.9"/>
    <n v="81057"/>
    <n v="675.41"/>
    <n v="55.44"/>
    <n v="3.1408761735568801E-2"/>
  </r>
  <r>
    <s v="F095"/>
    <x v="2"/>
    <x v="3"/>
    <x v="0"/>
    <x v="0"/>
    <n v="1207.1362979999999"/>
    <n v="49885"/>
    <n v="6845.46"/>
    <n v="58.4"/>
    <n v="2.4198382239150044E-2"/>
  </r>
  <r>
    <s v="F101"/>
    <x v="3"/>
    <x v="2"/>
    <x v="0"/>
    <x v="2"/>
    <n v="2790.8028279999999"/>
    <n v="65719"/>
    <n v="9362.41"/>
    <n v="86.55"/>
    <n v="4.2465692235122261E-2"/>
  </r>
  <r>
    <s v="F132"/>
    <x v="4"/>
    <x v="2"/>
    <x v="2"/>
    <x v="1"/>
    <n v="1945.28"/>
    <n v="76544"/>
    <n v="8632.77"/>
    <n v="12.87"/>
    <n v="2.5413879598662207E-2"/>
  </r>
  <r>
    <s v="F107"/>
    <x v="2"/>
    <x v="3"/>
    <x v="0"/>
    <x v="2"/>
    <n v="3670.5421860000001"/>
    <n v="43512"/>
    <n v="5352.18"/>
    <n v="6.17"/>
    <n v="8.4357009238830674E-2"/>
  </r>
  <r>
    <s v="F134"/>
    <x v="3"/>
    <x v="1"/>
    <x v="1"/>
    <x v="2"/>
    <n v="1954.98"/>
    <n v="16256"/>
    <n v="2127.1799999999998"/>
    <n v="38.94"/>
    <n v="0.12026205708661418"/>
  </r>
  <r>
    <s v="F196"/>
    <x v="4"/>
    <x v="1"/>
    <x v="1"/>
    <x v="1"/>
    <n v="2205.38"/>
    <n v="85444"/>
    <n v="852.57"/>
    <n v="72.650000000000006"/>
    <n v="2.5810823463321007E-2"/>
  </r>
  <r>
    <s v="F166"/>
    <x v="3"/>
    <x v="2"/>
    <x v="1"/>
    <x v="2"/>
    <n v="1900.73"/>
    <n v="96474"/>
    <n v="7574.39"/>
    <n v="95.54"/>
    <n v="1.970199224661567E-2"/>
  </r>
  <r>
    <s v="F008"/>
    <x v="3"/>
    <x v="1"/>
    <x v="0"/>
    <x v="0"/>
    <n v="2512.7800000000002"/>
    <n v="50306"/>
    <n v="7031.37"/>
    <n v="13.27"/>
    <n v="4.9949906571780708E-2"/>
  </r>
  <r>
    <s v="F047"/>
    <x v="0"/>
    <x v="2"/>
    <x v="0"/>
    <x v="1"/>
    <n v="3560.2940319999998"/>
    <n v="39568"/>
    <n v="3580.54"/>
    <n v="78.08"/>
    <n v="8.9979125353821271E-2"/>
  </r>
  <r>
    <s v="F172"/>
    <x v="4"/>
    <x v="2"/>
    <x v="1"/>
    <x v="0"/>
    <n v="4844.28"/>
    <n v="98396"/>
    <n v="5174.07"/>
    <n v="63.38"/>
    <n v="4.9232489125574208E-2"/>
  </r>
  <r>
    <s v="F048"/>
    <x v="0"/>
    <x v="1"/>
    <x v="1"/>
    <x v="1"/>
    <n v="3100.15"/>
    <n v="26338"/>
    <n v="578.73"/>
    <n v="72.52"/>
    <n v="0.11770635583567469"/>
  </r>
  <r>
    <s v="F100"/>
    <x v="0"/>
    <x v="0"/>
    <x v="2"/>
    <x v="1"/>
    <n v="2791.16"/>
    <n v="90632"/>
    <n v="5292.17"/>
    <n v="78.45"/>
    <n v="3.0796628122517433E-2"/>
  </r>
  <r>
    <s v="F125"/>
    <x v="1"/>
    <x v="0"/>
    <x v="1"/>
    <x v="1"/>
    <n v="774.95"/>
    <n v="82332"/>
    <n v="7134.86"/>
    <n v="22.44"/>
    <n v="9.4125006072972844E-3"/>
  </r>
  <r>
    <s v="F025"/>
    <x v="4"/>
    <x v="0"/>
    <x v="0"/>
    <x v="1"/>
    <n v="2907.121024"/>
    <n v="32131"/>
    <n v="1474.23"/>
    <n v="45.47"/>
    <n v="9.0477141203199399E-2"/>
  </r>
  <r>
    <s v="F069"/>
    <x v="4"/>
    <x v="2"/>
    <x v="0"/>
    <x v="0"/>
    <n v="1885.37"/>
    <n v="85488"/>
    <n v="9691.57"/>
    <n v="96.98"/>
    <n v="2.2054206438330524E-2"/>
  </r>
  <r>
    <s v="F173"/>
    <x v="1"/>
    <x v="2"/>
    <x v="0"/>
    <x v="0"/>
    <n v="3784.5787529999998"/>
    <n v="38181"/>
    <n v="691.84"/>
    <n v="33.53"/>
    <n v="9.912204376522353E-2"/>
  </r>
  <r>
    <s v="F031"/>
    <x v="3"/>
    <x v="3"/>
    <x v="2"/>
    <x v="0"/>
    <n v="2788.31"/>
    <n v="86263"/>
    <n v="3213.71"/>
    <n v="98.39"/>
    <n v="3.2323359957339766E-2"/>
  </r>
  <r>
    <s v="F171"/>
    <x v="4"/>
    <x v="1"/>
    <x v="1"/>
    <x v="1"/>
    <n v="3315.9"/>
    <n v="98356"/>
    <n v="6968.69"/>
    <n v="81.72"/>
    <n v="3.3713245760299319E-2"/>
  </r>
  <r>
    <s v="F033"/>
    <x v="0"/>
    <x v="3"/>
    <x v="2"/>
    <x v="2"/>
    <n v="1940.67"/>
    <n v="47727"/>
    <n v="8907.33"/>
    <n v="47.4"/>
    <n v="4.0661889496511408E-2"/>
  </r>
  <r>
    <s v="F038"/>
    <x v="4"/>
    <x v="1"/>
    <x v="0"/>
    <x v="2"/>
    <n v="4052.32"/>
    <n v="18341"/>
    <n v="8465.57"/>
    <n v="38.39"/>
    <n v="0.22094324191701653"/>
  </r>
  <r>
    <s v="F157"/>
    <x v="0"/>
    <x v="3"/>
    <x v="0"/>
    <x v="0"/>
    <n v="1277.295351"/>
    <n v="15788"/>
    <n v="1824.14"/>
    <n v="52.78"/>
    <n v="8.0902923169495822E-2"/>
  </r>
  <r>
    <s v="F095"/>
    <x v="2"/>
    <x v="1"/>
    <x v="2"/>
    <x v="1"/>
    <n v="1024.25"/>
    <n v="49885"/>
    <n v="6845.46"/>
    <n v="58.4"/>
    <n v="2.0532224115465569E-2"/>
  </r>
  <r>
    <s v="F077"/>
    <x v="4"/>
    <x v="0"/>
    <x v="2"/>
    <x v="0"/>
    <n v="167.21"/>
    <n v="52836"/>
    <n v="9330.2999999999993"/>
    <n v="87.27"/>
    <n v="3.1646983117571354E-3"/>
  </r>
  <r>
    <s v="F140"/>
    <x v="4"/>
    <x v="2"/>
    <x v="2"/>
    <x v="0"/>
    <n v="996.06"/>
    <n v="94347"/>
    <n v="2272.58"/>
    <n v="34.75"/>
    <n v="1.0557410410505898E-2"/>
  </r>
  <r>
    <s v="F177"/>
    <x v="3"/>
    <x v="3"/>
    <x v="2"/>
    <x v="0"/>
    <n v="1827.8"/>
    <n v="87482"/>
    <n v="2231.7399999999998"/>
    <n v="45.43"/>
    <n v="2.0893440936421207E-2"/>
  </r>
  <r>
    <s v="F025"/>
    <x v="4"/>
    <x v="3"/>
    <x v="2"/>
    <x v="2"/>
    <n v="4065.52"/>
    <n v="32131"/>
    <n v="1474.23"/>
    <n v="45.47"/>
    <n v="0.12652951977840715"/>
  </r>
  <r>
    <s v="F089"/>
    <x v="4"/>
    <x v="2"/>
    <x v="0"/>
    <x v="0"/>
    <n v="484.81994279999998"/>
    <n v="58895"/>
    <n v="3039.17"/>
    <n v="59.82"/>
    <n v="8.2319372238729947E-3"/>
  </r>
  <r>
    <s v="F113"/>
    <x v="3"/>
    <x v="0"/>
    <x v="0"/>
    <x v="2"/>
    <n v="4023.0128370000002"/>
    <n v="69636"/>
    <n v="4246.55"/>
    <n v="69.290000000000006"/>
    <n v="5.7772026494916424E-2"/>
  </r>
  <r>
    <s v="F193"/>
    <x v="1"/>
    <x v="0"/>
    <x v="0"/>
    <x v="2"/>
    <n v="895.43359580000003"/>
    <n v="15333"/>
    <n v="2570.54"/>
    <n v="41.07"/>
    <n v="5.8399112750277184E-2"/>
  </r>
  <r>
    <s v="F048"/>
    <x v="0"/>
    <x v="2"/>
    <x v="0"/>
    <x v="2"/>
    <n v="1949.1030049999999"/>
    <n v="26338"/>
    <n v="578.73"/>
    <n v="72.52"/>
    <n v="7.400345527374895E-2"/>
  </r>
  <r>
    <s v="F025"/>
    <x v="4"/>
    <x v="2"/>
    <x v="2"/>
    <x v="2"/>
    <n v="3777.75"/>
    <n v="32131"/>
    <n v="1474.23"/>
    <n v="45.47"/>
    <n v="0.11757337151037939"/>
  </r>
  <r>
    <s v="F194"/>
    <x v="3"/>
    <x v="1"/>
    <x v="1"/>
    <x v="2"/>
    <n v="3625.63"/>
    <n v="42382"/>
    <n v="5116.6899999999996"/>
    <n v="80.42"/>
    <n v="8.5546458402151859E-2"/>
  </r>
  <r>
    <s v="F106"/>
    <x v="3"/>
    <x v="3"/>
    <x v="1"/>
    <x v="2"/>
    <n v="2991.57"/>
    <n v="98682"/>
    <n v="6220.56"/>
    <n v="70.099999999999994"/>
    <n v="3.0315255061713384E-2"/>
  </r>
  <r>
    <s v="F056"/>
    <x v="4"/>
    <x v="0"/>
    <x v="1"/>
    <x v="1"/>
    <n v="1016.04"/>
    <n v="99026"/>
    <n v="5453.2"/>
    <n v="57.49"/>
    <n v="1.0260335669420152E-2"/>
  </r>
  <r>
    <s v="F151"/>
    <x v="2"/>
    <x v="1"/>
    <x v="1"/>
    <x v="2"/>
    <n v="162.68"/>
    <n v="81057"/>
    <n v="675.41"/>
    <n v="55.44"/>
    <n v="2.0069827405406072E-3"/>
  </r>
  <r>
    <s v="F121"/>
    <x v="3"/>
    <x v="2"/>
    <x v="0"/>
    <x v="0"/>
    <n v="2442.2862220000002"/>
    <n v="11952"/>
    <n v="4637.74"/>
    <n v="63.78"/>
    <n v="0.20434121670013389"/>
  </r>
  <r>
    <s v="F010"/>
    <x v="0"/>
    <x v="0"/>
    <x v="1"/>
    <x v="1"/>
    <n v="2499.21"/>
    <n v="32991"/>
    <n v="8540.14"/>
    <n v="37.75"/>
    <n v="7.5754296626352649E-2"/>
  </r>
  <r>
    <s v="F151"/>
    <x v="2"/>
    <x v="1"/>
    <x v="1"/>
    <x v="1"/>
    <n v="880"/>
    <n v="81057"/>
    <n v="675.41"/>
    <n v="55.44"/>
    <n v="1.0856557730979434E-2"/>
  </r>
  <r>
    <s v="F109"/>
    <x v="0"/>
    <x v="0"/>
    <x v="0"/>
    <x v="2"/>
    <n v="1240.920038"/>
    <n v="34318"/>
    <n v="675.67"/>
    <n v="41.05"/>
    <n v="3.6159450958680575E-2"/>
  </r>
  <r>
    <s v="F002"/>
    <x v="4"/>
    <x v="2"/>
    <x v="1"/>
    <x v="1"/>
    <n v="960.86"/>
    <n v="53661"/>
    <n v="6965.81"/>
    <n v="69.400000000000006"/>
    <n v="1.7906114310206667E-2"/>
  </r>
  <r>
    <s v="F090"/>
    <x v="2"/>
    <x v="0"/>
    <x v="0"/>
    <x v="1"/>
    <n v="4165.4782670000004"/>
    <n v="29895"/>
    <n v="1631.08"/>
    <n v="39.93"/>
    <n v="0.13933695490884765"/>
  </r>
  <r>
    <s v="F162"/>
    <x v="3"/>
    <x v="2"/>
    <x v="2"/>
    <x v="0"/>
    <n v="2805.55"/>
    <n v="18175"/>
    <n v="8349.49"/>
    <n v="39.97"/>
    <n v="0.15436313617606603"/>
  </r>
  <r>
    <s v="F177"/>
    <x v="3"/>
    <x v="1"/>
    <x v="0"/>
    <x v="2"/>
    <n v="5115.6804760000005"/>
    <n v="87482"/>
    <n v="2231.7399999999998"/>
    <n v="45.43"/>
    <n v="5.8476949269564031E-2"/>
  </r>
  <r>
    <s v="F034"/>
    <x v="4"/>
    <x v="3"/>
    <x v="0"/>
    <x v="0"/>
    <n v="771.92290009999999"/>
    <n v="67213"/>
    <n v="5533.81"/>
    <n v="90.88"/>
    <n v="1.1484726170532486E-2"/>
  </r>
  <r>
    <s v="F177"/>
    <x v="3"/>
    <x v="0"/>
    <x v="2"/>
    <x v="0"/>
    <n v="2773.86"/>
    <n v="87482"/>
    <n v="2231.7399999999998"/>
    <n v="45.43"/>
    <n v="3.1707779886148008E-2"/>
  </r>
  <r>
    <s v="F055"/>
    <x v="2"/>
    <x v="3"/>
    <x v="1"/>
    <x v="0"/>
    <n v="3950.71"/>
    <n v="41050"/>
    <n v="6025.84"/>
    <n v="53.53"/>
    <n v="9.624141291108404E-2"/>
  </r>
  <r>
    <s v="F078"/>
    <x v="0"/>
    <x v="3"/>
    <x v="2"/>
    <x v="2"/>
    <n v="2266.44"/>
    <n v="78624"/>
    <n v="2373.27"/>
    <n v="25.07"/>
    <n v="2.8826312576312577E-2"/>
  </r>
  <r>
    <s v="F091"/>
    <x v="4"/>
    <x v="2"/>
    <x v="2"/>
    <x v="2"/>
    <n v="4964.76"/>
    <n v="43490"/>
    <n v="9300.8799999999992"/>
    <n v="58.43"/>
    <n v="0.11415865716256611"/>
  </r>
  <r>
    <s v="F082"/>
    <x v="0"/>
    <x v="1"/>
    <x v="1"/>
    <x v="1"/>
    <n v="2700.64"/>
    <n v="17468"/>
    <n v="6359.73"/>
    <n v="5.22"/>
    <n v="0.15460499198534464"/>
  </r>
  <r>
    <s v="F183"/>
    <x v="3"/>
    <x v="0"/>
    <x v="1"/>
    <x v="0"/>
    <n v="4643.79"/>
    <n v="29860"/>
    <n v="3956.23"/>
    <n v="57.5"/>
    <n v="0.15551875418620228"/>
  </r>
  <r>
    <s v="F090"/>
    <x v="2"/>
    <x v="0"/>
    <x v="0"/>
    <x v="2"/>
    <n v="4947.7396909999998"/>
    <n v="29895"/>
    <n v="1631.08"/>
    <n v="39.93"/>
    <n v="0.16550392008697107"/>
  </r>
  <r>
    <s v="F018"/>
    <x v="4"/>
    <x v="0"/>
    <x v="0"/>
    <x v="0"/>
    <n v="2116.6523769999999"/>
    <n v="69305"/>
    <n v="3203.67"/>
    <n v="83.65"/>
    <n v="3.0541120799365124E-2"/>
  </r>
  <r>
    <s v="F102"/>
    <x v="1"/>
    <x v="1"/>
    <x v="1"/>
    <x v="0"/>
    <n v="425.91"/>
    <n v="82377"/>
    <n v="7974.74"/>
    <n v="9.17"/>
    <n v="5.1702538329873636E-3"/>
  </r>
  <r>
    <s v="F001"/>
    <x v="1"/>
    <x v="3"/>
    <x v="2"/>
    <x v="0"/>
    <n v="466.45"/>
    <n v="54133"/>
    <n v="8543.68"/>
    <n v="24"/>
    <n v="8.6167402508636141E-3"/>
  </r>
  <r>
    <s v="F078"/>
    <x v="0"/>
    <x v="2"/>
    <x v="2"/>
    <x v="1"/>
    <n v="1868.24"/>
    <n v="78624"/>
    <n v="2373.27"/>
    <n v="25.07"/>
    <n v="2.3761701261701261E-2"/>
  </r>
  <r>
    <s v="F151"/>
    <x v="2"/>
    <x v="1"/>
    <x v="0"/>
    <x v="0"/>
    <n v="3497.3453829999999"/>
    <n v="81057"/>
    <n v="675.41"/>
    <n v="55.44"/>
    <n v="4.3146740972402134E-2"/>
  </r>
  <r>
    <s v="F153"/>
    <x v="3"/>
    <x v="0"/>
    <x v="1"/>
    <x v="1"/>
    <n v="3774.06"/>
    <n v="95306"/>
    <n v="9037.76"/>
    <n v="13.35"/>
    <n v="3.9599395630915156E-2"/>
  </r>
  <r>
    <s v="F072"/>
    <x v="2"/>
    <x v="0"/>
    <x v="2"/>
    <x v="2"/>
    <n v="518.79999999999995"/>
    <n v="95292"/>
    <n v="697.47"/>
    <n v="88.35"/>
    <n v="5.4443185157201021E-3"/>
  </r>
  <r>
    <s v="F170"/>
    <x v="2"/>
    <x v="0"/>
    <x v="2"/>
    <x v="1"/>
    <n v="2317.02"/>
    <n v="24502"/>
    <n v="7466.86"/>
    <n v="88.83"/>
    <n v="9.456452534486981E-2"/>
  </r>
  <r>
    <s v="F185"/>
    <x v="0"/>
    <x v="0"/>
    <x v="1"/>
    <x v="2"/>
    <n v="3340.8"/>
    <n v="68820"/>
    <n v="9612.25"/>
    <n v="83.51"/>
    <n v="4.854402789886661E-2"/>
  </r>
  <r>
    <s v="F122"/>
    <x v="4"/>
    <x v="1"/>
    <x v="2"/>
    <x v="1"/>
    <n v="3888.93"/>
    <n v="49620"/>
    <n v="2424.31"/>
    <n v="62.09"/>
    <n v="7.8374244256348244E-2"/>
  </r>
  <r>
    <s v="F002"/>
    <x v="4"/>
    <x v="2"/>
    <x v="0"/>
    <x v="2"/>
    <n v="4696.2290000000003"/>
    <n v="53661"/>
    <n v="6965.81"/>
    <n v="69.400000000000006"/>
    <n v="8.7516613555468595E-2"/>
  </r>
  <r>
    <s v="F134"/>
    <x v="3"/>
    <x v="2"/>
    <x v="2"/>
    <x v="1"/>
    <n v="149.05000000000001"/>
    <n v="16256"/>
    <n v="2127.1799999999998"/>
    <n v="38.94"/>
    <n v="9.1689222440944889E-3"/>
  </r>
  <r>
    <s v="F186"/>
    <x v="4"/>
    <x v="1"/>
    <x v="0"/>
    <x v="2"/>
    <n v="3665.9483260000002"/>
    <n v="61942"/>
    <n v="4891.32"/>
    <n v="91.59"/>
    <n v="5.9183564076071164E-2"/>
  </r>
  <r>
    <s v="F008"/>
    <x v="3"/>
    <x v="1"/>
    <x v="1"/>
    <x v="0"/>
    <n v="4101.93"/>
    <n v="50306"/>
    <n v="7031.37"/>
    <n v="13.27"/>
    <n v="8.1539577783962161E-2"/>
  </r>
  <r>
    <s v="F028"/>
    <x v="4"/>
    <x v="3"/>
    <x v="1"/>
    <x v="2"/>
    <n v="2897.14"/>
    <n v="73977"/>
    <n v="1646.75"/>
    <n v="43.77"/>
    <n v="3.9162712735039268E-2"/>
  </r>
  <r>
    <s v="F032"/>
    <x v="1"/>
    <x v="3"/>
    <x v="1"/>
    <x v="1"/>
    <n v="828.73"/>
    <n v="33688"/>
    <n v="9495.48"/>
    <n v="55.55"/>
    <n v="2.4600154357634768E-2"/>
  </r>
  <r>
    <s v="F174"/>
    <x v="3"/>
    <x v="3"/>
    <x v="2"/>
    <x v="1"/>
    <n v="3155.64"/>
    <n v="95962"/>
    <n v="524.72"/>
    <n v="49.55"/>
    <n v="3.2884266688897684E-2"/>
  </r>
  <r>
    <s v="F121"/>
    <x v="3"/>
    <x v="3"/>
    <x v="1"/>
    <x v="1"/>
    <n v="3573.8"/>
    <n v="11952"/>
    <n v="4637.74"/>
    <n v="63.78"/>
    <n v="0.29901271753681391"/>
  </r>
  <r>
    <s v="F164"/>
    <x v="0"/>
    <x v="0"/>
    <x v="2"/>
    <x v="2"/>
    <n v="4315.67"/>
    <n v="60710"/>
    <n v="2726.26"/>
    <n v="83.02"/>
    <n v="7.1086641409981888E-2"/>
  </r>
  <r>
    <s v="F121"/>
    <x v="3"/>
    <x v="1"/>
    <x v="1"/>
    <x v="0"/>
    <n v="265.31"/>
    <n v="11952"/>
    <n v="4637.74"/>
    <n v="63.78"/>
    <n v="2.2197958500669343E-2"/>
  </r>
  <r>
    <s v="F166"/>
    <x v="3"/>
    <x v="0"/>
    <x v="2"/>
    <x v="2"/>
    <n v="392.52"/>
    <n v="96474"/>
    <n v="7574.39"/>
    <n v="95.54"/>
    <n v="4.0686609863797496E-3"/>
  </r>
  <r>
    <s v="F050"/>
    <x v="0"/>
    <x v="2"/>
    <x v="2"/>
    <x v="2"/>
    <n v="3807.44"/>
    <n v="10067"/>
    <n v="1953.33"/>
    <n v="25.15"/>
    <n v="0.37820999304658787"/>
  </r>
  <r>
    <s v="F037"/>
    <x v="3"/>
    <x v="0"/>
    <x v="0"/>
    <x v="2"/>
    <n v="3118.1759889999998"/>
    <n v="97337"/>
    <n v="3362.06"/>
    <n v="55.46"/>
    <n v="3.203484788929184E-2"/>
  </r>
  <r>
    <s v="F052"/>
    <x v="3"/>
    <x v="3"/>
    <x v="1"/>
    <x v="2"/>
    <n v="1947.59"/>
    <n v="66163"/>
    <n v="1416.57"/>
    <n v="68.73"/>
    <n v="2.9436240799238244E-2"/>
  </r>
  <r>
    <s v="F004"/>
    <x v="0"/>
    <x v="0"/>
    <x v="2"/>
    <x v="2"/>
    <n v="4464.43"/>
    <n v="83923"/>
    <n v="8768.7999999999993"/>
    <n v="65.290000000000006"/>
    <n v="5.3196739868689162E-2"/>
  </r>
  <r>
    <s v="F111"/>
    <x v="3"/>
    <x v="1"/>
    <x v="1"/>
    <x v="0"/>
    <n v="2252.36"/>
    <n v="10907"/>
    <n v="4748.66"/>
    <n v="39.36"/>
    <n v="0.20650591363344642"/>
  </r>
  <r>
    <s v="F077"/>
    <x v="4"/>
    <x v="0"/>
    <x v="0"/>
    <x v="1"/>
    <n v="2203.84"/>
    <n v="52836"/>
    <n v="9330.2999999999993"/>
    <n v="87.27"/>
    <n v="4.1710954652131128E-2"/>
  </r>
  <r>
    <s v="F019"/>
    <x v="0"/>
    <x v="3"/>
    <x v="1"/>
    <x v="1"/>
    <n v="673.38"/>
    <n v="68018"/>
    <n v="3523.4"/>
    <n v="92.26"/>
    <n v="9.9000264635831694E-3"/>
  </r>
  <r>
    <s v="F096"/>
    <x v="0"/>
    <x v="2"/>
    <x v="2"/>
    <x v="0"/>
    <n v="3879.17"/>
    <n v="21388"/>
    <n v="5249.39"/>
    <n v="64.2"/>
    <n v="0.18137132971759864"/>
  </r>
  <r>
    <s v="F171"/>
    <x v="4"/>
    <x v="0"/>
    <x v="2"/>
    <x v="1"/>
    <n v="404.42"/>
    <n v="98356"/>
    <n v="6968.69"/>
    <n v="81.72"/>
    <n v="4.1117979584366993E-3"/>
  </r>
  <r>
    <s v="F016"/>
    <x v="2"/>
    <x v="2"/>
    <x v="0"/>
    <x v="2"/>
    <n v="3415.97"/>
    <n v="93409"/>
    <n v="2375.83"/>
    <n v="5.83"/>
    <n v="3.6570030725090727E-2"/>
  </r>
  <r>
    <s v="F148"/>
    <x v="1"/>
    <x v="2"/>
    <x v="0"/>
    <x v="0"/>
    <n v="3091.3923770000001"/>
    <n v="47491"/>
    <n v="5781.05"/>
    <n v="92.18"/>
    <n v="6.5094278431702846E-2"/>
  </r>
  <r>
    <s v="F172"/>
    <x v="4"/>
    <x v="2"/>
    <x v="2"/>
    <x v="2"/>
    <n v="3216.77"/>
    <n v="98396"/>
    <n v="5174.07"/>
    <n v="63.38"/>
    <n v="3.2692080978901583E-2"/>
  </r>
  <r>
    <s v="F166"/>
    <x v="3"/>
    <x v="0"/>
    <x v="0"/>
    <x v="0"/>
    <n v="2200.2044230000001"/>
    <n v="96474"/>
    <n v="7574.39"/>
    <n v="95.54"/>
    <n v="2.2806190507286939E-2"/>
  </r>
  <r>
    <s v="F115"/>
    <x v="3"/>
    <x v="0"/>
    <x v="1"/>
    <x v="1"/>
    <n v="4874.88"/>
    <n v="29318"/>
    <n v="9860.6200000000008"/>
    <n v="14.58"/>
    <n v="0.16627600791322739"/>
  </r>
  <r>
    <s v="F032"/>
    <x v="1"/>
    <x v="3"/>
    <x v="1"/>
    <x v="2"/>
    <n v="3104.55"/>
    <n v="33688"/>
    <n v="9495.48"/>
    <n v="55.55"/>
    <n v="9.2155960579434815E-2"/>
  </r>
  <r>
    <s v="F103"/>
    <x v="4"/>
    <x v="0"/>
    <x v="0"/>
    <x v="2"/>
    <n v="3500.3246159999999"/>
    <n v="22309"/>
    <n v="3656.29"/>
    <n v="75.25"/>
    <n v="0.15690190577793714"/>
  </r>
  <r>
    <s v="F096"/>
    <x v="0"/>
    <x v="2"/>
    <x v="0"/>
    <x v="0"/>
    <n v="3041.1635329999999"/>
    <n v="21388"/>
    <n v="5249.39"/>
    <n v="64.2"/>
    <n v="0.1421901782775388"/>
  </r>
  <r>
    <s v="F154"/>
    <x v="0"/>
    <x v="0"/>
    <x v="0"/>
    <x v="0"/>
    <n v="4584.1555330000001"/>
    <n v="17097"/>
    <n v="9061.7800000000007"/>
    <n v="95.92"/>
    <n v="0.26812631063929343"/>
  </r>
  <r>
    <s v="F050"/>
    <x v="0"/>
    <x v="3"/>
    <x v="0"/>
    <x v="0"/>
    <n v="3894.0086139999999"/>
    <n v="10067"/>
    <n v="1953.33"/>
    <n v="25.15"/>
    <n v="0.38680923949538093"/>
  </r>
  <r>
    <s v="F103"/>
    <x v="4"/>
    <x v="1"/>
    <x v="1"/>
    <x v="0"/>
    <n v="1782.56"/>
    <n v="22309"/>
    <n v="3656.29"/>
    <n v="75.25"/>
    <n v="7.9903178089560267E-2"/>
  </r>
  <r>
    <s v="F025"/>
    <x v="4"/>
    <x v="3"/>
    <x v="2"/>
    <x v="0"/>
    <n v="4386.96"/>
    <n v="32131"/>
    <n v="1474.23"/>
    <n v="45.47"/>
    <n v="0.13653356571535277"/>
  </r>
  <r>
    <s v="F152"/>
    <x v="4"/>
    <x v="0"/>
    <x v="2"/>
    <x v="2"/>
    <n v="644.96"/>
    <n v="90679"/>
    <n v="7266.82"/>
    <n v="23.3"/>
    <n v="7.1125618941541048E-3"/>
  </r>
  <r>
    <s v="F112"/>
    <x v="4"/>
    <x v="3"/>
    <x v="1"/>
    <x v="0"/>
    <n v="1942.26"/>
    <n v="88188"/>
    <n v="815.86"/>
    <n v="57.53"/>
    <n v="2.2024084909511497E-2"/>
  </r>
  <r>
    <s v="F044"/>
    <x v="1"/>
    <x v="3"/>
    <x v="2"/>
    <x v="0"/>
    <n v="1990.87"/>
    <n v="93661"/>
    <n v="7324.58"/>
    <n v="23.55"/>
    <n v="2.1256125815440792E-2"/>
  </r>
  <r>
    <s v="F019"/>
    <x v="0"/>
    <x v="2"/>
    <x v="1"/>
    <x v="1"/>
    <n v="3260.58"/>
    <n v="68018"/>
    <n v="3523.4"/>
    <n v="92.26"/>
    <n v="4.7937016672057395E-2"/>
  </r>
  <r>
    <s v="F198"/>
    <x v="3"/>
    <x v="3"/>
    <x v="1"/>
    <x v="0"/>
    <n v="1079.0999999999999"/>
    <n v="40577"/>
    <n v="4280.82"/>
    <n v="79.88"/>
    <n v="2.6593883234344577E-2"/>
  </r>
  <r>
    <s v="F027"/>
    <x v="4"/>
    <x v="2"/>
    <x v="2"/>
    <x v="1"/>
    <n v="2675.56"/>
    <n v="51800"/>
    <n v="3042.95"/>
    <n v="71.87"/>
    <n v="5.1651737451737449E-2"/>
  </r>
  <r>
    <s v="F021"/>
    <x v="1"/>
    <x v="1"/>
    <x v="2"/>
    <x v="1"/>
    <n v="1583.52"/>
    <n v="44657"/>
    <n v="7867.98"/>
    <n v="96.01"/>
    <n v="3.5459614394159927E-2"/>
  </r>
  <r>
    <s v="F138"/>
    <x v="0"/>
    <x v="2"/>
    <x v="2"/>
    <x v="1"/>
    <n v="4798.47"/>
    <n v="94393"/>
    <n v="6691.7"/>
    <n v="74.790000000000006"/>
    <n v="5.0835019545940913E-2"/>
  </r>
  <r>
    <s v="F169"/>
    <x v="2"/>
    <x v="1"/>
    <x v="2"/>
    <x v="2"/>
    <n v="856.9"/>
    <n v="44994"/>
    <n v="7305.59"/>
    <n v="91.53"/>
    <n v="1.9044761523758724E-2"/>
  </r>
  <r>
    <s v="F134"/>
    <x v="3"/>
    <x v="0"/>
    <x v="0"/>
    <x v="0"/>
    <n v="1158.628164"/>
    <n v="16256"/>
    <n v="2127.1799999999998"/>
    <n v="38.94"/>
    <n v="7.1273878198818891E-2"/>
  </r>
  <r>
    <s v="F113"/>
    <x v="3"/>
    <x v="0"/>
    <x v="0"/>
    <x v="1"/>
    <n v="5208.6131420000002"/>
    <n v="69636"/>
    <n v="4246.55"/>
    <n v="69.290000000000006"/>
    <n v="7.4797707249124018E-2"/>
  </r>
  <r>
    <s v="F011"/>
    <x v="4"/>
    <x v="0"/>
    <x v="2"/>
    <x v="1"/>
    <n v="4745.3"/>
    <n v="72846"/>
    <n v="5169.53"/>
    <n v="76.709999999999994"/>
    <n v="6.514153144990803E-2"/>
  </r>
  <r>
    <s v="F098"/>
    <x v="4"/>
    <x v="3"/>
    <x v="0"/>
    <x v="0"/>
    <n v="693.43404539999995"/>
    <n v="28704"/>
    <n v="6009.24"/>
    <n v="39.31"/>
    <n v="2.4158098014214046E-2"/>
  </r>
  <r>
    <s v="F149"/>
    <x v="1"/>
    <x v="0"/>
    <x v="1"/>
    <x v="1"/>
    <n v="3285.65"/>
    <n v="61207"/>
    <n v="6922.33"/>
    <n v="9.1999999999999993"/>
    <n v="5.3680951525152357E-2"/>
  </r>
  <r>
    <s v="F135"/>
    <x v="3"/>
    <x v="3"/>
    <x v="2"/>
    <x v="2"/>
    <n v="2731.22"/>
    <n v="56531"/>
    <n v="8958.07"/>
    <n v="83.44"/>
    <n v="4.8313668606605222E-2"/>
  </r>
  <r>
    <s v="F036"/>
    <x v="3"/>
    <x v="0"/>
    <x v="0"/>
    <x v="0"/>
    <n v="2767.5414519999999"/>
    <n v="53942"/>
    <n v="5904.31"/>
    <n v="32.78"/>
    <n v="5.1305873938674869E-2"/>
  </r>
  <r>
    <s v="F200"/>
    <x v="1"/>
    <x v="1"/>
    <x v="2"/>
    <x v="2"/>
    <n v="1719.12"/>
    <n v="21081"/>
    <n v="9001.77"/>
    <n v="49.27"/>
    <n v="8.1548313647360177E-2"/>
  </r>
  <r>
    <s v="F030"/>
    <x v="0"/>
    <x v="3"/>
    <x v="1"/>
    <x v="2"/>
    <n v="2475.83"/>
    <n v="49924"/>
    <n v="2199.16"/>
    <n v="75.48"/>
    <n v="4.9591979809310148E-2"/>
  </r>
  <r>
    <s v="F118"/>
    <x v="0"/>
    <x v="1"/>
    <x v="0"/>
    <x v="0"/>
    <n v="891.04242390000002"/>
    <n v="14170"/>
    <n v="5455.23"/>
    <n v="25.46"/>
    <n v="6.2882316436132679E-2"/>
  </r>
  <r>
    <s v="F043"/>
    <x v="0"/>
    <x v="3"/>
    <x v="1"/>
    <x v="0"/>
    <n v="4421.93"/>
    <n v="14009"/>
    <n v="7528.98"/>
    <n v="77.62"/>
    <n v="0.31564922549789426"/>
  </r>
  <r>
    <s v="F091"/>
    <x v="4"/>
    <x v="2"/>
    <x v="1"/>
    <x v="0"/>
    <n v="3545.18"/>
    <n v="43490"/>
    <n v="9300.8799999999992"/>
    <n v="58.43"/>
    <n v="8.1517130374798796E-2"/>
  </r>
  <r>
    <s v="F092"/>
    <x v="4"/>
    <x v="3"/>
    <x v="1"/>
    <x v="1"/>
    <n v="3073.82"/>
    <n v="79495"/>
    <n v="7157.48"/>
    <n v="26.84"/>
    <n v="3.8666834392100134E-2"/>
  </r>
  <r>
    <s v="F118"/>
    <x v="0"/>
    <x v="1"/>
    <x v="2"/>
    <x v="1"/>
    <n v="1458.83"/>
    <n v="14170"/>
    <n v="5455.23"/>
    <n v="25.46"/>
    <n v="0.10295201129146082"/>
  </r>
  <r>
    <s v="F066"/>
    <x v="4"/>
    <x v="0"/>
    <x v="2"/>
    <x v="2"/>
    <n v="3457.1"/>
    <n v="13543"/>
    <n v="7854.96"/>
    <n v="85.57"/>
    <n v="0.25526840434172637"/>
  </r>
  <r>
    <s v="F175"/>
    <x v="3"/>
    <x v="0"/>
    <x v="0"/>
    <x v="1"/>
    <n v="1857.3661520000001"/>
    <n v="94949"/>
    <n v="9714.76"/>
    <n v="64.900000000000006"/>
    <n v="1.9561724209838968E-2"/>
  </r>
  <r>
    <s v="F032"/>
    <x v="1"/>
    <x v="3"/>
    <x v="0"/>
    <x v="0"/>
    <n v="877.72838560000002"/>
    <n v="33688"/>
    <n v="9495.48"/>
    <n v="55.55"/>
    <n v="2.605463030159107E-2"/>
  </r>
  <r>
    <s v="F125"/>
    <x v="1"/>
    <x v="3"/>
    <x v="0"/>
    <x v="0"/>
    <n v="1349.7273479999999"/>
    <n v="82332"/>
    <n v="7134.86"/>
    <n v="22.44"/>
    <n v="1.6393715056114269E-2"/>
  </r>
  <r>
    <s v="F042"/>
    <x v="1"/>
    <x v="3"/>
    <x v="0"/>
    <x v="2"/>
    <n v="5028.9440119999999"/>
    <n v="58111"/>
    <n v="4610.8999999999996"/>
    <n v="21.53"/>
    <n v="8.6540310991034403E-2"/>
  </r>
  <r>
    <s v="F087"/>
    <x v="4"/>
    <x v="3"/>
    <x v="0"/>
    <x v="1"/>
    <n v="4368.4298479999998"/>
    <n v="44164"/>
    <n v="3869.32"/>
    <n v="13.81"/>
    <n v="9.8913817770129517E-2"/>
  </r>
  <r>
    <s v="F023"/>
    <x v="1"/>
    <x v="2"/>
    <x v="1"/>
    <x v="1"/>
    <n v="3793.84"/>
    <n v="47484"/>
    <n v="3396.39"/>
    <n v="19.510000000000002"/>
    <n v="7.9897228540139836E-2"/>
  </r>
  <r>
    <s v="F030"/>
    <x v="0"/>
    <x v="0"/>
    <x v="2"/>
    <x v="1"/>
    <n v="944.95"/>
    <n v="49924"/>
    <n v="2199.16"/>
    <n v="75.48"/>
    <n v="1.8927770210720295E-2"/>
  </r>
  <r>
    <s v="F054"/>
    <x v="3"/>
    <x v="2"/>
    <x v="0"/>
    <x v="1"/>
    <n v="2973.3029620000002"/>
    <n v="38869"/>
    <n v="5109.76"/>
    <n v="35.270000000000003"/>
    <n v="7.6495483856029237E-2"/>
  </r>
  <r>
    <s v="F064"/>
    <x v="1"/>
    <x v="0"/>
    <x v="0"/>
    <x v="2"/>
    <n v="3422.23"/>
    <n v="70481"/>
    <n v="4452.83"/>
    <n v="91.26"/>
    <n v="4.8555355343993419E-2"/>
  </r>
  <r>
    <s v="F121"/>
    <x v="3"/>
    <x v="1"/>
    <x v="2"/>
    <x v="1"/>
    <n v="3754.94"/>
    <n v="11952"/>
    <n v="4637.74"/>
    <n v="63.78"/>
    <n v="0.31416834002677374"/>
  </r>
  <r>
    <s v="F185"/>
    <x v="0"/>
    <x v="0"/>
    <x v="0"/>
    <x v="2"/>
    <n v="1213.4732180000001"/>
    <n v="68820"/>
    <n v="9612.25"/>
    <n v="83.51"/>
    <n v="1.7632566376053475E-2"/>
  </r>
  <r>
    <s v="F099"/>
    <x v="3"/>
    <x v="1"/>
    <x v="2"/>
    <x v="2"/>
    <n v="358.65"/>
    <n v="17162"/>
    <n v="5079.95"/>
    <n v="19.239999999999998"/>
    <n v="2.0897913996037756E-2"/>
  </r>
  <r>
    <s v="F035"/>
    <x v="4"/>
    <x v="1"/>
    <x v="1"/>
    <x v="2"/>
    <n v="3630.35"/>
    <n v="24913"/>
    <n v="5727.27"/>
    <n v="78.849999999999994"/>
    <n v="0.14572110946092401"/>
  </r>
  <r>
    <s v="F185"/>
    <x v="0"/>
    <x v="2"/>
    <x v="2"/>
    <x v="0"/>
    <n v="3966.5"/>
    <n v="68820"/>
    <n v="9612.25"/>
    <n v="83.51"/>
    <n v="5.763586166811973E-2"/>
  </r>
  <r>
    <s v="F185"/>
    <x v="0"/>
    <x v="3"/>
    <x v="0"/>
    <x v="0"/>
    <n v="3886.2318919999998"/>
    <n v="68820"/>
    <n v="9612.25"/>
    <n v="83.51"/>
    <n v="5.6469513106655038E-2"/>
  </r>
  <r>
    <s v="F110"/>
    <x v="4"/>
    <x v="2"/>
    <x v="0"/>
    <x v="0"/>
    <n v="1898.1840259999999"/>
    <n v="85868"/>
    <n v="907.72"/>
    <n v="90.36"/>
    <n v="2.2105837168677502E-2"/>
  </r>
  <r>
    <s v="F064"/>
    <x v="1"/>
    <x v="2"/>
    <x v="2"/>
    <x v="1"/>
    <n v="1366.72"/>
    <n v="70481"/>
    <n v="4452.83"/>
    <n v="91.26"/>
    <n v="1.939132532171791E-2"/>
  </r>
  <r>
    <s v="F095"/>
    <x v="2"/>
    <x v="2"/>
    <x v="0"/>
    <x v="2"/>
    <n v="1988.1353349999999"/>
    <n v="49885"/>
    <n v="6845.46"/>
    <n v="58.4"/>
    <n v="3.9854371755036581E-2"/>
  </r>
  <r>
    <s v="F132"/>
    <x v="4"/>
    <x v="1"/>
    <x v="2"/>
    <x v="1"/>
    <n v="2529.38"/>
    <n v="76544"/>
    <n v="8632.77"/>
    <n v="12.87"/>
    <n v="3.304478469899666E-2"/>
  </r>
  <r>
    <s v="F074"/>
    <x v="1"/>
    <x v="1"/>
    <x v="2"/>
    <x v="0"/>
    <n v="3229.82"/>
    <n v="25148"/>
    <n v="9604.5499999999993"/>
    <n v="63.47"/>
    <n v="0.12843247972005728"/>
  </r>
  <r>
    <s v="F042"/>
    <x v="1"/>
    <x v="1"/>
    <x v="1"/>
    <x v="2"/>
    <n v="1835.81"/>
    <n v="58111"/>
    <n v="4610.8999999999996"/>
    <n v="21.53"/>
    <n v="3.1591437077317548E-2"/>
  </r>
  <r>
    <s v="F065"/>
    <x v="1"/>
    <x v="2"/>
    <x v="0"/>
    <x v="2"/>
    <n v="4463.7645069999999"/>
    <n v="91031"/>
    <n v="1783.57"/>
    <n v="32.049999999999997"/>
    <n v="4.9035652766639931E-2"/>
  </r>
  <r>
    <s v="F047"/>
    <x v="0"/>
    <x v="1"/>
    <x v="0"/>
    <x v="0"/>
    <n v="2646.5870319999999"/>
    <n v="39568"/>
    <n v="3580.54"/>
    <n v="78.08"/>
    <n v="6.688705600485241E-2"/>
  </r>
  <r>
    <s v="F002"/>
    <x v="4"/>
    <x v="2"/>
    <x v="0"/>
    <x v="2"/>
    <n v="3222.4658469999999"/>
    <n v="53661"/>
    <n v="6965.81"/>
    <n v="69.400000000000006"/>
    <n v="6.0052288384487805E-2"/>
  </r>
  <r>
    <s v="F007"/>
    <x v="4"/>
    <x v="2"/>
    <x v="1"/>
    <x v="0"/>
    <n v="3493.4"/>
    <n v="35506"/>
    <n v="1892.04"/>
    <n v="61.53"/>
    <n v="9.8389004675266151E-2"/>
  </r>
  <r>
    <s v="F054"/>
    <x v="3"/>
    <x v="2"/>
    <x v="2"/>
    <x v="2"/>
    <n v="871.61"/>
    <n v="38869"/>
    <n v="5109.76"/>
    <n v="35.270000000000003"/>
    <n v="2.2424296997607347E-2"/>
  </r>
  <r>
    <s v="F126"/>
    <x v="2"/>
    <x v="2"/>
    <x v="2"/>
    <x v="1"/>
    <n v="407.43"/>
    <n v="75508"/>
    <n v="6856.22"/>
    <n v="18.2"/>
    <n v="5.3958520951422366E-3"/>
  </r>
  <r>
    <s v="F019"/>
    <x v="0"/>
    <x v="2"/>
    <x v="2"/>
    <x v="0"/>
    <n v="4341.34"/>
    <n v="68018"/>
    <n v="3523.4"/>
    <n v="92.26"/>
    <n v="6.3826340086447705E-2"/>
  </r>
  <r>
    <s v="F178"/>
    <x v="3"/>
    <x v="1"/>
    <x v="0"/>
    <x v="1"/>
    <n v="1935.295691"/>
    <n v="94861"/>
    <n v="8363.57"/>
    <n v="90.29"/>
    <n v="2.0401384035588915E-2"/>
  </r>
  <r>
    <s v="F038"/>
    <x v="4"/>
    <x v="2"/>
    <x v="1"/>
    <x v="0"/>
    <n v="3547.68"/>
    <n v="18341"/>
    <n v="8465.57"/>
    <n v="38.39"/>
    <n v="0.19342892972029876"/>
  </r>
  <r>
    <s v="F095"/>
    <x v="2"/>
    <x v="3"/>
    <x v="1"/>
    <x v="2"/>
    <n v="4904.09"/>
    <n v="49885"/>
    <n v="6845.46"/>
    <n v="58.4"/>
    <n v="9.8307908188834323E-2"/>
  </r>
  <r>
    <s v="F101"/>
    <x v="3"/>
    <x v="0"/>
    <x v="1"/>
    <x v="0"/>
    <n v="3391.08"/>
    <n v="65719"/>
    <n v="9362.41"/>
    <n v="86.55"/>
    <n v="5.1599689587486113E-2"/>
  </r>
  <r>
    <s v="F077"/>
    <x v="4"/>
    <x v="0"/>
    <x v="2"/>
    <x v="0"/>
    <n v="589.80999999999995"/>
    <n v="52836"/>
    <n v="9330.2999999999993"/>
    <n v="87.27"/>
    <n v="1.1163032780679838E-2"/>
  </r>
  <r>
    <s v="F014"/>
    <x v="2"/>
    <x v="1"/>
    <x v="2"/>
    <x v="2"/>
    <n v="1487.46"/>
    <n v="17416"/>
    <n v="812.06"/>
    <n v="5.7"/>
    <n v="8.5407671107028016E-2"/>
  </r>
  <r>
    <s v="F065"/>
    <x v="1"/>
    <x v="1"/>
    <x v="1"/>
    <x v="2"/>
    <n v="2879.35"/>
    <n v="91031"/>
    <n v="1783.57"/>
    <n v="32.049999999999997"/>
    <n v="3.1630433588557744E-2"/>
  </r>
  <r>
    <s v="F030"/>
    <x v="0"/>
    <x v="1"/>
    <x v="2"/>
    <x v="2"/>
    <n v="3544.12"/>
    <n v="49924"/>
    <n v="2199.16"/>
    <n v="75.48"/>
    <n v="7.0990305264001283E-2"/>
  </r>
  <r>
    <s v="F065"/>
    <x v="1"/>
    <x v="0"/>
    <x v="1"/>
    <x v="0"/>
    <n v="646.33000000000004"/>
    <n v="91031"/>
    <n v="1783.57"/>
    <n v="32.049999999999997"/>
    <n v="7.1001087541606714E-3"/>
  </r>
  <r>
    <s v="F006"/>
    <x v="4"/>
    <x v="2"/>
    <x v="1"/>
    <x v="0"/>
    <n v="1569.86"/>
    <n v="11426"/>
    <n v="4439.5600000000004"/>
    <n v="52.71"/>
    <n v="0.13739366357430421"/>
  </r>
  <r>
    <s v="F109"/>
    <x v="0"/>
    <x v="3"/>
    <x v="2"/>
    <x v="1"/>
    <n v="2728.09"/>
    <n v="34318"/>
    <n v="675.67"/>
    <n v="41.05"/>
    <n v="7.9494434407599512E-2"/>
  </r>
  <r>
    <s v="F197"/>
    <x v="2"/>
    <x v="2"/>
    <x v="2"/>
    <x v="1"/>
    <n v="1865.65"/>
    <n v="59617"/>
    <n v="5000.95"/>
    <n v="80.36"/>
    <n v="3.1293926229095728E-2"/>
  </r>
  <r>
    <s v="F114"/>
    <x v="1"/>
    <x v="1"/>
    <x v="2"/>
    <x v="0"/>
    <n v="4048.31"/>
    <n v="57353"/>
    <n v="2274.71"/>
    <n v="65.34"/>
    <n v="7.0585845552978921E-2"/>
  </r>
  <r>
    <s v="F139"/>
    <x v="0"/>
    <x v="3"/>
    <x v="2"/>
    <x v="1"/>
    <n v="468.34"/>
    <n v="80904"/>
    <n v="3263.09"/>
    <n v="58.37"/>
    <n v="5.7888361514881834E-3"/>
  </r>
  <r>
    <s v="F075"/>
    <x v="3"/>
    <x v="1"/>
    <x v="2"/>
    <x v="0"/>
    <n v="802.1"/>
    <n v="60513"/>
    <n v="4578.16"/>
    <n v="65.53"/>
    <n v="1.3255003057194322E-2"/>
  </r>
  <r>
    <s v="F108"/>
    <x v="3"/>
    <x v="3"/>
    <x v="0"/>
    <x v="0"/>
    <n v="3548.259994"/>
    <n v="39050"/>
    <n v="5885.73"/>
    <n v="93.04"/>
    <n v="9.0864532496798975E-2"/>
  </r>
  <r>
    <s v="F155"/>
    <x v="2"/>
    <x v="0"/>
    <x v="1"/>
    <x v="1"/>
    <n v="647.30999999999995"/>
    <n v="75736"/>
    <n v="6287.07"/>
    <n v="63.11"/>
    <n v="8.5469261645716686E-3"/>
  </r>
  <r>
    <s v="F112"/>
    <x v="4"/>
    <x v="3"/>
    <x v="1"/>
    <x v="2"/>
    <n v="1024.8599999999999"/>
    <n v="88188"/>
    <n v="815.86"/>
    <n v="57.53"/>
    <n v="1.1621309021635596E-2"/>
  </r>
  <r>
    <s v="F185"/>
    <x v="0"/>
    <x v="2"/>
    <x v="1"/>
    <x v="2"/>
    <n v="304.14999999999998"/>
    <n v="68820"/>
    <n v="9612.25"/>
    <n v="83.51"/>
    <n v="4.4195001453065964E-3"/>
  </r>
  <r>
    <s v="F086"/>
    <x v="4"/>
    <x v="2"/>
    <x v="2"/>
    <x v="2"/>
    <n v="4794.1899999999996"/>
    <n v="55974"/>
    <n v="7542.28"/>
    <n v="72.430000000000007"/>
    <n v="8.5650301925894151E-2"/>
  </r>
  <r>
    <s v="F115"/>
    <x v="3"/>
    <x v="3"/>
    <x v="2"/>
    <x v="2"/>
    <n v="2331.7399999999998"/>
    <n v="29318"/>
    <n v="9860.6200000000008"/>
    <n v="14.58"/>
    <n v="7.9532710280373828E-2"/>
  </r>
  <r>
    <s v="F070"/>
    <x v="2"/>
    <x v="1"/>
    <x v="2"/>
    <x v="0"/>
    <n v="4183.93"/>
    <n v="15128"/>
    <n v="8847.09"/>
    <n v="5.25"/>
    <n v="0.276568614489688"/>
  </r>
  <r>
    <s v="F023"/>
    <x v="1"/>
    <x v="1"/>
    <x v="1"/>
    <x v="1"/>
    <n v="1515.76"/>
    <n v="47484"/>
    <n v="3396.39"/>
    <n v="19.510000000000002"/>
    <n v="3.1921489343778954E-2"/>
  </r>
  <r>
    <s v="F003"/>
    <x v="3"/>
    <x v="2"/>
    <x v="0"/>
    <x v="0"/>
    <n v="4299.7299999999996"/>
    <n v="27681"/>
    <n v="928.26"/>
    <n v="44.97"/>
    <n v="0.15533145478848306"/>
  </r>
  <r>
    <s v="F161"/>
    <x v="2"/>
    <x v="1"/>
    <x v="2"/>
    <x v="2"/>
    <n v="303.22000000000003"/>
    <n v="36171"/>
    <n v="6864.38"/>
    <n v="37.03"/>
    <n v="8.3829587238395415E-3"/>
  </r>
  <r>
    <s v="F089"/>
    <x v="4"/>
    <x v="0"/>
    <x v="1"/>
    <x v="0"/>
    <n v="2427.3000000000002"/>
    <n v="58895"/>
    <n v="3039.17"/>
    <n v="59.82"/>
    <n v="4.1214024959674002E-2"/>
  </r>
  <r>
    <s v="F076"/>
    <x v="2"/>
    <x v="1"/>
    <x v="1"/>
    <x v="1"/>
    <n v="3481.31"/>
    <n v="41953"/>
    <n v="2379.14"/>
    <n v="65.67"/>
    <n v="8.2981193240054346E-2"/>
  </r>
  <r>
    <s v="F036"/>
    <x v="3"/>
    <x v="2"/>
    <x v="2"/>
    <x v="0"/>
    <n v="2451.0100000000002"/>
    <n v="53942"/>
    <n v="5904.31"/>
    <n v="32.78"/>
    <n v="4.5437877720514629E-2"/>
  </r>
  <r>
    <s v="F198"/>
    <x v="3"/>
    <x v="0"/>
    <x v="0"/>
    <x v="0"/>
    <n v="2726.5885549999998"/>
    <n v="40577"/>
    <n v="4280.82"/>
    <n v="79.88"/>
    <n v="6.7195419942331858E-2"/>
  </r>
  <r>
    <s v="F170"/>
    <x v="2"/>
    <x v="1"/>
    <x v="2"/>
    <x v="2"/>
    <n v="4059.4"/>
    <n v="24502"/>
    <n v="7466.86"/>
    <n v="88.83"/>
    <n v="0.16567627132478982"/>
  </r>
  <r>
    <s v="F192"/>
    <x v="4"/>
    <x v="3"/>
    <x v="2"/>
    <x v="0"/>
    <n v="3874.1"/>
    <n v="21914"/>
    <n v="5897.27"/>
    <n v="49.41"/>
    <n v="0.17678652915944146"/>
  </r>
  <r>
    <s v="F118"/>
    <x v="0"/>
    <x v="3"/>
    <x v="1"/>
    <x v="0"/>
    <n v="870.3"/>
    <n v="14170"/>
    <n v="5455.23"/>
    <n v="25.46"/>
    <n v="6.1418489767113615E-2"/>
  </r>
  <r>
    <s v="F170"/>
    <x v="2"/>
    <x v="0"/>
    <x v="2"/>
    <x v="2"/>
    <n v="1471.82"/>
    <n v="24502"/>
    <n v="7466.86"/>
    <n v="88.83"/>
    <n v="6.0069382091257853E-2"/>
  </r>
  <r>
    <s v="F136"/>
    <x v="1"/>
    <x v="0"/>
    <x v="0"/>
    <x v="0"/>
    <n v="3436.0007540000001"/>
    <n v="43346"/>
    <n v="5559.12"/>
    <n v="39.4"/>
    <n v="7.9269154108798964E-2"/>
  </r>
  <r>
    <s v="F148"/>
    <x v="1"/>
    <x v="1"/>
    <x v="0"/>
    <x v="2"/>
    <n v="479.22266450000001"/>
    <n v="47491"/>
    <n v="5781.05"/>
    <n v="92.18"/>
    <n v="1.0090810142974459E-2"/>
  </r>
  <r>
    <s v="F043"/>
    <x v="0"/>
    <x v="2"/>
    <x v="1"/>
    <x v="1"/>
    <n v="2840.69"/>
    <n v="14009"/>
    <n v="7528.98"/>
    <n v="77.62"/>
    <n v="0.20277607252480548"/>
  </r>
  <r>
    <s v="F019"/>
    <x v="0"/>
    <x v="1"/>
    <x v="2"/>
    <x v="1"/>
    <n v="1808.08"/>
    <n v="68018"/>
    <n v="3523.4"/>
    <n v="92.26"/>
    <n v="2.6582375253609337E-2"/>
  </r>
  <r>
    <s v="F143"/>
    <x v="1"/>
    <x v="3"/>
    <x v="2"/>
    <x v="2"/>
    <n v="425.7"/>
    <n v="29406"/>
    <n v="5281.69"/>
    <n v="27.01"/>
    <n v="1.4476637420934503E-2"/>
  </r>
  <r>
    <s v="F145"/>
    <x v="4"/>
    <x v="3"/>
    <x v="1"/>
    <x v="0"/>
    <n v="981.92"/>
    <n v="68492"/>
    <n v="3533.88"/>
    <n v="52.99"/>
    <n v="1.4336272849383869E-2"/>
  </r>
  <r>
    <s v="F017"/>
    <x v="2"/>
    <x v="0"/>
    <x v="0"/>
    <x v="1"/>
    <n v="1089.2861559999999"/>
    <n v="71747"/>
    <n v="9838.66"/>
    <n v="7.25"/>
    <n v="1.5182323386343679E-2"/>
  </r>
  <r>
    <s v="F130"/>
    <x v="3"/>
    <x v="3"/>
    <x v="0"/>
    <x v="2"/>
    <n v="4336.6087239999997"/>
    <n v="43227"/>
    <n v="5199.53"/>
    <n v="44.09"/>
    <n v="0.10032176010363893"/>
  </r>
  <r>
    <s v="F026"/>
    <x v="2"/>
    <x v="2"/>
    <x v="0"/>
    <x v="1"/>
    <n v="1820.9864809999999"/>
    <n v="32246"/>
    <n v="7903.93"/>
    <n v="42.12"/>
    <n v="5.6471701327296404E-2"/>
  </r>
  <r>
    <s v="F126"/>
    <x v="2"/>
    <x v="1"/>
    <x v="1"/>
    <x v="1"/>
    <n v="2772.88"/>
    <n v="75508"/>
    <n v="6856.22"/>
    <n v="18.2"/>
    <n v="3.6722996238809133E-2"/>
  </r>
  <r>
    <s v="F084"/>
    <x v="3"/>
    <x v="1"/>
    <x v="1"/>
    <x v="2"/>
    <n v="4985.09"/>
    <n v="54136"/>
    <n v="2775.38"/>
    <n v="75.459999999999994"/>
    <n v="9.2084564799763555E-2"/>
  </r>
  <r>
    <s v="F075"/>
    <x v="3"/>
    <x v="2"/>
    <x v="0"/>
    <x v="0"/>
    <n v="4859.13"/>
    <n v="60513"/>
    <n v="4578.16"/>
    <n v="65.53"/>
    <n v="8.0298944028555849E-2"/>
  </r>
  <r>
    <s v="F139"/>
    <x v="0"/>
    <x v="3"/>
    <x v="2"/>
    <x v="1"/>
    <n v="3855.03"/>
    <n v="80904"/>
    <n v="3263.09"/>
    <n v="58.37"/>
    <n v="4.7649436369029963E-2"/>
  </r>
  <r>
    <s v="F124"/>
    <x v="3"/>
    <x v="0"/>
    <x v="0"/>
    <x v="2"/>
    <n v="1087.933657"/>
    <n v="37309"/>
    <n v="4508.54"/>
    <n v="47.15"/>
    <n v="2.916008622584363E-2"/>
  </r>
  <r>
    <s v="F079"/>
    <x v="2"/>
    <x v="0"/>
    <x v="1"/>
    <x v="0"/>
    <n v="3311.86"/>
    <n v="17311"/>
    <n v="2257.38"/>
    <n v="91.07"/>
    <n v="0.19131534862226332"/>
  </r>
  <r>
    <s v="F075"/>
    <x v="3"/>
    <x v="0"/>
    <x v="0"/>
    <x v="2"/>
    <n v="3496.49"/>
    <n v="60513"/>
    <n v="4578.16"/>
    <n v="65.53"/>
    <n v="5.778080742980847E-2"/>
  </r>
  <r>
    <s v="F046"/>
    <x v="4"/>
    <x v="3"/>
    <x v="2"/>
    <x v="0"/>
    <n v="3355.28"/>
    <n v="87337"/>
    <n v="3603.06"/>
    <n v="67.13"/>
    <n v="3.8417623687555108E-2"/>
  </r>
  <r>
    <s v="F174"/>
    <x v="3"/>
    <x v="0"/>
    <x v="0"/>
    <x v="0"/>
    <n v="4871.4203090000001"/>
    <n v="95962"/>
    <n v="524.72"/>
    <n v="49.55"/>
    <n v="5.0764055657447738E-2"/>
  </r>
  <r>
    <s v="F008"/>
    <x v="3"/>
    <x v="1"/>
    <x v="0"/>
    <x v="0"/>
    <n v="1245.54"/>
    <n v="50306"/>
    <n v="7031.37"/>
    <n v="13.27"/>
    <n v="2.475927324772393E-2"/>
  </r>
  <r>
    <s v="F028"/>
    <x v="4"/>
    <x v="3"/>
    <x v="1"/>
    <x v="1"/>
    <n v="2891.84"/>
    <n v="73977"/>
    <n v="1646.75"/>
    <n v="43.77"/>
    <n v="3.9091068845722318E-2"/>
  </r>
  <r>
    <s v="F042"/>
    <x v="1"/>
    <x v="0"/>
    <x v="1"/>
    <x v="0"/>
    <n v="2482.64"/>
    <n v="58111"/>
    <n v="4610.8999999999996"/>
    <n v="21.53"/>
    <n v="4.2722376142210597E-2"/>
  </r>
  <r>
    <s v="F140"/>
    <x v="4"/>
    <x v="2"/>
    <x v="0"/>
    <x v="0"/>
    <n v="3463.8851949999998"/>
    <n v="94347"/>
    <n v="2272.58"/>
    <n v="34.75"/>
    <n v="3.6714312007800988E-2"/>
  </r>
  <r>
    <s v="F147"/>
    <x v="1"/>
    <x v="0"/>
    <x v="0"/>
    <x v="2"/>
    <n v="2901.3369090000001"/>
    <n v="13333"/>
    <n v="6102.15"/>
    <n v="17.670000000000002"/>
    <n v="0.21760570831770795"/>
  </r>
  <r>
    <s v="F020"/>
    <x v="2"/>
    <x v="3"/>
    <x v="1"/>
    <x v="1"/>
    <n v="1323.76"/>
    <n v="95165"/>
    <n v="8562.76"/>
    <n v="37.54"/>
    <n v="1.3910156044764357E-2"/>
  </r>
  <r>
    <s v="F076"/>
    <x v="2"/>
    <x v="0"/>
    <x v="0"/>
    <x v="2"/>
    <n v="2332.1231010000001"/>
    <n v="41953"/>
    <n v="2379.14"/>
    <n v="65.67"/>
    <n v="5.5588947178986013E-2"/>
  </r>
  <r>
    <s v="F009"/>
    <x v="0"/>
    <x v="0"/>
    <x v="2"/>
    <x v="2"/>
    <n v="462.78"/>
    <n v="45644"/>
    <n v="7724.73"/>
    <n v="31"/>
    <n v="1.0138901060380335E-2"/>
  </r>
  <r>
    <s v="F147"/>
    <x v="1"/>
    <x v="2"/>
    <x v="1"/>
    <x v="1"/>
    <n v="1229.33"/>
    <n v="13333"/>
    <n v="6102.15"/>
    <n v="17.670000000000002"/>
    <n v="9.2202055051376283E-2"/>
  </r>
  <r>
    <s v="F176"/>
    <x v="4"/>
    <x v="1"/>
    <x v="1"/>
    <x v="1"/>
    <n v="3457.79"/>
    <n v="18726"/>
    <n v="5099.54"/>
    <n v="71.05"/>
    <n v="0.18465182099754351"/>
  </r>
  <r>
    <s v="F161"/>
    <x v="2"/>
    <x v="0"/>
    <x v="1"/>
    <x v="1"/>
    <n v="3519.41"/>
    <n v="36171"/>
    <n v="6864.38"/>
    <n v="37.03"/>
    <n v="9.7299217605263888E-2"/>
  </r>
  <r>
    <s v="F170"/>
    <x v="2"/>
    <x v="0"/>
    <x v="2"/>
    <x v="2"/>
    <n v="2913.47"/>
    <n v="24502"/>
    <n v="7466.86"/>
    <n v="88.83"/>
    <n v="0.11890743612766304"/>
  </r>
  <r>
    <s v="F142"/>
    <x v="0"/>
    <x v="3"/>
    <x v="2"/>
    <x v="1"/>
    <n v="1431.51"/>
    <n v="68278"/>
    <n v="3272.65"/>
    <n v="30.47"/>
    <n v="2.0965904097952487E-2"/>
  </r>
  <r>
    <s v="F063"/>
    <x v="4"/>
    <x v="3"/>
    <x v="2"/>
    <x v="2"/>
    <n v="2346.0500000000002"/>
    <n v="45519"/>
    <n v="7987.69"/>
    <n v="10.86"/>
    <n v="5.1540016256947652E-2"/>
  </r>
  <r>
    <s v="F174"/>
    <x v="3"/>
    <x v="0"/>
    <x v="2"/>
    <x v="1"/>
    <n v="4191.3599999999997"/>
    <n v="95962"/>
    <n v="524.72"/>
    <n v="49.55"/>
    <n v="4.3677288926866883E-2"/>
  </r>
  <r>
    <s v="F193"/>
    <x v="1"/>
    <x v="3"/>
    <x v="0"/>
    <x v="1"/>
    <n v="2422.4672390000001"/>
    <n v="15333"/>
    <n v="2570.54"/>
    <n v="41.07"/>
    <n v="0.157990428422357"/>
  </r>
  <r>
    <s v="F197"/>
    <x v="2"/>
    <x v="1"/>
    <x v="0"/>
    <x v="0"/>
    <n v="3331.6588299999999"/>
    <n v="59617"/>
    <n v="5000.95"/>
    <n v="80.36"/>
    <n v="5.5884375765301843E-2"/>
  </r>
  <r>
    <s v="F113"/>
    <x v="3"/>
    <x v="3"/>
    <x v="1"/>
    <x v="1"/>
    <n v="1833.49"/>
    <n v="69636"/>
    <n v="4246.55"/>
    <n v="69.290000000000006"/>
    <n v="2.6329628353150669E-2"/>
  </r>
  <r>
    <s v="F062"/>
    <x v="2"/>
    <x v="2"/>
    <x v="1"/>
    <x v="0"/>
    <n v="4018.22"/>
    <n v="19265"/>
    <n v="776.6"/>
    <n v="39.75"/>
    <n v="0.20857617440955098"/>
  </r>
  <r>
    <s v="F156"/>
    <x v="2"/>
    <x v="2"/>
    <x v="0"/>
    <x v="0"/>
    <n v="2681.922975"/>
    <n v="88308"/>
    <n v="7802.07"/>
    <n v="36.130000000000003"/>
    <n v="3.0370102085881232E-2"/>
  </r>
  <r>
    <s v="F161"/>
    <x v="2"/>
    <x v="1"/>
    <x v="0"/>
    <x v="2"/>
    <n v="1889.493285"/>
    <n v="36171"/>
    <n v="6864.38"/>
    <n v="37.03"/>
    <n v="5.2237795056813467E-2"/>
  </r>
  <r>
    <s v="F029"/>
    <x v="4"/>
    <x v="3"/>
    <x v="1"/>
    <x v="0"/>
    <n v="1407.92"/>
    <n v="12262"/>
    <n v="7106.18"/>
    <n v="45.69"/>
    <n v="0.11481976839014843"/>
  </r>
  <r>
    <s v="F127"/>
    <x v="3"/>
    <x v="3"/>
    <x v="1"/>
    <x v="1"/>
    <n v="4935.72"/>
    <n v="77400"/>
    <n v="7504.8"/>
    <n v="68.819999999999993"/>
    <n v="6.3768992248062012E-2"/>
  </r>
  <r>
    <s v="F093"/>
    <x v="2"/>
    <x v="0"/>
    <x v="0"/>
    <x v="1"/>
    <n v="2103.19"/>
    <n v="15553"/>
    <n v="3909.51"/>
    <n v="46.44"/>
    <n v="0.13522728734006301"/>
  </r>
  <r>
    <s v="F169"/>
    <x v="2"/>
    <x v="2"/>
    <x v="2"/>
    <x v="0"/>
    <n v="2046.76"/>
    <n v="44994"/>
    <n v="7305.59"/>
    <n v="91.53"/>
    <n v="4.5489620838334001E-2"/>
  </r>
  <r>
    <s v="F063"/>
    <x v="4"/>
    <x v="0"/>
    <x v="1"/>
    <x v="2"/>
    <n v="3397.43"/>
    <n v="45519"/>
    <n v="7987.69"/>
    <n v="10.86"/>
    <n v="7.4637623849381579E-2"/>
  </r>
  <r>
    <s v="F142"/>
    <x v="0"/>
    <x v="1"/>
    <x v="0"/>
    <x v="0"/>
    <n v="3221.574627"/>
    <n v="68278"/>
    <n v="3272.65"/>
    <n v="30.47"/>
    <n v="4.7183201426520986E-2"/>
  </r>
  <r>
    <s v="F089"/>
    <x v="4"/>
    <x v="1"/>
    <x v="0"/>
    <x v="1"/>
    <n v="4882.4680390000003"/>
    <n v="58895"/>
    <n v="3039.17"/>
    <n v="59.82"/>
    <n v="8.2901231666525174E-2"/>
  </r>
  <r>
    <s v="F051"/>
    <x v="4"/>
    <x v="1"/>
    <x v="2"/>
    <x v="2"/>
    <n v="2857.09"/>
    <n v="56752"/>
    <n v="4177.68"/>
    <n v="10.96"/>
    <n v="5.0343424020298844E-2"/>
  </r>
  <r>
    <s v="F083"/>
    <x v="2"/>
    <x v="0"/>
    <x v="1"/>
    <x v="2"/>
    <n v="1140.1600000000001"/>
    <n v="94704"/>
    <n v="6632.95"/>
    <n v="14.76"/>
    <n v="1.2039195810103058E-2"/>
  </r>
  <r>
    <s v="F175"/>
    <x v="3"/>
    <x v="3"/>
    <x v="0"/>
    <x v="2"/>
    <n v="2822.9423630000001"/>
    <n v="94949"/>
    <n v="9714.76"/>
    <n v="64.900000000000006"/>
    <n v="2.9731143698195874E-2"/>
  </r>
  <r>
    <s v="F072"/>
    <x v="2"/>
    <x v="2"/>
    <x v="2"/>
    <x v="1"/>
    <n v="727.78"/>
    <n v="95292"/>
    <n v="697.47"/>
    <n v="88.35"/>
    <n v="7.6373672501364228E-3"/>
  </r>
  <r>
    <s v="F043"/>
    <x v="0"/>
    <x v="0"/>
    <x v="0"/>
    <x v="0"/>
    <n v="367.90000450000002"/>
    <n v="14009"/>
    <n v="7528.98"/>
    <n v="77.62"/>
    <n v="2.6261689235491471E-2"/>
  </r>
  <r>
    <s v="F123"/>
    <x v="1"/>
    <x v="3"/>
    <x v="1"/>
    <x v="0"/>
    <n v="2303.56"/>
    <n v="58113"/>
    <n v="6382.12"/>
    <n v="56.66"/>
    <n v="3.9639323387193913E-2"/>
  </r>
  <r>
    <s v="F168"/>
    <x v="2"/>
    <x v="3"/>
    <x v="1"/>
    <x v="1"/>
    <n v="1650.12"/>
    <n v="24095"/>
    <n v="3167.52"/>
    <n v="31.02"/>
    <n v="6.8483917825274951E-2"/>
  </r>
  <r>
    <s v="F047"/>
    <x v="0"/>
    <x v="0"/>
    <x v="0"/>
    <x v="1"/>
    <n v="4564.4035119999999"/>
    <n v="39568"/>
    <n v="3580.54"/>
    <n v="78.08"/>
    <n v="0.11535593186413264"/>
  </r>
  <r>
    <s v="F148"/>
    <x v="1"/>
    <x v="0"/>
    <x v="1"/>
    <x v="2"/>
    <n v="3466.51"/>
    <n v="47491"/>
    <n v="5781.05"/>
    <n v="92.18"/>
    <n v="7.2992988145122242E-2"/>
  </r>
  <r>
    <s v="F185"/>
    <x v="0"/>
    <x v="1"/>
    <x v="1"/>
    <x v="1"/>
    <n v="4237.8100000000004"/>
    <n v="68820"/>
    <n v="9612.25"/>
    <n v="83.51"/>
    <n v="6.1578174949142694E-2"/>
  </r>
  <r>
    <s v="F057"/>
    <x v="1"/>
    <x v="2"/>
    <x v="2"/>
    <x v="2"/>
    <n v="323.04000000000002"/>
    <n v="40226"/>
    <n v="7868.86"/>
    <n v="80.53"/>
    <n v="8.0306269576890573E-3"/>
  </r>
  <r>
    <s v="F047"/>
    <x v="0"/>
    <x v="2"/>
    <x v="2"/>
    <x v="2"/>
    <n v="3867.63"/>
    <n v="39568"/>
    <n v="3580.54"/>
    <n v="78.08"/>
    <n v="9.7746411241407205E-2"/>
  </r>
  <r>
    <s v="F185"/>
    <x v="0"/>
    <x v="2"/>
    <x v="0"/>
    <x v="1"/>
    <n v="748.11408010000002"/>
    <n v="68820"/>
    <n v="9612.25"/>
    <n v="83.51"/>
    <n v="1.0870591108689334E-2"/>
  </r>
  <r>
    <s v="F017"/>
    <x v="2"/>
    <x v="2"/>
    <x v="0"/>
    <x v="1"/>
    <n v="654.85997269999996"/>
    <n v="71747"/>
    <n v="9838.66"/>
    <n v="7.25"/>
    <n v="9.1273498919815458E-3"/>
  </r>
  <r>
    <s v="F198"/>
    <x v="3"/>
    <x v="0"/>
    <x v="1"/>
    <x v="2"/>
    <n v="2241.89"/>
    <n v="40577"/>
    <n v="4280.82"/>
    <n v="79.88"/>
    <n v="5.5250264928407712E-2"/>
  </r>
  <r>
    <s v="F121"/>
    <x v="3"/>
    <x v="1"/>
    <x v="2"/>
    <x v="0"/>
    <n v="3489.31"/>
    <n v="11952"/>
    <n v="4637.74"/>
    <n v="63.78"/>
    <n v="0.29194360776439088"/>
  </r>
  <r>
    <s v="F028"/>
    <x v="4"/>
    <x v="2"/>
    <x v="1"/>
    <x v="1"/>
    <n v="2200.2199999999998"/>
    <n v="73977"/>
    <n v="1646.75"/>
    <n v="43.77"/>
    <n v="2.9741946821309324E-2"/>
  </r>
  <r>
    <s v="F123"/>
    <x v="1"/>
    <x v="2"/>
    <x v="1"/>
    <x v="1"/>
    <n v="3247.72"/>
    <n v="58113"/>
    <n v="6382.12"/>
    <n v="56.66"/>
    <n v="5.5886290502985561E-2"/>
  </r>
  <r>
    <s v="F045"/>
    <x v="0"/>
    <x v="1"/>
    <x v="2"/>
    <x v="2"/>
    <n v="3855.39"/>
    <n v="34725"/>
    <n v="3269.89"/>
    <n v="78.86"/>
    <n v="0.11102634989200863"/>
  </r>
  <r>
    <s v="F194"/>
    <x v="3"/>
    <x v="0"/>
    <x v="0"/>
    <x v="2"/>
    <n v="3111.261825"/>
    <n v="42382"/>
    <n v="5116.6899999999996"/>
    <n v="80.42"/>
    <n v="7.3409981242036709E-2"/>
  </r>
  <r>
    <s v="F025"/>
    <x v="4"/>
    <x v="3"/>
    <x v="1"/>
    <x v="0"/>
    <n v="2036.83"/>
    <n v="32131"/>
    <n v="1474.23"/>
    <n v="45.47"/>
    <n v="6.3391428838193639E-2"/>
  </r>
  <r>
    <s v="F032"/>
    <x v="1"/>
    <x v="0"/>
    <x v="1"/>
    <x v="1"/>
    <n v="4876.37"/>
    <n v="33688"/>
    <n v="9495.48"/>
    <n v="55.55"/>
    <n v="0.14475094989313703"/>
  </r>
  <r>
    <s v="F095"/>
    <x v="2"/>
    <x v="0"/>
    <x v="1"/>
    <x v="2"/>
    <n v="4256.16"/>
    <n v="49885"/>
    <n v="6845.46"/>
    <n v="58.4"/>
    <n v="8.5319434699809557E-2"/>
  </r>
  <r>
    <s v="F057"/>
    <x v="1"/>
    <x v="1"/>
    <x v="1"/>
    <x v="1"/>
    <n v="4947.18"/>
    <n v="40226"/>
    <n v="7868.86"/>
    <n v="80.53"/>
    <n v="0.12298463680206832"/>
  </r>
  <r>
    <s v="F120"/>
    <x v="4"/>
    <x v="3"/>
    <x v="2"/>
    <x v="0"/>
    <n v="425.91"/>
    <n v="57215"/>
    <n v="3227.1"/>
    <n v="32.909999999999997"/>
    <n v="7.4440269160185269E-3"/>
  </r>
  <r>
    <s v="F200"/>
    <x v="1"/>
    <x v="0"/>
    <x v="2"/>
    <x v="0"/>
    <n v="4620.84"/>
    <n v="21081"/>
    <n v="9001.77"/>
    <n v="49.27"/>
    <n v="0.21919453536359756"/>
  </r>
  <r>
    <s v="F193"/>
    <x v="1"/>
    <x v="0"/>
    <x v="0"/>
    <x v="2"/>
    <n v="4302.503428"/>
    <n v="15333"/>
    <n v="2570.54"/>
    <n v="41.07"/>
    <n v="0.28060414974238568"/>
  </r>
  <r>
    <s v="F033"/>
    <x v="0"/>
    <x v="3"/>
    <x v="1"/>
    <x v="1"/>
    <n v="2571.46"/>
    <n v="47727"/>
    <n v="8907.33"/>
    <n v="47.4"/>
    <n v="5.3878517401051818E-2"/>
  </r>
  <r>
    <s v="F061"/>
    <x v="1"/>
    <x v="0"/>
    <x v="1"/>
    <x v="1"/>
    <n v="968.92"/>
    <n v="21386"/>
    <n v="2271.92"/>
    <n v="49.67"/>
    <n v="4.5306275133264753E-2"/>
  </r>
  <r>
    <s v="F106"/>
    <x v="3"/>
    <x v="2"/>
    <x v="0"/>
    <x v="2"/>
    <n v="2916.987545"/>
    <n v="98682"/>
    <n v="6220.56"/>
    <n v="70.099999999999994"/>
    <n v="2.9559469254777974E-2"/>
  </r>
  <r>
    <s v="F101"/>
    <x v="3"/>
    <x v="0"/>
    <x v="0"/>
    <x v="0"/>
    <n v="4400.8911360000002"/>
    <n v="65719"/>
    <n v="9362.41"/>
    <n v="86.55"/>
    <n v="6.6965278473500811E-2"/>
  </r>
  <r>
    <s v="F142"/>
    <x v="0"/>
    <x v="1"/>
    <x v="0"/>
    <x v="0"/>
    <n v="1791.2917809999999"/>
    <n v="68278"/>
    <n v="3272.65"/>
    <n v="30.47"/>
    <n v="2.6235270233457335E-2"/>
  </r>
  <r>
    <s v="F024"/>
    <x v="4"/>
    <x v="0"/>
    <x v="1"/>
    <x v="1"/>
    <n v="594.47"/>
    <n v="95718"/>
    <n v="2443.12"/>
    <n v="35.49"/>
    <n v="6.2106395871205002E-3"/>
  </r>
  <r>
    <s v="F187"/>
    <x v="2"/>
    <x v="3"/>
    <x v="2"/>
    <x v="1"/>
    <n v="2602.85"/>
    <n v="77317"/>
    <n v="4862.95"/>
    <n v="89.78"/>
    <n v="3.3664653310397454E-2"/>
  </r>
  <r>
    <s v="F104"/>
    <x v="4"/>
    <x v="0"/>
    <x v="1"/>
    <x v="2"/>
    <n v="558.53"/>
    <n v="84851"/>
    <n v="560.75"/>
    <n v="80.23"/>
    <n v="6.5824798764893755E-3"/>
  </r>
  <r>
    <s v="F046"/>
    <x v="4"/>
    <x v="2"/>
    <x v="2"/>
    <x v="2"/>
    <n v="3004.54"/>
    <n v="87337"/>
    <n v="3603.06"/>
    <n v="67.13"/>
    <n v="3.4401685425421068E-2"/>
  </r>
  <r>
    <s v="F144"/>
    <x v="2"/>
    <x v="3"/>
    <x v="1"/>
    <x v="1"/>
    <n v="1288.92"/>
    <n v="16868"/>
    <n v="1378.01"/>
    <n v="47.52"/>
    <n v="7.6412141332700981E-2"/>
  </r>
  <r>
    <s v="F150"/>
    <x v="4"/>
    <x v="0"/>
    <x v="0"/>
    <x v="2"/>
    <n v="4950.7719509999997"/>
    <n v="46863"/>
    <n v="6762.98"/>
    <n v="23.45"/>
    <n v="0.10564351302733499"/>
  </r>
  <r>
    <s v="F101"/>
    <x v="3"/>
    <x v="3"/>
    <x v="2"/>
    <x v="2"/>
    <n v="3982.02"/>
    <n v="65719"/>
    <n v="9362.41"/>
    <n v="86.55"/>
    <n v="6.0591609732345286E-2"/>
  </r>
  <r>
    <s v="F029"/>
    <x v="4"/>
    <x v="0"/>
    <x v="2"/>
    <x v="2"/>
    <n v="106.32"/>
    <n v="12262"/>
    <n v="7106.18"/>
    <n v="45.69"/>
    <n v="8.6706899363888437E-3"/>
  </r>
  <r>
    <s v="F129"/>
    <x v="1"/>
    <x v="3"/>
    <x v="0"/>
    <x v="0"/>
    <n v="1752.0338509999999"/>
    <n v="58439"/>
    <n v="5817.93"/>
    <n v="63.77"/>
    <n v="2.9980558377111173E-2"/>
  </r>
  <r>
    <s v="F072"/>
    <x v="2"/>
    <x v="1"/>
    <x v="2"/>
    <x v="1"/>
    <n v="2963"/>
    <n v="95292"/>
    <n v="697.47"/>
    <n v="88.35"/>
    <n v="3.10939008521177E-2"/>
  </r>
  <r>
    <s v="F011"/>
    <x v="4"/>
    <x v="1"/>
    <x v="2"/>
    <x v="0"/>
    <n v="2067.13"/>
    <n v="72846"/>
    <n v="5169.53"/>
    <n v="76.709999999999994"/>
    <n v="2.83767125168163E-2"/>
  </r>
  <r>
    <s v="F098"/>
    <x v="4"/>
    <x v="0"/>
    <x v="2"/>
    <x v="1"/>
    <n v="1493.38"/>
    <n v="28704"/>
    <n v="6009.24"/>
    <n v="39.31"/>
    <n v="5.2026895206243033E-2"/>
  </r>
  <r>
    <s v="F122"/>
    <x v="4"/>
    <x v="0"/>
    <x v="0"/>
    <x v="2"/>
    <n v="1311.8245979999999"/>
    <n v="49620"/>
    <n v="2424.31"/>
    <n v="62.09"/>
    <n v="2.6437416324062876E-2"/>
  </r>
  <r>
    <s v="F150"/>
    <x v="4"/>
    <x v="0"/>
    <x v="0"/>
    <x v="1"/>
    <n v="3998.6273169999999"/>
    <n v="46863"/>
    <n v="6762.98"/>
    <n v="23.45"/>
    <n v="8.5325892857904956E-2"/>
  </r>
  <r>
    <s v="F101"/>
    <x v="3"/>
    <x v="3"/>
    <x v="1"/>
    <x v="0"/>
    <n v="4224.63"/>
    <n v="65719"/>
    <n v="9362.41"/>
    <n v="86.55"/>
    <n v="6.4283236202620248E-2"/>
  </r>
  <r>
    <s v="F036"/>
    <x v="3"/>
    <x v="3"/>
    <x v="0"/>
    <x v="1"/>
    <n v="2249.1121229999999"/>
    <n v="53942"/>
    <n v="5904.31"/>
    <n v="32.78"/>
    <n v="4.1695008027140261E-2"/>
  </r>
  <r>
    <s v="F046"/>
    <x v="4"/>
    <x v="2"/>
    <x v="2"/>
    <x v="2"/>
    <n v="1492.82"/>
    <n v="87337"/>
    <n v="3603.06"/>
    <n v="67.13"/>
    <n v="1.7092641148654063E-2"/>
  </r>
  <r>
    <s v="F183"/>
    <x v="3"/>
    <x v="0"/>
    <x v="0"/>
    <x v="2"/>
    <n v="4652.8755929999998"/>
    <n v="29860"/>
    <n v="3956.23"/>
    <n v="57.5"/>
    <n v="0.1558230272270596"/>
  </r>
  <r>
    <s v="F045"/>
    <x v="0"/>
    <x v="3"/>
    <x v="1"/>
    <x v="0"/>
    <n v="2725.88"/>
    <n v="34725"/>
    <n v="3269.89"/>
    <n v="78.86"/>
    <n v="7.8499064074874017E-2"/>
  </r>
  <r>
    <s v="F084"/>
    <x v="3"/>
    <x v="2"/>
    <x v="0"/>
    <x v="2"/>
    <n v="3666.3757099999998"/>
    <n v="54136"/>
    <n v="2775.38"/>
    <n v="75.459999999999994"/>
    <n v="6.7725279111866404E-2"/>
  </r>
  <r>
    <s v="F067"/>
    <x v="1"/>
    <x v="2"/>
    <x v="2"/>
    <x v="1"/>
    <n v="216.52"/>
    <n v="28400"/>
    <n v="3056.67"/>
    <n v="52.68"/>
    <n v="7.6239436619718317E-3"/>
  </r>
  <r>
    <s v="F058"/>
    <x v="1"/>
    <x v="3"/>
    <x v="1"/>
    <x v="0"/>
    <n v="1898.59"/>
    <n v="66398"/>
    <n v="8713.61"/>
    <n v="83.44"/>
    <n v="2.8594084159161419E-2"/>
  </r>
  <r>
    <s v="F048"/>
    <x v="0"/>
    <x v="2"/>
    <x v="0"/>
    <x v="0"/>
    <n v="3557.5735020000002"/>
    <n v="26338"/>
    <n v="578.73"/>
    <n v="72.52"/>
    <n v="0.1350737907965677"/>
  </r>
  <r>
    <s v="F128"/>
    <x v="2"/>
    <x v="1"/>
    <x v="0"/>
    <x v="1"/>
    <n v="1488.084012"/>
    <n v="68216"/>
    <n v="9562.33"/>
    <n v="63.59"/>
    <n v="2.1814295942300926E-2"/>
  </r>
  <r>
    <s v="F088"/>
    <x v="0"/>
    <x v="2"/>
    <x v="1"/>
    <x v="0"/>
    <n v="4949.0200000000004"/>
    <n v="77330"/>
    <n v="6936.58"/>
    <n v="82.3"/>
    <n v="6.3998706840812103E-2"/>
  </r>
  <r>
    <s v="F012"/>
    <x v="3"/>
    <x v="3"/>
    <x v="0"/>
    <x v="1"/>
    <n v="601.16792499999997"/>
    <n v="43747"/>
    <n v="3453.48"/>
    <n v="98.78"/>
    <n v="1.3741923446179166E-2"/>
  </r>
  <r>
    <s v="F137"/>
    <x v="0"/>
    <x v="2"/>
    <x v="0"/>
    <x v="1"/>
    <n v="4121.8599999999997"/>
    <n v="10933"/>
    <n v="9004.3700000000008"/>
    <n v="26.84"/>
    <n v="0.37701088447818526"/>
  </r>
  <r>
    <s v="F036"/>
    <x v="3"/>
    <x v="1"/>
    <x v="2"/>
    <x v="1"/>
    <n v="2038.67"/>
    <n v="53942"/>
    <n v="5904.31"/>
    <n v="32.78"/>
    <n v="3.7793741425976052E-2"/>
  </r>
  <r>
    <s v="F149"/>
    <x v="1"/>
    <x v="2"/>
    <x v="1"/>
    <x v="0"/>
    <n v="1823.3"/>
    <n v="61207"/>
    <n v="6922.33"/>
    <n v="9.1999999999999993"/>
    <n v="2.9789076412828599E-2"/>
  </r>
  <r>
    <s v="F160"/>
    <x v="4"/>
    <x v="0"/>
    <x v="0"/>
    <x v="0"/>
    <n v="380.59776870000002"/>
    <n v="36423"/>
    <n v="589.96"/>
    <n v="30.9"/>
    <n v="1.0449380026356973E-2"/>
  </r>
  <r>
    <s v="F003"/>
    <x v="3"/>
    <x v="1"/>
    <x v="2"/>
    <x v="1"/>
    <n v="3069.63"/>
    <n v="27681"/>
    <n v="928.26"/>
    <n v="44.97"/>
    <n v="0.1108930313211228"/>
  </r>
  <r>
    <s v="F089"/>
    <x v="4"/>
    <x v="0"/>
    <x v="2"/>
    <x v="1"/>
    <n v="1532.06"/>
    <n v="58895"/>
    <n v="3039.17"/>
    <n v="59.82"/>
    <n v="2.6013413702351641E-2"/>
  </r>
  <r>
    <s v="F053"/>
    <x v="0"/>
    <x v="0"/>
    <x v="2"/>
    <x v="0"/>
    <n v="3269.38"/>
    <n v="56392"/>
    <n v="5703.76"/>
    <n v="23.04"/>
    <n v="5.7975954036033485E-2"/>
  </r>
  <r>
    <s v="F084"/>
    <x v="3"/>
    <x v="0"/>
    <x v="0"/>
    <x v="0"/>
    <n v="2397.750059"/>
    <n v="54136"/>
    <n v="2775.38"/>
    <n v="75.459999999999994"/>
    <n v="4.4291230585931728E-2"/>
  </r>
  <r>
    <s v="F026"/>
    <x v="2"/>
    <x v="3"/>
    <x v="1"/>
    <x v="0"/>
    <n v="1104.3599999999999"/>
    <n v="32246"/>
    <n v="7903.93"/>
    <n v="42.12"/>
    <n v="3.4247968740308873E-2"/>
  </r>
  <r>
    <s v="F161"/>
    <x v="2"/>
    <x v="0"/>
    <x v="0"/>
    <x v="2"/>
    <n v="5406.2894820000001"/>
    <n v="36171"/>
    <n v="6864.38"/>
    <n v="37.03"/>
    <n v="0.14946475026955297"/>
  </r>
  <r>
    <s v="F078"/>
    <x v="0"/>
    <x v="0"/>
    <x v="2"/>
    <x v="1"/>
    <n v="2419.31"/>
    <n v="78624"/>
    <n v="2373.27"/>
    <n v="25.07"/>
    <n v="3.0770629833129833E-2"/>
  </r>
  <r>
    <s v="F096"/>
    <x v="0"/>
    <x v="3"/>
    <x v="0"/>
    <x v="2"/>
    <n v="1984.2661450000001"/>
    <n v="21388"/>
    <n v="5249.39"/>
    <n v="64.2"/>
    <n v="9.2774740274920525E-2"/>
  </r>
  <r>
    <s v="F162"/>
    <x v="3"/>
    <x v="1"/>
    <x v="2"/>
    <x v="1"/>
    <n v="2554.5100000000002"/>
    <n v="18175"/>
    <n v="8349.49"/>
    <n v="39.97"/>
    <n v="0.14055075653370014"/>
  </r>
  <r>
    <s v="F147"/>
    <x v="1"/>
    <x v="2"/>
    <x v="1"/>
    <x v="0"/>
    <n v="2087.4"/>
    <n v="13333"/>
    <n v="6102.15"/>
    <n v="17.670000000000002"/>
    <n v="0.15655891397284932"/>
  </r>
  <r>
    <s v="F089"/>
    <x v="4"/>
    <x v="3"/>
    <x v="2"/>
    <x v="1"/>
    <n v="3785.96"/>
    <n v="58895"/>
    <n v="3039.17"/>
    <n v="59.82"/>
    <n v="6.4283215892690385E-2"/>
  </r>
  <r>
    <s v="F064"/>
    <x v="1"/>
    <x v="2"/>
    <x v="1"/>
    <x v="1"/>
    <n v="4818.79"/>
    <n v="70481"/>
    <n v="4452.83"/>
    <n v="91.26"/>
    <n v="6.8370057178530383E-2"/>
  </r>
  <r>
    <s v="F046"/>
    <x v="4"/>
    <x v="1"/>
    <x v="1"/>
    <x v="1"/>
    <n v="4888.34"/>
    <n v="87337"/>
    <n v="3603.06"/>
    <n v="67.13"/>
    <n v="5.597100885077344E-2"/>
  </r>
  <r>
    <s v="F107"/>
    <x v="2"/>
    <x v="3"/>
    <x v="1"/>
    <x v="1"/>
    <n v="3595.37"/>
    <n v="43512"/>
    <n v="5352.18"/>
    <n v="6.17"/>
    <n v="8.2629389593675301E-2"/>
  </r>
  <r>
    <s v="F041"/>
    <x v="1"/>
    <x v="3"/>
    <x v="1"/>
    <x v="0"/>
    <n v="4258.79"/>
    <n v="84721"/>
    <n v="2278.9699999999998"/>
    <n v="68.53"/>
    <n v="5.026841042952751E-2"/>
  </r>
  <r>
    <s v="F110"/>
    <x v="4"/>
    <x v="3"/>
    <x v="2"/>
    <x v="1"/>
    <n v="2679.07"/>
    <n v="85868"/>
    <n v="907.72"/>
    <n v="90.36"/>
    <n v="3.1199864908929988E-2"/>
  </r>
  <r>
    <s v="F100"/>
    <x v="0"/>
    <x v="0"/>
    <x v="2"/>
    <x v="2"/>
    <n v="3884.75"/>
    <n v="90632"/>
    <n v="5292.17"/>
    <n v="78.45"/>
    <n v="4.2862896107335159E-2"/>
  </r>
  <r>
    <s v="F175"/>
    <x v="3"/>
    <x v="3"/>
    <x v="2"/>
    <x v="2"/>
    <n v="3771"/>
    <n v="94949"/>
    <n v="9714.76"/>
    <n v="64.900000000000006"/>
    <n v="3.9716058094345384E-2"/>
  </r>
  <r>
    <s v="F192"/>
    <x v="4"/>
    <x v="0"/>
    <x v="0"/>
    <x v="0"/>
    <n v="3711.3889049999998"/>
    <n v="21914"/>
    <n v="5897.27"/>
    <n v="49.41"/>
    <n v="0.16936154535913114"/>
  </r>
  <r>
    <s v="F162"/>
    <x v="3"/>
    <x v="3"/>
    <x v="1"/>
    <x v="1"/>
    <n v="506.34"/>
    <n v="18175"/>
    <n v="8349.49"/>
    <n v="39.97"/>
    <n v="2.785914718019257E-2"/>
  </r>
  <r>
    <s v="F190"/>
    <x v="0"/>
    <x v="0"/>
    <x v="0"/>
    <x v="0"/>
    <n v="2868.75"/>
    <n v="70582"/>
    <n v="7517.59"/>
    <n v="95.71"/>
    <n v="4.0644215239012779E-2"/>
  </r>
  <r>
    <s v="F011"/>
    <x v="4"/>
    <x v="1"/>
    <x v="2"/>
    <x v="1"/>
    <n v="4633.6899999999996"/>
    <n v="72846"/>
    <n v="5169.53"/>
    <n v="76.709999999999994"/>
    <n v="6.3609395162397386E-2"/>
  </r>
  <r>
    <s v="F032"/>
    <x v="1"/>
    <x v="2"/>
    <x v="2"/>
    <x v="1"/>
    <n v="822.11"/>
    <n v="33688"/>
    <n v="9495.48"/>
    <n v="55.55"/>
    <n v="2.4403645214913321E-2"/>
  </r>
  <r>
    <s v="F015"/>
    <x v="4"/>
    <x v="3"/>
    <x v="2"/>
    <x v="2"/>
    <n v="381.04"/>
    <n v="80488"/>
    <n v="7629.95"/>
    <n v="63.83"/>
    <n v="4.7341218566742871E-3"/>
  </r>
  <r>
    <s v="F152"/>
    <x v="4"/>
    <x v="2"/>
    <x v="1"/>
    <x v="0"/>
    <n v="4854.5"/>
    <n v="90679"/>
    <n v="7266.82"/>
    <n v="23.3"/>
    <n v="5.3534997077603418E-2"/>
  </r>
  <r>
    <s v="F120"/>
    <x v="4"/>
    <x v="3"/>
    <x v="1"/>
    <x v="0"/>
    <n v="4069.56"/>
    <n v="57215"/>
    <n v="3227.1"/>
    <n v="32.909999999999997"/>
    <n v="7.1127501529319237E-2"/>
  </r>
  <r>
    <s v="F009"/>
    <x v="0"/>
    <x v="0"/>
    <x v="2"/>
    <x v="2"/>
    <n v="4573.76"/>
    <n v="45644"/>
    <n v="7724.73"/>
    <n v="31"/>
    <n v="0.10020506528788012"/>
  </r>
  <r>
    <s v="F038"/>
    <x v="4"/>
    <x v="3"/>
    <x v="2"/>
    <x v="1"/>
    <n v="202.63"/>
    <n v="18341"/>
    <n v="8465.57"/>
    <n v="38.39"/>
    <n v="1.1047925413009104E-2"/>
  </r>
  <r>
    <s v="F018"/>
    <x v="4"/>
    <x v="3"/>
    <x v="1"/>
    <x v="0"/>
    <n v="948.57"/>
    <n v="69305"/>
    <n v="3203.67"/>
    <n v="83.65"/>
    <n v="1.3686891277685593E-2"/>
  </r>
  <r>
    <s v="F159"/>
    <x v="0"/>
    <x v="2"/>
    <x v="0"/>
    <x v="2"/>
    <n v="1391.940732"/>
    <n v="72224"/>
    <n v="1613.32"/>
    <n v="39.21"/>
    <n v="1.9272551118741692E-2"/>
  </r>
  <r>
    <s v="F054"/>
    <x v="3"/>
    <x v="0"/>
    <x v="0"/>
    <x v="0"/>
    <n v="262.76459319999998"/>
    <n v="38869"/>
    <n v="5109.76"/>
    <n v="35.270000000000003"/>
    <n v="6.7602612158789779E-3"/>
  </r>
  <r>
    <s v="F100"/>
    <x v="0"/>
    <x v="2"/>
    <x v="2"/>
    <x v="2"/>
    <n v="1987.36"/>
    <n v="90632"/>
    <n v="5292.17"/>
    <n v="78.45"/>
    <n v="2.1927795921970163E-2"/>
  </r>
  <r>
    <s v="F112"/>
    <x v="4"/>
    <x v="3"/>
    <x v="1"/>
    <x v="0"/>
    <n v="4710.57"/>
    <n v="88188"/>
    <n v="815.86"/>
    <n v="57.53"/>
    <n v="5.3415090488501835E-2"/>
  </r>
  <r>
    <s v="F081"/>
    <x v="1"/>
    <x v="2"/>
    <x v="0"/>
    <x v="1"/>
    <n v="897.12"/>
    <n v="39560"/>
    <n v="8380.77"/>
    <n v="94.01"/>
    <n v="2.2677451971688575E-2"/>
  </r>
  <r>
    <s v="F175"/>
    <x v="3"/>
    <x v="0"/>
    <x v="2"/>
    <x v="0"/>
    <n v="4466.1000000000004"/>
    <n v="94949"/>
    <n v="9714.76"/>
    <n v="64.900000000000006"/>
    <n v="4.7036830298370705E-2"/>
  </r>
  <r>
    <s v="F173"/>
    <x v="1"/>
    <x v="1"/>
    <x v="2"/>
    <x v="2"/>
    <n v="4306.16"/>
    <n v="38181"/>
    <n v="691.84"/>
    <n v="33.53"/>
    <n v="0.11278279772661795"/>
  </r>
  <r>
    <s v="F117"/>
    <x v="2"/>
    <x v="1"/>
    <x v="2"/>
    <x v="2"/>
    <n v="3510.58"/>
    <n v="52594"/>
    <n v="8715.0400000000009"/>
    <n v="90.54"/>
    <n v="6.6748678556489333E-2"/>
  </r>
  <r>
    <s v="F198"/>
    <x v="3"/>
    <x v="1"/>
    <x v="1"/>
    <x v="2"/>
    <n v="1053.8399999999999"/>
    <n v="40577"/>
    <n v="4280.82"/>
    <n v="79.88"/>
    <n v="2.5971363087463339E-2"/>
  </r>
  <r>
    <s v="F035"/>
    <x v="4"/>
    <x v="1"/>
    <x v="1"/>
    <x v="1"/>
    <n v="1084.81"/>
    <n v="24913"/>
    <n v="5727.27"/>
    <n v="78.849999999999994"/>
    <n v="4.3543932886444828E-2"/>
  </r>
  <r>
    <s v="F148"/>
    <x v="1"/>
    <x v="3"/>
    <x v="1"/>
    <x v="0"/>
    <n v="618.54"/>
    <n v="47491"/>
    <n v="5781.05"/>
    <n v="92.18"/>
    <n v="1.3024362510791518E-2"/>
  </r>
  <r>
    <s v="F114"/>
    <x v="1"/>
    <x v="1"/>
    <x v="2"/>
    <x v="2"/>
    <n v="3730.83"/>
    <n v="57353"/>
    <n v="2274.71"/>
    <n v="65.34"/>
    <n v="6.5050302512510247E-2"/>
  </r>
  <r>
    <s v="F112"/>
    <x v="4"/>
    <x v="0"/>
    <x v="0"/>
    <x v="2"/>
    <n v="3608.0164239999999"/>
    <n v="88188"/>
    <n v="815.86"/>
    <n v="57.53"/>
    <n v="4.0912782056515627E-2"/>
  </r>
  <r>
    <s v="F072"/>
    <x v="2"/>
    <x v="3"/>
    <x v="1"/>
    <x v="2"/>
    <n v="4037.93"/>
    <n v="95292"/>
    <n v="697.47"/>
    <n v="88.35"/>
    <n v="4.2374281156865215E-2"/>
  </r>
  <r>
    <s v="F194"/>
    <x v="3"/>
    <x v="0"/>
    <x v="0"/>
    <x v="2"/>
    <n v="454.38129889999999"/>
    <n v="42382"/>
    <n v="5116.6899999999996"/>
    <n v="80.42"/>
    <n v="1.0721091475154546E-2"/>
  </r>
  <r>
    <s v="F145"/>
    <x v="4"/>
    <x v="3"/>
    <x v="1"/>
    <x v="2"/>
    <n v="3824.73"/>
    <n v="68492"/>
    <n v="3533.88"/>
    <n v="52.99"/>
    <n v="5.5841996145535248E-2"/>
  </r>
  <r>
    <s v="F014"/>
    <x v="2"/>
    <x v="2"/>
    <x v="0"/>
    <x v="1"/>
    <n v="2188.666952"/>
    <n v="17416"/>
    <n v="812.06"/>
    <n v="5.7"/>
    <n v="0.1256698984841525"/>
  </r>
  <r>
    <s v="F182"/>
    <x v="3"/>
    <x v="2"/>
    <x v="1"/>
    <x v="2"/>
    <n v="1638.41"/>
    <n v="41027"/>
    <n v="7285.85"/>
    <n v="59.87"/>
    <n v="3.9934920905744999E-2"/>
  </r>
  <r>
    <s v="F005"/>
    <x v="4"/>
    <x v="0"/>
    <x v="1"/>
    <x v="1"/>
    <n v="4638.62"/>
    <n v="61743"/>
    <n v="7426.75"/>
    <n v="26.39"/>
    <n v="7.5127868746254628E-2"/>
  </r>
  <r>
    <s v="F158"/>
    <x v="3"/>
    <x v="1"/>
    <x v="1"/>
    <x v="1"/>
    <n v="2700.91"/>
    <n v="61157"/>
    <n v="7331.54"/>
    <n v="55.52"/>
    <n v="4.4163546282518763E-2"/>
  </r>
  <r>
    <s v="F057"/>
    <x v="1"/>
    <x v="0"/>
    <x v="1"/>
    <x v="2"/>
    <n v="4888.18"/>
    <n v="40226"/>
    <n v="7868.86"/>
    <n v="80.53"/>
    <n v="0.12151792373092031"/>
  </r>
  <r>
    <s v="F039"/>
    <x v="2"/>
    <x v="0"/>
    <x v="0"/>
    <x v="0"/>
    <n v="1395.928737"/>
    <n v="40503"/>
    <n v="7447.46"/>
    <n v="98.27"/>
    <n v="3.4464823272350197E-2"/>
  </r>
  <r>
    <s v="F110"/>
    <x v="4"/>
    <x v="3"/>
    <x v="2"/>
    <x v="2"/>
    <n v="2978"/>
    <n v="85868"/>
    <n v="907.72"/>
    <n v="90.36"/>
    <n v="3.4681138491638328E-2"/>
  </r>
  <r>
    <s v="F043"/>
    <x v="0"/>
    <x v="2"/>
    <x v="1"/>
    <x v="0"/>
    <n v="2047.72"/>
    <n v="14009"/>
    <n v="7528.98"/>
    <n v="77.62"/>
    <n v="0.14617174673424227"/>
  </r>
  <r>
    <s v="F080"/>
    <x v="3"/>
    <x v="2"/>
    <x v="1"/>
    <x v="1"/>
    <n v="2384.92"/>
    <n v="10250"/>
    <n v="4717"/>
    <n v="16.600000000000001"/>
    <n v="0.23267512195121953"/>
  </r>
  <r>
    <s v="F126"/>
    <x v="2"/>
    <x v="2"/>
    <x v="0"/>
    <x v="0"/>
    <n v="1560.1904489999999"/>
    <n v="75508"/>
    <n v="6856.22"/>
    <n v="18.2"/>
    <n v="2.0662584745987179E-2"/>
  </r>
  <r>
    <s v="F077"/>
    <x v="4"/>
    <x v="0"/>
    <x v="1"/>
    <x v="2"/>
    <n v="4290.7299999999996"/>
    <n v="52836"/>
    <n v="9330.2999999999993"/>
    <n v="87.27"/>
    <n v="8.1208456355515171E-2"/>
  </r>
  <r>
    <s v="F130"/>
    <x v="3"/>
    <x v="0"/>
    <x v="0"/>
    <x v="2"/>
    <n v="2521.882044"/>
    <n v="43227"/>
    <n v="5199.53"/>
    <n v="44.09"/>
    <n v="5.8340436393920468E-2"/>
  </r>
  <r>
    <s v="F154"/>
    <x v="0"/>
    <x v="1"/>
    <x v="2"/>
    <x v="1"/>
    <n v="3941.05"/>
    <n v="17097"/>
    <n v="9061.7800000000007"/>
    <n v="95.92"/>
    <n v="0.2305112007954612"/>
  </r>
  <r>
    <s v="F003"/>
    <x v="3"/>
    <x v="2"/>
    <x v="1"/>
    <x v="2"/>
    <n v="992.87"/>
    <n v="27681"/>
    <n v="928.26"/>
    <n v="44.97"/>
    <n v="3.5868285105306888E-2"/>
  </r>
  <r>
    <s v="F162"/>
    <x v="3"/>
    <x v="3"/>
    <x v="1"/>
    <x v="0"/>
    <n v="3998.2"/>
    <n v="18175"/>
    <n v="8349.49"/>
    <n v="39.97"/>
    <n v="0.21998349381017882"/>
  </r>
  <r>
    <s v="F128"/>
    <x v="2"/>
    <x v="1"/>
    <x v="2"/>
    <x v="2"/>
    <n v="951.15"/>
    <n v="68216"/>
    <n v="9562.33"/>
    <n v="63.59"/>
    <n v="1.3943209804151518E-2"/>
  </r>
  <r>
    <s v="F146"/>
    <x v="2"/>
    <x v="3"/>
    <x v="0"/>
    <x v="0"/>
    <n v="602.29235949999998"/>
    <n v="99115"/>
    <n v="827.26"/>
    <n v="28.88"/>
    <n v="6.0767024113403617E-3"/>
  </r>
  <r>
    <s v="F158"/>
    <x v="3"/>
    <x v="1"/>
    <x v="1"/>
    <x v="1"/>
    <n v="4791.01"/>
    <n v="61157"/>
    <n v="7331.54"/>
    <n v="55.52"/>
    <n v="7.8339519597102544E-2"/>
  </r>
  <r>
    <s v="F181"/>
    <x v="3"/>
    <x v="2"/>
    <x v="1"/>
    <x v="1"/>
    <n v="2408.38"/>
    <n v="42485"/>
    <n v="4755.75"/>
    <n v="10.19"/>
    <n v="5.6687772154878198E-2"/>
  </r>
  <r>
    <s v="F166"/>
    <x v="3"/>
    <x v="1"/>
    <x v="0"/>
    <x v="0"/>
    <n v="2703.065008"/>
    <n v="96474"/>
    <n v="7574.39"/>
    <n v="95.54"/>
    <n v="2.8018585401248006E-2"/>
  </r>
  <r>
    <s v="F003"/>
    <x v="3"/>
    <x v="3"/>
    <x v="2"/>
    <x v="1"/>
    <n v="4204.6899999999996"/>
    <n v="27681"/>
    <n v="928.26"/>
    <n v="44.97"/>
    <n v="0.15189805281601096"/>
  </r>
  <r>
    <s v="F106"/>
    <x v="3"/>
    <x v="3"/>
    <x v="0"/>
    <x v="2"/>
    <n v="947.61289599999998"/>
    <n v="98682"/>
    <n v="6220.56"/>
    <n v="70.099999999999994"/>
    <n v="9.6026924464441329E-3"/>
  </r>
  <r>
    <s v="F132"/>
    <x v="4"/>
    <x v="1"/>
    <x v="2"/>
    <x v="0"/>
    <n v="3632.9"/>
    <n v="76544"/>
    <n v="8632.77"/>
    <n v="12.87"/>
    <n v="4.746159071906355E-2"/>
  </r>
  <r>
    <s v="F184"/>
    <x v="0"/>
    <x v="0"/>
    <x v="0"/>
    <x v="1"/>
    <n v="3124.8907899999999"/>
    <n v="22201"/>
    <n v="2853.66"/>
    <n v="71.94"/>
    <n v="0.14075450610332868"/>
  </r>
  <r>
    <s v="F032"/>
    <x v="1"/>
    <x v="3"/>
    <x v="1"/>
    <x v="2"/>
    <n v="4679.05"/>
    <n v="33688"/>
    <n v="9495.48"/>
    <n v="55.55"/>
    <n v="0.13889367133697458"/>
  </r>
  <r>
    <s v="F168"/>
    <x v="2"/>
    <x v="0"/>
    <x v="0"/>
    <x v="0"/>
    <n v="4154.095757"/>
    <n v="24095"/>
    <n v="3167.52"/>
    <n v="31.02"/>
    <n v="0.17240488719651381"/>
  </r>
  <r>
    <s v="F145"/>
    <x v="4"/>
    <x v="0"/>
    <x v="1"/>
    <x v="0"/>
    <n v="132.24"/>
    <n v="68492"/>
    <n v="3533.88"/>
    <n v="52.99"/>
    <n v="1.9307364363721311E-3"/>
  </r>
  <r>
    <s v="F129"/>
    <x v="1"/>
    <x v="3"/>
    <x v="1"/>
    <x v="1"/>
    <n v="3066.65"/>
    <n v="58439"/>
    <n v="5817.93"/>
    <n v="63.77"/>
    <n v="5.2476086175328118E-2"/>
  </r>
  <r>
    <s v="F155"/>
    <x v="2"/>
    <x v="2"/>
    <x v="0"/>
    <x v="1"/>
    <n v="1342.8827699999999"/>
    <n v="75736"/>
    <n v="6287.07"/>
    <n v="63.11"/>
    <n v="1.773110238195838E-2"/>
  </r>
  <r>
    <s v="F056"/>
    <x v="4"/>
    <x v="2"/>
    <x v="1"/>
    <x v="2"/>
    <n v="3919.95"/>
    <n v="99026"/>
    <n v="5453.2"/>
    <n v="57.49"/>
    <n v="3.9585058469492861E-2"/>
  </r>
  <r>
    <s v="F083"/>
    <x v="2"/>
    <x v="0"/>
    <x v="1"/>
    <x v="2"/>
    <n v="4408.78"/>
    <n v="94704"/>
    <n v="6632.95"/>
    <n v="14.76"/>
    <n v="4.6553260685926676E-2"/>
  </r>
  <r>
    <s v="F092"/>
    <x v="4"/>
    <x v="3"/>
    <x v="1"/>
    <x v="1"/>
    <n v="4970.6899999999996"/>
    <n v="79495"/>
    <n v="7157.48"/>
    <n v="26.84"/>
    <n v="6.2528335115416056E-2"/>
  </r>
  <r>
    <s v="F130"/>
    <x v="3"/>
    <x v="0"/>
    <x v="0"/>
    <x v="1"/>
    <n v="1694.1939150000001"/>
    <n v="43227"/>
    <n v="5199.53"/>
    <n v="44.09"/>
    <n v="3.9192956138524533E-2"/>
  </r>
  <r>
    <s v="F054"/>
    <x v="3"/>
    <x v="3"/>
    <x v="1"/>
    <x v="1"/>
    <n v="4225.8"/>
    <n v="38869"/>
    <n v="5109.76"/>
    <n v="35.270000000000003"/>
    <n v="0.10871903058993028"/>
  </r>
  <r>
    <s v="F161"/>
    <x v="2"/>
    <x v="0"/>
    <x v="1"/>
    <x v="1"/>
    <n v="2933.56"/>
    <n v="36171"/>
    <n v="6864.38"/>
    <n v="37.03"/>
    <n v="8.1102540709408089E-2"/>
  </r>
  <r>
    <s v="F124"/>
    <x v="3"/>
    <x v="2"/>
    <x v="0"/>
    <x v="0"/>
    <n v="1192.3339940000001"/>
    <n v="37309"/>
    <n v="4508.54"/>
    <n v="47.15"/>
    <n v="3.1958347690905685E-2"/>
  </r>
  <r>
    <s v="F043"/>
    <x v="0"/>
    <x v="0"/>
    <x v="1"/>
    <x v="2"/>
    <n v="2457.1"/>
    <n v="14009"/>
    <n v="7528.98"/>
    <n v="77.62"/>
    <n v="0.17539438932115067"/>
  </r>
  <r>
    <s v="F128"/>
    <x v="2"/>
    <x v="1"/>
    <x v="2"/>
    <x v="2"/>
    <n v="3801.93"/>
    <n v="68216"/>
    <n v="9562.33"/>
    <n v="63.59"/>
    <n v="5.5733698838982056E-2"/>
  </r>
  <r>
    <s v="F115"/>
    <x v="3"/>
    <x v="3"/>
    <x v="2"/>
    <x v="2"/>
    <n v="2334.69"/>
    <n v="29318"/>
    <n v="9860.6200000000008"/>
    <n v="14.58"/>
    <n v="7.9633331059417431E-2"/>
  </r>
  <r>
    <s v="F048"/>
    <x v="0"/>
    <x v="1"/>
    <x v="2"/>
    <x v="0"/>
    <n v="4761.95"/>
    <n v="26338"/>
    <n v="578.73"/>
    <n v="72.52"/>
    <n v="0.18080150353101981"/>
  </r>
  <r>
    <s v="F081"/>
    <x v="1"/>
    <x v="3"/>
    <x v="1"/>
    <x v="2"/>
    <n v="4516.03"/>
    <n v="39560"/>
    <n v="8380.77"/>
    <n v="94.01"/>
    <n v="0.11415647118301314"/>
  </r>
  <r>
    <s v="F076"/>
    <x v="2"/>
    <x v="0"/>
    <x v="0"/>
    <x v="2"/>
    <n v="4645.5949979999996"/>
    <n v="41953"/>
    <n v="2379.14"/>
    <n v="65.67"/>
    <n v="0.11073332057302218"/>
  </r>
  <r>
    <s v="F032"/>
    <x v="1"/>
    <x v="2"/>
    <x v="2"/>
    <x v="2"/>
    <n v="3245.36"/>
    <n v="33688"/>
    <n v="9495.48"/>
    <n v="55.55"/>
    <n v="9.6335787223937305E-2"/>
  </r>
  <r>
    <s v="F094"/>
    <x v="3"/>
    <x v="2"/>
    <x v="1"/>
    <x v="0"/>
    <n v="3907.47"/>
    <n v="40553"/>
    <n v="4875.2299999999996"/>
    <n v="23.33"/>
    <n v="9.635464700515374E-2"/>
  </r>
  <r>
    <s v="F111"/>
    <x v="3"/>
    <x v="1"/>
    <x v="0"/>
    <x v="0"/>
    <n v="1337.8548840000001"/>
    <n v="10907"/>
    <n v="4748.66"/>
    <n v="39.36"/>
    <n v="0.12266020757311819"/>
  </r>
  <r>
    <s v="F133"/>
    <x v="2"/>
    <x v="2"/>
    <x v="2"/>
    <x v="0"/>
    <n v="3487.09"/>
    <n v="41168"/>
    <n v="8226.77"/>
    <n v="42.55"/>
    <n v="8.4703896230081621E-2"/>
  </r>
  <r>
    <s v="F040"/>
    <x v="0"/>
    <x v="2"/>
    <x v="0"/>
    <x v="1"/>
    <n v="4959.5938470000001"/>
    <n v="52357"/>
    <n v="5643.16"/>
    <n v="37.130000000000003"/>
    <n v="9.472647109269057E-2"/>
  </r>
  <r>
    <s v="F072"/>
    <x v="2"/>
    <x v="0"/>
    <x v="2"/>
    <x v="1"/>
    <n v="4294.03"/>
    <n v="95292"/>
    <n v="697.47"/>
    <n v="88.35"/>
    <n v="4.5061810015531209E-2"/>
  </r>
  <r>
    <s v="F153"/>
    <x v="3"/>
    <x v="0"/>
    <x v="1"/>
    <x v="0"/>
    <n v="648.78"/>
    <n v="95306"/>
    <n v="9037.76"/>
    <n v="13.35"/>
    <n v="6.8073363691687821E-3"/>
  </r>
  <r>
    <s v="F153"/>
    <x v="3"/>
    <x v="1"/>
    <x v="1"/>
    <x v="0"/>
    <n v="3771.9"/>
    <n v="95306"/>
    <n v="9037.76"/>
    <n v="13.35"/>
    <n v="3.9576731790233563E-2"/>
  </r>
  <r>
    <s v="F128"/>
    <x v="2"/>
    <x v="3"/>
    <x v="0"/>
    <x v="2"/>
    <n v="3071.55413"/>
    <n v="68216"/>
    <n v="9562.33"/>
    <n v="63.59"/>
    <n v="4.5026887093936908E-2"/>
  </r>
  <r>
    <s v="F198"/>
    <x v="3"/>
    <x v="1"/>
    <x v="2"/>
    <x v="2"/>
    <n v="2591.1799999999998"/>
    <n v="40577"/>
    <n v="4280.82"/>
    <n v="79.88"/>
    <n v="6.385834339650541E-2"/>
  </r>
  <r>
    <s v="F057"/>
    <x v="1"/>
    <x v="2"/>
    <x v="1"/>
    <x v="1"/>
    <n v="3280.07"/>
    <n v="40226"/>
    <n v="7868.86"/>
    <n v="80.53"/>
    <n v="8.1541043106448566E-2"/>
  </r>
  <r>
    <s v="F091"/>
    <x v="4"/>
    <x v="3"/>
    <x v="2"/>
    <x v="1"/>
    <n v="632.11"/>
    <n v="43490"/>
    <n v="9300.8799999999992"/>
    <n v="58.43"/>
    <n v="1.4534605656472752E-2"/>
  </r>
  <r>
    <s v="F004"/>
    <x v="0"/>
    <x v="1"/>
    <x v="1"/>
    <x v="0"/>
    <n v="2914.08"/>
    <n v="83923"/>
    <n v="8768.7999999999993"/>
    <n v="65.290000000000006"/>
    <n v="3.4723258224801302E-2"/>
  </r>
  <r>
    <s v="F032"/>
    <x v="1"/>
    <x v="3"/>
    <x v="2"/>
    <x v="0"/>
    <n v="637.63"/>
    <n v="33688"/>
    <n v="9495.48"/>
    <n v="55.55"/>
    <n v="1.8927511279981001E-2"/>
  </r>
  <r>
    <s v="F078"/>
    <x v="0"/>
    <x v="2"/>
    <x v="1"/>
    <x v="2"/>
    <n v="1996.46"/>
    <n v="78624"/>
    <n v="2373.27"/>
    <n v="25.07"/>
    <n v="2.5392501017501019E-2"/>
  </r>
  <r>
    <s v="F121"/>
    <x v="3"/>
    <x v="2"/>
    <x v="1"/>
    <x v="2"/>
    <n v="1059.26"/>
    <n v="11952"/>
    <n v="4637.74"/>
    <n v="63.78"/>
    <n v="8.862617135207497E-2"/>
  </r>
  <r>
    <s v="F057"/>
    <x v="1"/>
    <x v="1"/>
    <x v="0"/>
    <x v="2"/>
    <n v="3555.9372720000001"/>
    <n v="40226"/>
    <n v="7868.86"/>
    <n v="80.53"/>
    <n v="8.8398977576691698E-2"/>
  </r>
  <r>
    <s v="F127"/>
    <x v="3"/>
    <x v="3"/>
    <x v="1"/>
    <x v="1"/>
    <n v="3698.27"/>
    <n v="77400"/>
    <n v="7504.8"/>
    <n v="68.819999999999993"/>
    <n v="4.7781266149870799E-2"/>
  </r>
  <r>
    <s v="F004"/>
    <x v="0"/>
    <x v="3"/>
    <x v="1"/>
    <x v="1"/>
    <n v="2286.9699999999998"/>
    <n v="83923"/>
    <n v="8768.7999999999993"/>
    <n v="65.290000000000006"/>
    <n v="2.7250813245475018E-2"/>
  </r>
  <r>
    <s v="F005"/>
    <x v="4"/>
    <x v="3"/>
    <x v="1"/>
    <x v="2"/>
    <n v="3316.45"/>
    <n v="61743"/>
    <n v="7426.75"/>
    <n v="26.39"/>
    <n v="5.3713781319339841E-2"/>
  </r>
  <r>
    <s v="F027"/>
    <x v="4"/>
    <x v="2"/>
    <x v="2"/>
    <x v="2"/>
    <n v="1242.96"/>
    <n v="51800"/>
    <n v="3042.95"/>
    <n v="71.87"/>
    <n v="2.3995366795366797E-2"/>
  </r>
  <r>
    <s v="F121"/>
    <x v="3"/>
    <x v="3"/>
    <x v="2"/>
    <x v="0"/>
    <n v="3792.28"/>
    <n v="11952"/>
    <n v="4637.74"/>
    <n v="63.78"/>
    <n v="0.31729250334672021"/>
  </r>
  <r>
    <s v="F018"/>
    <x v="4"/>
    <x v="3"/>
    <x v="0"/>
    <x v="1"/>
    <n v="4685.3057760000002"/>
    <n v="69305"/>
    <n v="3203.67"/>
    <n v="83.65"/>
    <n v="6.7604152312242982E-2"/>
  </r>
  <r>
    <s v="F079"/>
    <x v="2"/>
    <x v="1"/>
    <x v="2"/>
    <x v="2"/>
    <n v="2273.65"/>
    <n v="17311"/>
    <n v="2257.38"/>
    <n v="91.07"/>
    <n v="0.13134134365432384"/>
  </r>
  <r>
    <s v="F006"/>
    <x v="4"/>
    <x v="2"/>
    <x v="0"/>
    <x v="2"/>
    <n v="3021.59"/>
    <n v="11426"/>
    <n v="4439.5600000000004"/>
    <n v="52.71"/>
    <n v="0.26444862594083668"/>
  </r>
  <r>
    <s v="F133"/>
    <x v="2"/>
    <x v="3"/>
    <x v="2"/>
    <x v="2"/>
    <n v="1312.78"/>
    <n v="41168"/>
    <n v="8226.77"/>
    <n v="42.55"/>
    <n v="3.1888359891177616E-2"/>
  </r>
  <r>
    <s v="F158"/>
    <x v="3"/>
    <x v="3"/>
    <x v="0"/>
    <x v="1"/>
    <n v="1829.705449"/>
    <n v="61157"/>
    <n v="7331.54"/>
    <n v="55.52"/>
    <n v="2.991816879506843E-2"/>
  </r>
  <r>
    <s v="F108"/>
    <x v="3"/>
    <x v="3"/>
    <x v="0"/>
    <x v="1"/>
    <n v="1549.717801"/>
    <n v="39050"/>
    <n v="5885.73"/>
    <n v="93.04"/>
    <n v="3.9685475057618436E-2"/>
  </r>
  <r>
    <s v="F070"/>
    <x v="2"/>
    <x v="0"/>
    <x v="2"/>
    <x v="0"/>
    <n v="2500.38"/>
    <n v="15128"/>
    <n v="8847.09"/>
    <n v="5.25"/>
    <n v="0.16528159703860393"/>
  </r>
  <r>
    <s v="F012"/>
    <x v="3"/>
    <x v="1"/>
    <x v="2"/>
    <x v="2"/>
    <n v="1314.88"/>
    <n v="43747"/>
    <n v="3453.48"/>
    <n v="98.78"/>
    <n v="3.0056461014469567E-2"/>
  </r>
  <r>
    <s v="F009"/>
    <x v="0"/>
    <x v="3"/>
    <x v="2"/>
    <x v="2"/>
    <n v="2425.58"/>
    <n v="45644"/>
    <n v="7724.73"/>
    <n v="31"/>
    <n v="5.314126719831741E-2"/>
  </r>
  <r>
    <s v="F194"/>
    <x v="3"/>
    <x v="1"/>
    <x v="1"/>
    <x v="1"/>
    <n v="3143.07"/>
    <n v="42382"/>
    <n v="5116.6899999999996"/>
    <n v="80.42"/>
    <n v="7.4160492661979147E-2"/>
  </r>
  <r>
    <s v="F049"/>
    <x v="0"/>
    <x v="3"/>
    <x v="2"/>
    <x v="1"/>
    <n v="3426.65"/>
    <n v="65666"/>
    <n v="7269.98"/>
    <n v="75.62"/>
    <n v="5.2183017086467887E-2"/>
  </r>
  <r>
    <s v="F198"/>
    <x v="3"/>
    <x v="3"/>
    <x v="0"/>
    <x v="1"/>
    <n v="3334.694031"/>
    <n v="40577"/>
    <n v="4280.82"/>
    <n v="79.88"/>
    <n v="8.2181877196441336E-2"/>
  </r>
  <r>
    <s v="F054"/>
    <x v="3"/>
    <x v="0"/>
    <x v="2"/>
    <x v="2"/>
    <n v="1554.47"/>
    <n v="38869"/>
    <n v="5109.76"/>
    <n v="35.270000000000003"/>
    <n v="3.9992539041395457E-2"/>
  </r>
  <r>
    <s v="F177"/>
    <x v="3"/>
    <x v="1"/>
    <x v="0"/>
    <x v="2"/>
    <n v="613.2168762"/>
    <n v="87482"/>
    <n v="2231.7399999999998"/>
    <n v="45.43"/>
    <n v="7.0096348528840219E-3"/>
  </r>
  <r>
    <s v="F115"/>
    <x v="3"/>
    <x v="3"/>
    <x v="2"/>
    <x v="2"/>
    <n v="2269.8200000000002"/>
    <n v="29318"/>
    <n v="9860.6200000000008"/>
    <n v="14.58"/>
    <n v="7.7420697182618195E-2"/>
  </r>
  <r>
    <s v="F159"/>
    <x v="0"/>
    <x v="0"/>
    <x v="0"/>
    <x v="2"/>
    <n v="1258.557671"/>
    <n v="72224"/>
    <n v="1613.32"/>
    <n v="39.21"/>
    <n v="1.7425754195281348E-2"/>
  </r>
  <r>
    <s v="F106"/>
    <x v="3"/>
    <x v="0"/>
    <x v="1"/>
    <x v="0"/>
    <n v="2102.71"/>
    <n v="98682"/>
    <n v="6220.56"/>
    <n v="70.099999999999994"/>
    <n v="2.1307938631158672E-2"/>
  </r>
  <r>
    <s v="F022"/>
    <x v="4"/>
    <x v="1"/>
    <x v="2"/>
    <x v="1"/>
    <n v="1951.99"/>
    <n v="20207"/>
    <n v="5369.46"/>
    <n v="57.51"/>
    <n v="9.6599693175632204E-2"/>
  </r>
  <r>
    <s v="F010"/>
    <x v="0"/>
    <x v="0"/>
    <x v="0"/>
    <x v="0"/>
    <n v="942.65605679999999"/>
    <n v="32991"/>
    <n v="8540.14"/>
    <n v="37.75"/>
    <n v="2.8573127725743386E-2"/>
  </r>
  <r>
    <s v="F106"/>
    <x v="3"/>
    <x v="0"/>
    <x v="1"/>
    <x v="2"/>
    <n v="4612.42"/>
    <n v="98682"/>
    <n v="6220.56"/>
    <n v="70.099999999999994"/>
    <n v="4.674023631462678E-2"/>
  </r>
  <r>
    <s v="F062"/>
    <x v="2"/>
    <x v="2"/>
    <x v="0"/>
    <x v="1"/>
    <n v="5180.6869040000001"/>
    <n v="19265"/>
    <n v="776.6"/>
    <n v="39.75"/>
    <n v="0.26891704666493643"/>
  </r>
  <r>
    <s v="F124"/>
    <x v="3"/>
    <x v="2"/>
    <x v="0"/>
    <x v="0"/>
    <n v="3307.6824809999998"/>
    <n v="37309"/>
    <n v="4508.54"/>
    <n v="47.15"/>
    <n v="8.8656422873837404E-2"/>
  </r>
  <r>
    <s v="F105"/>
    <x v="0"/>
    <x v="0"/>
    <x v="2"/>
    <x v="2"/>
    <n v="4673.95"/>
    <n v="27028"/>
    <n v="4617.92"/>
    <n v="57.62"/>
    <n v="0.17292992452271719"/>
  </r>
  <r>
    <s v="F083"/>
    <x v="2"/>
    <x v="0"/>
    <x v="2"/>
    <x v="2"/>
    <n v="2977.11"/>
    <n v="94704"/>
    <n v="6632.95"/>
    <n v="14.76"/>
    <n v="3.1435947795235682E-2"/>
  </r>
  <r>
    <s v="F088"/>
    <x v="0"/>
    <x v="3"/>
    <x v="0"/>
    <x v="1"/>
    <n v="2214.8565199999998"/>
    <n v="77330"/>
    <n v="6936.58"/>
    <n v="82.3"/>
    <n v="2.8641620587094269E-2"/>
  </r>
  <r>
    <s v="F014"/>
    <x v="2"/>
    <x v="3"/>
    <x v="2"/>
    <x v="1"/>
    <n v="2253.86"/>
    <n v="17416"/>
    <n v="812.06"/>
    <n v="5.7"/>
    <n v="0.12941318327974277"/>
  </r>
  <r>
    <s v="F131"/>
    <x v="4"/>
    <x v="3"/>
    <x v="0"/>
    <x v="0"/>
    <n v="2426.7211910000001"/>
    <n v="43294"/>
    <n v="3802.13"/>
    <n v="45.84"/>
    <n v="5.6052136346837901E-2"/>
  </r>
  <r>
    <s v="F099"/>
    <x v="3"/>
    <x v="1"/>
    <x v="1"/>
    <x v="2"/>
    <n v="2903.42"/>
    <n v="17162"/>
    <n v="5079.95"/>
    <n v="19.239999999999998"/>
    <n v="0.16917725206852349"/>
  </r>
  <r>
    <s v="F067"/>
    <x v="1"/>
    <x v="1"/>
    <x v="0"/>
    <x v="0"/>
    <n v="3101.8439530000001"/>
    <n v="28400"/>
    <n v="3056.67"/>
    <n v="52.68"/>
    <n v="0.1092198575"/>
  </r>
  <r>
    <s v="F050"/>
    <x v="0"/>
    <x v="0"/>
    <x v="0"/>
    <x v="0"/>
    <n v="3483.9279729999998"/>
    <n v="10067"/>
    <n v="1953.33"/>
    <n v="25.15"/>
    <n v="0.34607410082447598"/>
  </r>
  <r>
    <s v="F005"/>
    <x v="4"/>
    <x v="0"/>
    <x v="2"/>
    <x v="1"/>
    <n v="4798.16"/>
    <n v="61743"/>
    <n v="7426.75"/>
    <n v="26.39"/>
    <n v="7.7711805386845467E-2"/>
  </r>
  <r>
    <s v="F075"/>
    <x v="3"/>
    <x v="1"/>
    <x v="2"/>
    <x v="0"/>
    <n v="2226.6"/>
    <n v="60513"/>
    <n v="4578.16"/>
    <n v="65.53"/>
    <n v="3.6795399335679935E-2"/>
  </r>
  <r>
    <s v="F151"/>
    <x v="2"/>
    <x v="2"/>
    <x v="0"/>
    <x v="1"/>
    <n v="2848.953849"/>
    <n v="81057"/>
    <n v="675.41"/>
    <n v="55.44"/>
    <n v="3.5147536289277914E-2"/>
  </r>
  <r>
    <s v="F021"/>
    <x v="1"/>
    <x v="0"/>
    <x v="1"/>
    <x v="2"/>
    <n v="751.3"/>
    <n v="44657"/>
    <n v="7867.98"/>
    <n v="96.01"/>
    <n v="1.6823790223257272E-2"/>
  </r>
  <r>
    <s v="F077"/>
    <x v="4"/>
    <x v="2"/>
    <x v="2"/>
    <x v="1"/>
    <n v="3286.05"/>
    <n v="52836"/>
    <n v="9330.2999999999993"/>
    <n v="87.27"/>
    <n v="6.2193390869861462E-2"/>
  </r>
  <r>
    <s v="F082"/>
    <x v="0"/>
    <x v="1"/>
    <x v="2"/>
    <x v="1"/>
    <n v="1018.05"/>
    <n v="17468"/>
    <n v="6359.73"/>
    <n v="5.22"/>
    <n v="5.82808564231738E-2"/>
  </r>
  <r>
    <s v="F003"/>
    <x v="3"/>
    <x v="3"/>
    <x v="1"/>
    <x v="2"/>
    <n v="2978.67"/>
    <n v="27681"/>
    <n v="928.26"/>
    <n v="44.97"/>
    <n v="0.10760702286767097"/>
  </r>
  <r>
    <s v="F079"/>
    <x v="2"/>
    <x v="2"/>
    <x v="2"/>
    <x v="1"/>
    <n v="1158.82"/>
    <n v="17311"/>
    <n v="2257.38"/>
    <n v="91.07"/>
    <n v="6.6941251227543172E-2"/>
  </r>
  <r>
    <s v="F032"/>
    <x v="1"/>
    <x v="0"/>
    <x v="0"/>
    <x v="0"/>
    <n v="4416.2129789999999"/>
    <n v="33688"/>
    <n v="9495.48"/>
    <n v="55.55"/>
    <n v="0.13109157501187366"/>
  </r>
  <r>
    <s v="F037"/>
    <x v="3"/>
    <x v="1"/>
    <x v="0"/>
    <x v="0"/>
    <n v="1348.0319910000001"/>
    <n v="97337"/>
    <n v="3362.06"/>
    <n v="55.46"/>
    <n v="1.3849122029649569E-2"/>
  </r>
  <r>
    <s v="F101"/>
    <x v="3"/>
    <x v="3"/>
    <x v="2"/>
    <x v="0"/>
    <n v="2825.42"/>
    <n v="65719"/>
    <n v="9362.41"/>
    <n v="86.55"/>
    <n v="4.2992437499048984E-2"/>
  </r>
  <r>
    <s v="F152"/>
    <x v="4"/>
    <x v="0"/>
    <x v="0"/>
    <x v="2"/>
    <n v="4051.467787"/>
    <n v="90679"/>
    <n v="7266.82"/>
    <n v="23.3"/>
    <n v="4.4679228785054974E-2"/>
  </r>
  <r>
    <s v="F093"/>
    <x v="2"/>
    <x v="3"/>
    <x v="2"/>
    <x v="2"/>
    <n v="3797.37"/>
    <n v="15553"/>
    <n v="3909.51"/>
    <n v="46.44"/>
    <n v="0.24415675432392464"/>
  </r>
  <r>
    <s v="F004"/>
    <x v="0"/>
    <x v="3"/>
    <x v="2"/>
    <x v="2"/>
    <n v="4111.7700000000004"/>
    <n v="83923"/>
    <n v="8768.7999999999993"/>
    <n v="65.290000000000006"/>
    <n v="4.8994554532130648E-2"/>
  </r>
  <r>
    <s v="F142"/>
    <x v="0"/>
    <x v="3"/>
    <x v="0"/>
    <x v="0"/>
    <n v="1444.1264490000001"/>
    <n v="68278"/>
    <n v="3272.65"/>
    <n v="30.47"/>
    <n v="2.1150684686136092E-2"/>
  </r>
  <r>
    <s v="F159"/>
    <x v="0"/>
    <x v="1"/>
    <x v="2"/>
    <x v="0"/>
    <n v="3062.42"/>
    <n v="72224"/>
    <n v="1613.32"/>
    <n v="39.21"/>
    <n v="4.24016947275144E-2"/>
  </r>
  <r>
    <s v="F197"/>
    <x v="2"/>
    <x v="3"/>
    <x v="1"/>
    <x v="0"/>
    <n v="1226.9100000000001"/>
    <n v="59617"/>
    <n v="5000.95"/>
    <n v="80.36"/>
    <n v="2.0579868158411192E-2"/>
  </r>
  <r>
    <s v="F055"/>
    <x v="2"/>
    <x v="1"/>
    <x v="1"/>
    <x v="2"/>
    <n v="1442.19"/>
    <n v="41050"/>
    <n v="6025.84"/>
    <n v="53.53"/>
    <n v="3.5132521315468943E-2"/>
  </r>
  <r>
    <s v="F200"/>
    <x v="1"/>
    <x v="1"/>
    <x v="1"/>
    <x v="2"/>
    <n v="3767.87"/>
    <n v="21081"/>
    <n v="9001.77"/>
    <n v="49.27"/>
    <n v="0.17873298230634219"/>
  </r>
  <r>
    <s v="F022"/>
    <x v="4"/>
    <x v="2"/>
    <x v="1"/>
    <x v="2"/>
    <n v="1528.64"/>
    <n v="20207"/>
    <n v="5369.46"/>
    <n v="57.51"/>
    <n v="7.5649032513485426E-2"/>
  </r>
  <r>
    <s v="F063"/>
    <x v="4"/>
    <x v="2"/>
    <x v="2"/>
    <x v="1"/>
    <n v="438.03"/>
    <n v="45519"/>
    <n v="7987.69"/>
    <n v="10.86"/>
    <n v="9.6230145653463384E-3"/>
  </r>
  <r>
    <s v="F015"/>
    <x v="4"/>
    <x v="1"/>
    <x v="1"/>
    <x v="0"/>
    <n v="2291.7800000000002"/>
    <n v="80488"/>
    <n v="7629.95"/>
    <n v="63.83"/>
    <n v="2.847356127621509E-2"/>
  </r>
  <r>
    <s v="F060"/>
    <x v="4"/>
    <x v="1"/>
    <x v="2"/>
    <x v="0"/>
    <n v="4099.03"/>
    <n v="41539"/>
    <n v="982.8"/>
    <n v="79.7"/>
    <n v="9.8679072678687488E-2"/>
  </r>
  <r>
    <s v="F174"/>
    <x v="3"/>
    <x v="2"/>
    <x v="0"/>
    <x v="0"/>
    <n v="2713.3180809999999"/>
    <n v="95962"/>
    <n v="524.72"/>
    <n v="49.55"/>
    <n v="2.8274922167107811E-2"/>
  </r>
  <r>
    <s v="F153"/>
    <x v="3"/>
    <x v="1"/>
    <x v="1"/>
    <x v="1"/>
    <n v="769.84"/>
    <n v="95306"/>
    <n v="9037.76"/>
    <n v="13.35"/>
    <n v="8.077560699221456E-3"/>
  </r>
  <r>
    <s v="F082"/>
    <x v="0"/>
    <x v="2"/>
    <x v="2"/>
    <x v="0"/>
    <n v="3217.94"/>
    <n v="17468"/>
    <n v="6359.73"/>
    <n v="5.22"/>
    <n v="0.1842191435768262"/>
  </r>
  <r>
    <s v="F138"/>
    <x v="0"/>
    <x v="2"/>
    <x v="0"/>
    <x v="1"/>
    <n v="3817.749018"/>
    <n v="94393"/>
    <n v="6691.7"/>
    <n v="74.790000000000006"/>
    <n v="4.0445255665144661E-2"/>
  </r>
  <r>
    <s v="F038"/>
    <x v="4"/>
    <x v="3"/>
    <x v="1"/>
    <x v="0"/>
    <n v="3796.86"/>
    <n v="18341"/>
    <n v="8465.57"/>
    <n v="38.39"/>
    <n v="0.20701488468458645"/>
  </r>
  <r>
    <s v="F177"/>
    <x v="3"/>
    <x v="0"/>
    <x v="2"/>
    <x v="1"/>
    <n v="1722.54"/>
    <n v="87482"/>
    <n v="2231.7399999999998"/>
    <n v="45.43"/>
    <n v="1.9690221988523354E-2"/>
  </r>
  <r>
    <s v="F076"/>
    <x v="2"/>
    <x v="2"/>
    <x v="1"/>
    <x v="2"/>
    <n v="2472.08"/>
    <n v="41953"/>
    <n v="2379.14"/>
    <n v="65.67"/>
    <n v="5.8924987485996234E-2"/>
  </r>
  <r>
    <s v="F072"/>
    <x v="2"/>
    <x v="3"/>
    <x v="2"/>
    <x v="2"/>
    <n v="3592.6"/>
    <n v="95292"/>
    <n v="697.47"/>
    <n v="88.35"/>
    <n v="3.7700961255929144E-2"/>
  </r>
  <r>
    <s v="F126"/>
    <x v="2"/>
    <x v="3"/>
    <x v="2"/>
    <x v="1"/>
    <n v="4482.0600000000004"/>
    <n v="75508"/>
    <n v="6856.22"/>
    <n v="18.2"/>
    <n v="5.9358743444403249E-2"/>
  </r>
  <r>
    <s v="F151"/>
    <x v="2"/>
    <x v="2"/>
    <x v="0"/>
    <x v="1"/>
    <n v="3888.6305109999998"/>
    <n v="81057"/>
    <n v="675.41"/>
    <n v="55.44"/>
    <n v="4.7974024587635861E-2"/>
  </r>
  <r>
    <s v="F160"/>
    <x v="4"/>
    <x v="3"/>
    <x v="0"/>
    <x v="1"/>
    <n v="1035.252371"/>
    <n v="36423"/>
    <n v="589.96"/>
    <n v="30.9"/>
    <n v="2.8423039590368723E-2"/>
  </r>
  <r>
    <s v="F018"/>
    <x v="4"/>
    <x v="3"/>
    <x v="1"/>
    <x v="1"/>
    <n v="93.17"/>
    <n v="69305"/>
    <n v="3203.67"/>
    <n v="83.65"/>
    <n v="1.3443474496789554E-3"/>
  </r>
  <r>
    <s v="F077"/>
    <x v="4"/>
    <x v="0"/>
    <x v="1"/>
    <x v="1"/>
    <n v="489.88"/>
    <n v="52836"/>
    <n v="9330.2999999999993"/>
    <n v="87.27"/>
    <n v="9.271708683473389E-3"/>
  </r>
  <r>
    <s v="F060"/>
    <x v="4"/>
    <x v="0"/>
    <x v="2"/>
    <x v="2"/>
    <n v="627.29999999999995"/>
    <n v="41539"/>
    <n v="982.8"/>
    <n v="79.7"/>
    <n v="1.5101470906858613E-2"/>
  </r>
  <r>
    <s v="F102"/>
    <x v="1"/>
    <x v="2"/>
    <x v="2"/>
    <x v="2"/>
    <n v="4443.8500000000004"/>
    <n v="82377"/>
    <n v="7974.74"/>
    <n v="9.17"/>
    <n v="5.3945275987229452E-2"/>
  </r>
  <r>
    <s v="F075"/>
    <x v="3"/>
    <x v="0"/>
    <x v="1"/>
    <x v="1"/>
    <n v="2192.52"/>
    <n v="60513"/>
    <n v="4578.16"/>
    <n v="65.53"/>
    <n v="3.6232214565465271E-2"/>
  </r>
  <r>
    <s v="F194"/>
    <x v="3"/>
    <x v="3"/>
    <x v="0"/>
    <x v="1"/>
    <n v="1166.7681070000001"/>
    <n v="42382"/>
    <n v="5116.6899999999996"/>
    <n v="80.42"/>
    <n v="2.7529802911613423E-2"/>
  </r>
  <r>
    <s v="F151"/>
    <x v="2"/>
    <x v="0"/>
    <x v="0"/>
    <x v="0"/>
    <n v="3803.9616740000001"/>
    <n v="81057"/>
    <n v="675.41"/>
    <n v="55.44"/>
    <n v="4.6929465363879742E-2"/>
  </r>
  <r>
    <s v="F121"/>
    <x v="3"/>
    <x v="0"/>
    <x v="1"/>
    <x v="2"/>
    <n v="4902.53"/>
    <n v="11952"/>
    <n v="4637.74"/>
    <n v="63.78"/>
    <n v="0.41018490629183396"/>
  </r>
  <r>
    <s v="F147"/>
    <x v="1"/>
    <x v="2"/>
    <x v="2"/>
    <x v="2"/>
    <n v="1144.49"/>
    <n v="13333"/>
    <n v="6102.15"/>
    <n v="17.670000000000002"/>
    <n v="8.5838895972399312E-2"/>
  </r>
  <r>
    <s v="F190"/>
    <x v="0"/>
    <x v="1"/>
    <x v="0"/>
    <x v="1"/>
    <n v="4243.1099999999997"/>
    <n v="70582"/>
    <n v="7517.59"/>
    <n v="95.71"/>
    <n v="6.0116035249780396E-2"/>
  </r>
  <r>
    <s v="F023"/>
    <x v="1"/>
    <x v="0"/>
    <x v="2"/>
    <x v="2"/>
    <n v="2303.31"/>
    <n v="47484"/>
    <n v="3396.39"/>
    <n v="19.510000000000002"/>
    <n v="4.8507076067728076E-2"/>
  </r>
  <r>
    <s v="F027"/>
    <x v="4"/>
    <x v="2"/>
    <x v="1"/>
    <x v="0"/>
    <n v="3192.9"/>
    <n v="51800"/>
    <n v="3042.95"/>
    <n v="71.87"/>
    <n v="6.1638996138996142E-2"/>
  </r>
  <r>
    <s v="F019"/>
    <x v="0"/>
    <x v="1"/>
    <x v="2"/>
    <x v="1"/>
    <n v="3601.52"/>
    <n v="68018"/>
    <n v="3523.4"/>
    <n v="92.26"/>
    <n v="5.2949513364109503E-2"/>
  </r>
  <r>
    <s v="F027"/>
    <x v="4"/>
    <x v="1"/>
    <x v="1"/>
    <x v="1"/>
    <n v="4964.3100000000004"/>
    <n v="51800"/>
    <n v="3042.95"/>
    <n v="71.87"/>
    <n v="9.5836100386100395E-2"/>
  </r>
  <r>
    <s v="F093"/>
    <x v="2"/>
    <x v="2"/>
    <x v="1"/>
    <x v="1"/>
    <n v="2143.7399999999998"/>
    <n v="15553"/>
    <n v="3909.51"/>
    <n v="46.44"/>
    <n v="0.13783450138236994"/>
  </r>
  <r>
    <s v="F113"/>
    <x v="3"/>
    <x v="1"/>
    <x v="1"/>
    <x v="1"/>
    <n v="563.55999999999995"/>
    <n v="69636"/>
    <n v="4246.55"/>
    <n v="69.290000000000006"/>
    <n v="8.0929404331093104E-3"/>
  </r>
  <r>
    <s v="F027"/>
    <x v="4"/>
    <x v="1"/>
    <x v="0"/>
    <x v="1"/>
    <n v="1541.8649820000001"/>
    <n v="51800"/>
    <n v="3042.95"/>
    <n v="71.87"/>
    <n v="2.9765733243243244E-2"/>
  </r>
  <r>
    <s v="F091"/>
    <x v="4"/>
    <x v="2"/>
    <x v="1"/>
    <x v="0"/>
    <n v="2191.88"/>
    <n v="43490"/>
    <n v="9300.8799999999992"/>
    <n v="58.43"/>
    <n v="5.039963209933318E-2"/>
  </r>
  <r>
    <s v="F030"/>
    <x v="0"/>
    <x v="3"/>
    <x v="2"/>
    <x v="1"/>
    <n v="4804.76"/>
    <n v="49924"/>
    <n v="2199.16"/>
    <n v="75.48"/>
    <n v="9.6241487060331712E-2"/>
  </r>
  <r>
    <s v="F189"/>
    <x v="0"/>
    <x v="1"/>
    <x v="1"/>
    <x v="0"/>
    <n v="4966.99"/>
    <n v="67820"/>
    <n v="8177.95"/>
    <n v="40.69"/>
    <n v="7.3237835446770858E-2"/>
  </r>
  <r>
    <s v="F127"/>
    <x v="3"/>
    <x v="0"/>
    <x v="2"/>
    <x v="1"/>
    <n v="2346.08"/>
    <n v="77400"/>
    <n v="7504.8"/>
    <n v="68.819999999999993"/>
    <n v="3.0311111111111112E-2"/>
  </r>
  <r>
    <s v="F156"/>
    <x v="2"/>
    <x v="3"/>
    <x v="2"/>
    <x v="1"/>
    <n v="278.14"/>
    <n v="88308"/>
    <n v="7802.07"/>
    <n v="36.130000000000003"/>
    <n v="3.149658015128867E-3"/>
  </r>
  <r>
    <s v="F124"/>
    <x v="3"/>
    <x v="3"/>
    <x v="2"/>
    <x v="0"/>
    <n v="3551.91"/>
    <n v="37309"/>
    <n v="4508.54"/>
    <n v="47.15"/>
    <n v="9.5202498056769141E-2"/>
  </r>
  <r>
    <s v="F015"/>
    <x v="4"/>
    <x v="3"/>
    <x v="2"/>
    <x v="0"/>
    <n v="3834.95"/>
    <n v="80488"/>
    <n v="7629.95"/>
    <n v="63.83"/>
    <n v="4.7646232978829139E-2"/>
  </r>
  <r>
    <s v="F023"/>
    <x v="1"/>
    <x v="1"/>
    <x v="1"/>
    <x v="0"/>
    <n v="4076.77"/>
    <n v="47484"/>
    <n v="3396.39"/>
    <n v="19.510000000000002"/>
    <n v="8.5855656642237391E-2"/>
  </r>
  <r>
    <s v="F108"/>
    <x v="3"/>
    <x v="1"/>
    <x v="1"/>
    <x v="1"/>
    <n v="1402.07"/>
    <n v="39050"/>
    <n v="5885.73"/>
    <n v="93.04"/>
    <n v="3.5904481434058895E-2"/>
  </r>
  <r>
    <s v="F071"/>
    <x v="4"/>
    <x v="0"/>
    <x v="1"/>
    <x v="1"/>
    <n v="2817.03"/>
    <n v="26378"/>
    <n v="2915.44"/>
    <n v="29.84"/>
    <n v="0.10679467738266739"/>
  </r>
  <r>
    <s v="F048"/>
    <x v="0"/>
    <x v="3"/>
    <x v="1"/>
    <x v="2"/>
    <n v="4610.1499999999996"/>
    <n v="26338"/>
    <n v="578.73"/>
    <n v="72.52"/>
    <n v="0.17503796795504592"/>
  </r>
  <r>
    <s v="F136"/>
    <x v="1"/>
    <x v="2"/>
    <x v="0"/>
    <x v="2"/>
    <n v="1197.675115"/>
    <n v="43346"/>
    <n v="5559.12"/>
    <n v="39.4"/>
    <n v="2.7630579868961381E-2"/>
  </r>
  <r>
    <s v="F126"/>
    <x v="2"/>
    <x v="2"/>
    <x v="1"/>
    <x v="2"/>
    <n v="2154.8200000000002"/>
    <n v="75508"/>
    <n v="6856.22"/>
    <n v="18.2"/>
    <n v="2.8537638395931559E-2"/>
  </r>
  <r>
    <s v="F019"/>
    <x v="0"/>
    <x v="2"/>
    <x v="2"/>
    <x v="1"/>
    <n v="1398.72"/>
    <n v="68018"/>
    <n v="3523.4"/>
    <n v="92.26"/>
    <n v="2.0563968361316121E-2"/>
  </r>
  <r>
    <s v="F106"/>
    <x v="3"/>
    <x v="2"/>
    <x v="1"/>
    <x v="1"/>
    <n v="2433.64"/>
    <n v="98682"/>
    <n v="6220.56"/>
    <n v="70.099999999999994"/>
    <n v="2.4661437749538922E-2"/>
  </r>
  <r>
    <s v="F175"/>
    <x v="3"/>
    <x v="2"/>
    <x v="1"/>
    <x v="0"/>
    <n v="1785.88"/>
    <n v="94949"/>
    <n v="9714.76"/>
    <n v="64.900000000000006"/>
    <n v="1.8808834216263469E-2"/>
  </r>
  <r>
    <s v="F056"/>
    <x v="4"/>
    <x v="0"/>
    <x v="0"/>
    <x v="0"/>
    <n v="4694.8763879999997"/>
    <n v="99026"/>
    <n v="5453.2"/>
    <n v="57.49"/>
    <n v="4.7410542564578995E-2"/>
  </r>
  <r>
    <s v="F019"/>
    <x v="0"/>
    <x v="0"/>
    <x v="1"/>
    <x v="0"/>
    <n v="3069.11"/>
    <n v="68018"/>
    <n v="3523.4"/>
    <n v="92.26"/>
    <n v="4.5122026522391133E-2"/>
  </r>
  <r>
    <s v="F029"/>
    <x v="4"/>
    <x v="1"/>
    <x v="1"/>
    <x v="1"/>
    <n v="2819.92"/>
    <n v="12262"/>
    <n v="7106.18"/>
    <n v="45.69"/>
    <n v="0.22997227206002285"/>
  </r>
  <r>
    <s v="F027"/>
    <x v="4"/>
    <x v="1"/>
    <x v="2"/>
    <x v="2"/>
    <n v="1772.23"/>
    <n v="51800"/>
    <n v="3042.95"/>
    <n v="71.87"/>
    <n v="3.4212934362934364E-2"/>
  </r>
  <r>
    <s v="F182"/>
    <x v="3"/>
    <x v="0"/>
    <x v="1"/>
    <x v="2"/>
    <n v="2502.25"/>
    <n v="41027"/>
    <n v="7285.85"/>
    <n v="59.87"/>
    <n v="6.0990323445535864E-2"/>
  </r>
  <r>
    <s v="F162"/>
    <x v="3"/>
    <x v="0"/>
    <x v="0"/>
    <x v="1"/>
    <n v="3851.934953"/>
    <n v="18175"/>
    <n v="8349.49"/>
    <n v="39.97"/>
    <n v="0.21193589837689134"/>
  </r>
  <r>
    <s v="F085"/>
    <x v="4"/>
    <x v="1"/>
    <x v="2"/>
    <x v="2"/>
    <n v="3031.48"/>
    <n v="29264"/>
    <n v="8362.7199999999993"/>
    <n v="61.93"/>
    <n v="0.10359075997813012"/>
  </r>
  <r>
    <s v="F191"/>
    <x v="0"/>
    <x v="2"/>
    <x v="0"/>
    <x v="2"/>
    <n v="601.62"/>
    <n v="86557"/>
    <n v="8631.2800000000007"/>
    <n v="69.53"/>
    <n v="6.9505643679887239E-3"/>
  </r>
  <r>
    <s v="F086"/>
    <x v="4"/>
    <x v="0"/>
    <x v="2"/>
    <x v="2"/>
    <n v="2060.17"/>
    <n v="55974"/>
    <n v="7542.28"/>
    <n v="72.430000000000007"/>
    <n v="3.6805838424983028E-2"/>
  </r>
  <r>
    <s v="F127"/>
    <x v="3"/>
    <x v="1"/>
    <x v="2"/>
    <x v="0"/>
    <n v="2452.0300000000002"/>
    <n v="77400"/>
    <n v="7504.8"/>
    <n v="68.819999999999993"/>
    <n v="3.1679974160206723E-2"/>
  </r>
  <r>
    <s v="F012"/>
    <x v="3"/>
    <x v="0"/>
    <x v="2"/>
    <x v="0"/>
    <n v="1782.21"/>
    <n v="43747"/>
    <n v="3453.48"/>
    <n v="98.78"/>
    <n v="4.0739022104372871E-2"/>
  </r>
  <r>
    <s v="F028"/>
    <x v="4"/>
    <x v="2"/>
    <x v="0"/>
    <x v="1"/>
    <n v="103.31"/>
    <n v="73977"/>
    <n v="1646.75"/>
    <n v="43.77"/>
    <n v="1.3965151330819039E-3"/>
  </r>
  <r>
    <s v="F170"/>
    <x v="2"/>
    <x v="1"/>
    <x v="1"/>
    <x v="1"/>
    <n v="3568.05"/>
    <n v="24502"/>
    <n v="7466.86"/>
    <n v="88.83"/>
    <n v="0.14562280630152641"/>
  </r>
  <r>
    <s v="F190"/>
    <x v="0"/>
    <x v="2"/>
    <x v="0"/>
    <x v="1"/>
    <n v="2290.64"/>
    <n v="70582"/>
    <n v="7517.59"/>
    <n v="95.71"/>
    <n v="3.2453600068006003E-2"/>
  </r>
  <r>
    <s v="F046"/>
    <x v="4"/>
    <x v="2"/>
    <x v="1"/>
    <x v="2"/>
    <n v="4937.24"/>
    <n v="87337"/>
    <n v="3603.06"/>
    <n v="67.13"/>
    <n v="5.6530909007637083E-2"/>
  </r>
  <r>
    <s v="F171"/>
    <x v="4"/>
    <x v="2"/>
    <x v="0"/>
    <x v="1"/>
    <n v="1728.8069439999999"/>
    <n v="98356"/>
    <n v="6968.69"/>
    <n v="81.72"/>
    <n v="1.7577035910366422E-2"/>
  </r>
  <r>
    <s v="F141"/>
    <x v="1"/>
    <x v="1"/>
    <x v="1"/>
    <x v="0"/>
    <n v="372.7"/>
    <n v="58622"/>
    <n v="7795.36"/>
    <n v="59.81"/>
    <n v="6.357681416533042E-3"/>
  </r>
  <r>
    <s v="F126"/>
    <x v="2"/>
    <x v="0"/>
    <x v="1"/>
    <x v="2"/>
    <n v="3677.7"/>
    <n v="75508"/>
    <n v="6856.22"/>
    <n v="18.2"/>
    <n v="4.8706097367166391E-2"/>
  </r>
  <r>
    <s v="F090"/>
    <x v="2"/>
    <x v="3"/>
    <x v="2"/>
    <x v="0"/>
    <n v="2576.7800000000002"/>
    <n v="29895"/>
    <n v="1631.08"/>
    <n v="39.93"/>
    <n v="8.6194346880749298E-2"/>
  </r>
  <r>
    <s v="F124"/>
    <x v="3"/>
    <x v="0"/>
    <x v="2"/>
    <x v="0"/>
    <n v="2972.77"/>
    <n v="37309"/>
    <n v="4508.54"/>
    <n v="47.15"/>
    <n v="7.9679701948591489E-2"/>
  </r>
  <r>
    <s v="F193"/>
    <x v="1"/>
    <x v="2"/>
    <x v="2"/>
    <x v="2"/>
    <n v="3995.86"/>
    <n v="15333"/>
    <n v="2570.54"/>
    <n v="41.07"/>
    <n v="0.26060523054849022"/>
  </r>
  <r>
    <s v="F196"/>
    <x v="4"/>
    <x v="1"/>
    <x v="1"/>
    <x v="1"/>
    <n v="2798.95"/>
    <n v="85444"/>
    <n v="852.57"/>
    <n v="72.650000000000006"/>
    <n v="3.2757712653901969E-2"/>
  </r>
  <r>
    <s v="F057"/>
    <x v="1"/>
    <x v="0"/>
    <x v="2"/>
    <x v="1"/>
    <n v="204.44"/>
    <n v="40226"/>
    <n v="7868.86"/>
    <n v="80.53"/>
    <n v="5.0822850892457616E-3"/>
  </r>
  <r>
    <s v="F138"/>
    <x v="0"/>
    <x v="0"/>
    <x v="1"/>
    <x v="1"/>
    <n v="2646.82"/>
    <n v="94393"/>
    <n v="6691.7"/>
    <n v="74.790000000000006"/>
    <n v="2.8040426726558116E-2"/>
  </r>
  <r>
    <s v="F198"/>
    <x v="3"/>
    <x v="1"/>
    <x v="1"/>
    <x v="1"/>
    <n v="2960.39"/>
    <n v="40577"/>
    <n v="4280.82"/>
    <n v="79.88"/>
    <n v="7.2957340365231535E-2"/>
  </r>
  <r>
    <s v="F191"/>
    <x v="0"/>
    <x v="1"/>
    <x v="1"/>
    <x v="2"/>
    <n v="1696.88"/>
    <n v="86557"/>
    <n v="8631.2800000000007"/>
    <n v="69.53"/>
    <n v="1.9604191457652183E-2"/>
  </r>
  <r>
    <s v="F165"/>
    <x v="4"/>
    <x v="1"/>
    <x v="0"/>
    <x v="2"/>
    <n v="622.99567999999999"/>
    <n v="79330"/>
    <n v="6075.23"/>
    <n v="83.97"/>
    <n v="7.8532166897768811E-3"/>
  </r>
  <r>
    <s v="F143"/>
    <x v="1"/>
    <x v="2"/>
    <x v="1"/>
    <x v="2"/>
    <n v="1684.41"/>
    <n v="29406"/>
    <n v="5281.69"/>
    <n v="27.01"/>
    <n v="5.728116710875332E-2"/>
  </r>
  <r>
    <s v="F097"/>
    <x v="1"/>
    <x v="3"/>
    <x v="1"/>
    <x v="2"/>
    <n v="3307.16"/>
    <n v="69100"/>
    <n v="9356.02"/>
    <n v="16.5"/>
    <n v="4.786049204052098E-2"/>
  </r>
  <r>
    <s v="F120"/>
    <x v="4"/>
    <x v="3"/>
    <x v="0"/>
    <x v="0"/>
    <n v="2731.1669729999999"/>
    <n v="57215"/>
    <n v="3227.1"/>
    <n v="32.909999999999997"/>
    <n v="4.77351563925544E-2"/>
  </r>
  <r>
    <s v="F025"/>
    <x v="4"/>
    <x v="1"/>
    <x v="2"/>
    <x v="2"/>
    <n v="2861.41"/>
    <n v="32131"/>
    <n v="1474.23"/>
    <n v="45.47"/>
    <n v="8.905449565839843E-2"/>
  </r>
  <r>
    <s v="F199"/>
    <x v="0"/>
    <x v="3"/>
    <x v="1"/>
    <x v="1"/>
    <n v="2409.39"/>
    <n v="89321"/>
    <n v="9836.34"/>
    <n v="16.989999999999998"/>
    <n v="2.6974507674567008E-2"/>
  </r>
  <r>
    <s v="F053"/>
    <x v="0"/>
    <x v="1"/>
    <x v="2"/>
    <x v="2"/>
    <n v="1958.41"/>
    <n v="56392"/>
    <n v="5703.76"/>
    <n v="23.04"/>
    <n v="3.4728507589729042E-2"/>
  </r>
  <r>
    <s v="F193"/>
    <x v="1"/>
    <x v="0"/>
    <x v="2"/>
    <x v="0"/>
    <n v="2816.97"/>
    <n v="15333"/>
    <n v="2570.54"/>
    <n v="41.07"/>
    <n v="0.18371942868323224"/>
  </r>
  <r>
    <s v="F113"/>
    <x v="3"/>
    <x v="0"/>
    <x v="1"/>
    <x v="2"/>
    <n v="4263.92"/>
    <n v="69636"/>
    <n v="4246.55"/>
    <n v="69.290000000000006"/>
    <n v="6.1231546901028208E-2"/>
  </r>
  <r>
    <s v="F177"/>
    <x v="3"/>
    <x v="3"/>
    <x v="1"/>
    <x v="2"/>
    <n v="1867.58"/>
    <n v="87482"/>
    <n v="2231.7399999999998"/>
    <n v="45.43"/>
    <n v="2.134816305068471E-2"/>
  </r>
  <r>
    <s v="F042"/>
    <x v="1"/>
    <x v="2"/>
    <x v="0"/>
    <x v="0"/>
    <n v="3447.6118419999998"/>
    <n v="58111"/>
    <n v="4610.8999999999996"/>
    <n v="21.53"/>
    <n v="5.9328041885357327E-2"/>
  </r>
  <r>
    <s v="F084"/>
    <x v="3"/>
    <x v="3"/>
    <x v="0"/>
    <x v="1"/>
    <n v="4785.5801659999997"/>
    <n v="54136"/>
    <n v="2775.38"/>
    <n v="75.459999999999994"/>
    <n v="8.8399219853701777E-2"/>
  </r>
  <r>
    <s v="F097"/>
    <x v="1"/>
    <x v="2"/>
    <x v="1"/>
    <x v="1"/>
    <n v="3739.05"/>
    <n v="69100"/>
    <n v="9356.02"/>
    <n v="16.5"/>
    <n v="5.411070911722142E-2"/>
  </r>
  <r>
    <s v="F153"/>
    <x v="3"/>
    <x v="3"/>
    <x v="1"/>
    <x v="0"/>
    <n v="4330.71"/>
    <n v="95306"/>
    <n v="9037.76"/>
    <n v="13.35"/>
    <n v="4.5440056239900953E-2"/>
  </r>
  <r>
    <s v="F151"/>
    <x v="2"/>
    <x v="1"/>
    <x v="0"/>
    <x v="2"/>
    <n v="1947.4241589999999"/>
    <n v="81057"/>
    <n v="675.41"/>
    <n v="55.44"/>
    <n v="2.4025366828281332E-2"/>
  </r>
  <r>
    <s v="F015"/>
    <x v="4"/>
    <x v="2"/>
    <x v="1"/>
    <x v="2"/>
    <n v="2840.62"/>
    <n v="80488"/>
    <n v="7629.95"/>
    <n v="63.83"/>
    <n v="3.5292465957658281E-2"/>
  </r>
  <r>
    <s v="F199"/>
    <x v="0"/>
    <x v="0"/>
    <x v="2"/>
    <x v="2"/>
    <n v="2415.5100000000002"/>
    <n v="89321"/>
    <n v="9836.34"/>
    <n v="16.989999999999998"/>
    <n v="2.7043024596679396E-2"/>
  </r>
  <r>
    <s v="F156"/>
    <x v="2"/>
    <x v="3"/>
    <x v="0"/>
    <x v="0"/>
    <n v="5161.459492"/>
    <n v="88308"/>
    <n v="7802.07"/>
    <n v="36.130000000000003"/>
    <n v="5.8448379444670927E-2"/>
  </r>
  <r>
    <s v="F009"/>
    <x v="0"/>
    <x v="2"/>
    <x v="1"/>
    <x v="2"/>
    <n v="2359.52"/>
    <n v="45644"/>
    <n v="7724.73"/>
    <n v="31"/>
    <n v="5.1693979493471209E-2"/>
  </r>
  <r>
    <s v="F011"/>
    <x v="4"/>
    <x v="3"/>
    <x v="1"/>
    <x v="1"/>
    <n v="4799.96"/>
    <n v="72846"/>
    <n v="5169.53"/>
    <n v="76.709999999999994"/>
    <n v="6.5891881503445632E-2"/>
  </r>
  <r>
    <s v="F156"/>
    <x v="2"/>
    <x v="3"/>
    <x v="2"/>
    <x v="0"/>
    <n v="152.66999999999999"/>
    <n v="88308"/>
    <n v="7802.07"/>
    <n v="36.130000000000003"/>
    <n v="1.7288354395977713E-3"/>
  </r>
  <r>
    <s v="F187"/>
    <x v="2"/>
    <x v="1"/>
    <x v="0"/>
    <x v="2"/>
    <n v="2461.8885409999998"/>
    <n v="77317"/>
    <n v="4862.95"/>
    <n v="89.78"/>
    <n v="3.1841490758824059E-2"/>
  </r>
  <r>
    <s v="F007"/>
    <x v="4"/>
    <x v="2"/>
    <x v="1"/>
    <x v="1"/>
    <n v="3223.43"/>
    <n v="35506"/>
    <n v="1892.04"/>
    <n v="61.53"/>
    <n v="9.0785501042077388E-2"/>
  </r>
  <r>
    <s v="F026"/>
    <x v="2"/>
    <x v="3"/>
    <x v="2"/>
    <x v="1"/>
    <n v="3987.54"/>
    <n v="32246"/>
    <n v="7903.93"/>
    <n v="42.12"/>
    <n v="0.1236599888358246"/>
  </r>
  <r>
    <s v="F137"/>
    <x v="0"/>
    <x v="2"/>
    <x v="1"/>
    <x v="2"/>
    <n v="2592.73"/>
    <n v="10933"/>
    <n v="9004.3700000000008"/>
    <n v="26.84"/>
    <n v="0.23714716912100978"/>
  </r>
  <r>
    <s v="F121"/>
    <x v="3"/>
    <x v="0"/>
    <x v="2"/>
    <x v="0"/>
    <n v="3770.78"/>
    <n v="11952"/>
    <n v="4637.74"/>
    <n v="63.78"/>
    <n v="0.31549364123159307"/>
  </r>
  <r>
    <s v="F042"/>
    <x v="1"/>
    <x v="3"/>
    <x v="1"/>
    <x v="0"/>
    <n v="348.87"/>
    <n v="58111"/>
    <n v="4610.8999999999996"/>
    <n v="21.53"/>
    <n v="6.0035105229646708E-3"/>
  </r>
  <r>
    <s v="F003"/>
    <x v="3"/>
    <x v="1"/>
    <x v="1"/>
    <x v="1"/>
    <n v="2278.9499999999998"/>
    <n v="27681"/>
    <n v="928.26"/>
    <n v="44.97"/>
    <n v="8.2329034355695233E-2"/>
  </r>
  <r>
    <s v="F063"/>
    <x v="4"/>
    <x v="0"/>
    <x v="2"/>
    <x v="0"/>
    <n v="2550.35"/>
    <n v="45519"/>
    <n v="7987.69"/>
    <n v="10.86"/>
    <n v="5.6028251938750849E-2"/>
  </r>
  <r>
    <s v="F018"/>
    <x v="4"/>
    <x v="2"/>
    <x v="1"/>
    <x v="1"/>
    <n v="2694.43"/>
    <n v="69305"/>
    <n v="3203.67"/>
    <n v="83.65"/>
    <n v="3.8877858740350622E-2"/>
  </r>
  <r>
    <s v="F085"/>
    <x v="4"/>
    <x v="1"/>
    <x v="2"/>
    <x v="0"/>
    <n v="3868.63"/>
    <n v="29264"/>
    <n v="8362.7199999999993"/>
    <n v="61.93"/>
    <n v="0.13219758064516129"/>
  </r>
  <r>
    <s v="F181"/>
    <x v="3"/>
    <x v="0"/>
    <x v="0"/>
    <x v="0"/>
    <n v="297.68827140000002"/>
    <n v="42485"/>
    <n v="4755.75"/>
    <n v="10.19"/>
    <n v="7.0069029398611279E-3"/>
  </r>
  <r>
    <s v="F015"/>
    <x v="4"/>
    <x v="0"/>
    <x v="2"/>
    <x v="2"/>
    <n v="579.69000000000005"/>
    <n v="80488"/>
    <n v="7629.95"/>
    <n v="63.83"/>
    <n v="7.2021916310505921E-3"/>
  </r>
  <r>
    <s v="F051"/>
    <x v="4"/>
    <x v="0"/>
    <x v="2"/>
    <x v="0"/>
    <n v="1933.86"/>
    <n v="56752"/>
    <n v="4177.68"/>
    <n v="10.96"/>
    <n v="3.4075627290668167E-2"/>
  </r>
  <r>
    <s v="F136"/>
    <x v="1"/>
    <x v="1"/>
    <x v="2"/>
    <x v="1"/>
    <n v="2753.65"/>
    <n v="43346"/>
    <n v="5559.12"/>
    <n v="39.4"/>
    <n v="6.3527199741613985E-2"/>
  </r>
  <r>
    <s v="F174"/>
    <x v="3"/>
    <x v="1"/>
    <x v="1"/>
    <x v="1"/>
    <n v="1643.04"/>
    <n v="95962"/>
    <n v="524.72"/>
    <n v="49.55"/>
    <n v="1.7121777370209042E-2"/>
  </r>
  <r>
    <s v="F041"/>
    <x v="1"/>
    <x v="1"/>
    <x v="1"/>
    <x v="1"/>
    <n v="4614.76"/>
    <n v="84721"/>
    <n v="2278.9699999999998"/>
    <n v="68.53"/>
    <n v="5.4470084158591142E-2"/>
  </r>
  <r>
    <s v="F066"/>
    <x v="4"/>
    <x v="2"/>
    <x v="2"/>
    <x v="0"/>
    <n v="1222.43"/>
    <n v="13543"/>
    <n v="7854.96"/>
    <n v="85.57"/>
    <n v="9.0262866425459651E-2"/>
  </r>
  <r>
    <s v="F141"/>
    <x v="1"/>
    <x v="0"/>
    <x v="0"/>
    <x v="2"/>
    <n v="2583.2195620000002"/>
    <n v="58622"/>
    <n v="7795.36"/>
    <n v="59.81"/>
    <n v="4.4065701647845526E-2"/>
  </r>
  <r>
    <s v="F042"/>
    <x v="1"/>
    <x v="0"/>
    <x v="2"/>
    <x v="1"/>
    <n v="1562.45"/>
    <n v="58111"/>
    <n v="4610.8999999999996"/>
    <n v="21.53"/>
    <n v="2.6887336304658328E-2"/>
  </r>
  <r>
    <s v="F106"/>
    <x v="3"/>
    <x v="3"/>
    <x v="0"/>
    <x v="2"/>
    <n v="3844.335282"/>
    <n v="98682"/>
    <n v="6220.56"/>
    <n v="70.099999999999994"/>
    <n v="3.8956803489998179E-2"/>
  </r>
  <r>
    <s v="F073"/>
    <x v="3"/>
    <x v="2"/>
    <x v="0"/>
    <x v="0"/>
    <n v="695.19"/>
    <n v="26170"/>
    <n v="8057.54"/>
    <n v="63.71"/>
    <n v="2.6564386702330915E-2"/>
  </r>
  <r>
    <s v="F165"/>
    <x v="4"/>
    <x v="3"/>
    <x v="2"/>
    <x v="1"/>
    <n v="4607.08"/>
    <n v="79330"/>
    <n v="6075.23"/>
    <n v="83.97"/>
    <n v="5.807487709567629E-2"/>
  </r>
  <r>
    <s v="F197"/>
    <x v="2"/>
    <x v="1"/>
    <x v="0"/>
    <x v="0"/>
    <n v="2391.3231030000002"/>
    <n v="59617"/>
    <n v="5000.95"/>
    <n v="80.36"/>
    <n v="4.0111429676099104E-2"/>
  </r>
  <r>
    <s v="F110"/>
    <x v="4"/>
    <x v="1"/>
    <x v="1"/>
    <x v="1"/>
    <n v="4313.43"/>
    <n v="85868"/>
    <n v="907.72"/>
    <n v="90.36"/>
    <n v="5.023326501141287E-2"/>
  </r>
  <r>
    <s v="F018"/>
    <x v="4"/>
    <x v="1"/>
    <x v="1"/>
    <x v="0"/>
    <n v="1094.0999999999999"/>
    <n v="69305"/>
    <n v="3203.67"/>
    <n v="83.65"/>
    <n v="1.5786739773465116E-2"/>
  </r>
  <r>
    <s v="F067"/>
    <x v="1"/>
    <x v="1"/>
    <x v="0"/>
    <x v="0"/>
    <n v="5193.7170610000003"/>
    <n v="28400"/>
    <n v="3056.67"/>
    <n v="52.68"/>
    <n v="0.1828773613028169"/>
  </r>
  <r>
    <s v="F066"/>
    <x v="4"/>
    <x v="1"/>
    <x v="2"/>
    <x v="2"/>
    <n v="3352.59"/>
    <n v="13543"/>
    <n v="7854.96"/>
    <n v="85.57"/>
    <n v="0.24755150262128037"/>
  </r>
  <r>
    <s v="F028"/>
    <x v="4"/>
    <x v="2"/>
    <x v="0"/>
    <x v="0"/>
    <n v="3888.52"/>
    <n v="73977"/>
    <n v="1646.75"/>
    <n v="43.77"/>
    <n v="5.2563904997499224E-2"/>
  </r>
  <r>
    <s v="F184"/>
    <x v="0"/>
    <x v="2"/>
    <x v="2"/>
    <x v="1"/>
    <n v="3140.95"/>
    <n v="22201"/>
    <n v="2853.66"/>
    <n v="71.94"/>
    <n v="0.14147786135759649"/>
  </r>
  <r>
    <s v="F182"/>
    <x v="3"/>
    <x v="1"/>
    <x v="0"/>
    <x v="2"/>
    <n v="1260.773817"/>
    <n v="41027"/>
    <n v="7285.85"/>
    <n v="59.87"/>
    <n v="3.0730343846735078E-2"/>
  </r>
  <r>
    <s v="F151"/>
    <x v="2"/>
    <x v="2"/>
    <x v="1"/>
    <x v="2"/>
    <n v="416.29"/>
    <n v="81057"/>
    <n v="675.41"/>
    <n v="55.44"/>
    <n v="5.135768656624351E-3"/>
  </r>
  <r>
    <s v="F083"/>
    <x v="2"/>
    <x v="0"/>
    <x v="1"/>
    <x v="1"/>
    <n v="96.09"/>
    <n v="94704"/>
    <n v="6632.95"/>
    <n v="14.76"/>
    <n v="1.0146350734921441E-3"/>
  </r>
  <r>
    <s v="F125"/>
    <x v="1"/>
    <x v="2"/>
    <x v="2"/>
    <x v="1"/>
    <n v="1224.1099999999999"/>
    <n v="82332"/>
    <n v="7134.86"/>
    <n v="22.44"/>
    <n v="1.4867973570422192E-2"/>
  </r>
  <r>
    <s v="F017"/>
    <x v="2"/>
    <x v="3"/>
    <x v="1"/>
    <x v="1"/>
    <n v="3899.81"/>
    <n v="71747"/>
    <n v="9838.66"/>
    <n v="7.25"/>
    <n v="5.4355025297224968E-2"/>
  </r>
  <r>
    <s v="F199"/>
    <x v="0"/>
    <x v="1"/>
    <x v="2"/>
    <x v="1"/>
    <n v="1065.82"/>
    <n v="89321"/>
    <n v="9836.34"/>
    <n v="16.989999999999998"/>
    <n v="1.1932468288532372E-2"/>
  </r>
  <r>
    <s v="F154"/>
    <x v="0"/>
    <x v="3"/>
    <x v="2"/>
    <x v="1"/>
    <n v="4448.1899999999996"/>
    <n v="17097"/>
    <n v="9061.7800000000007"/>
    <n v="95.92"/>
    <n v="0.26017371468678713"/>
  </r>
  <r>
    <s v="F133"/>
    <x v="2"/>
    <x v="2"/>
    <x v="0"/>
    <x v="2"/>
    <n v="2211.0873019999999"/>
    <n v="41168"/>
    <n v="8226.77"/>
    <n v="42.55"/>
    <n v="5.3708883161678975E-2"/>
  </r>
  <r>
    <s v="F156"/>
    <x v="2"/>
    <x v="2"/>
    <x v="0"/>
    <x v="2"/>
    <n v="3199.4069009999998"/>
    <n v="88308"/>
    <n v="7802.07"/>
    <n v="36.130000000000003"/>
    <n v="3.6230091282782984E-2"/>
  </r>
  <r>
    <s v="F189"/>
    <x v="0"/>
    <x v="3"/>
    <x v="1"/>
    <x v="2"/>
    <n v="2263.6999999999998"/>
    <n v="67820"/>
    <n v="8177.95"/>
    <n v="40.69"/>
    <n v="3.3378059569448539E-2"/>
  </r>
  <r>
    <s v="F008"/>
    <x v="3"/>
    <x v="1"/>
    <x v="1"/>
    <x v="1"/>
    <n v="4326.03"/>
    <n v="50306"/>
    <n v="7031.37"/>
    <n v="13.27"/>
    <n v="8.5994314793463991E-2"/>
  </r>
  <r>
    <s v="F058"/>
    <x v="1"/>
    <x v="3"/>
    <x v="0"/>
    <x v="2"/>
    <n v="4352.7373250000001"/>
    <n v="66398"/>
    <n v="8713.61"/>
    <n v="83.44"/>
    <n v="6.5555247522515736E-2"/>
  </r>
  <r>
    <s v="F137"/>
    <x v="0"/>
    <x v="1"/>
    <x v="0"/>
    <x v="1"/>
    <n v="4294.79"/>
    <n v="10933"/>
    <n v="9004.3700000000008"/>
    <n v="26.84"/>
    <n v="0.39282813500411595"/>
  </r>
  <r>
    <s v="F183"/>
    <x v="3"/>
    <x v="2"/>
    <x v="1"/>
    <x v="1"/>
    <n v="2678.48"/>
    <n v="29860"/>
    <n v="3956.23"/>
    <n v="57.5"/>
    <n v="8.9701272605492294E-2"/>
  </r>
  <r>
    <s v="F086"/>
    <x v="4"/>
    <x v="0"/>
    <x v="1"/>
    <x v="1"/>
    <n v="2267.79"/>
    <n v="55974"/>
    <n v="7542.28"/>
    <n v="72.430000000000007"/>
    <n v="4.0515060563833208E-2"/>
  </r>
  <r>
    <s v="F071"/>
    <x v="4"/>
    <x v="0"/>
    <x v="1"/>
    <x v="2"/>
    <n v="2496.0100000000002"/>
    <n v="26378"/>
    <n v="2915.44"/>
    <n v="29.84"/>
    <n v="9.4624687239366151E-2"/>
  </r>
  <r>
    <s v="F107"/>
    <x v="2"/>
    <x v="1"/>
    <x v="1"/>
    <x v="1"/>
    <n v="4601.71"/>
    <n v="43512"/>
    <n v="5352.18"/>
    <n v="6.17"/>
    <n v="0.10575726236440522"/>
  </r>
  <r>
    <s v="F105"/>
    <x v="0"/>
    <x v="3"/>
    <x v="2"/>
    <x v="2"/>
    <n v="2739.77"/>
    <n v="27028"/>
    <n v="4617.92"/>
    <n v="57.62"/>
    <n v="0.10136784075773272"/>
  </r>
  <r>
    <s v="F127"/>
    <x v="3"/>
    <x v="2"/>
    <x v="0"/>
    <x v="0"/>
    <n v="1410.4"/>
    <n v="77400"/>
    <n v="7504.8"/>
    <n v="68.819999999999993"/>
    <n v="1.8222222222222223E-2"/>
  </r>
  <r>
    <s v="F170"/>
    <x v="2"/>
    <x v="0"/>
    <x v="0"/>
    <x v="2"/>
    <n v="2563.0937389999999"/>
    <n v="24502"/>
    <n v="7466.86"/>
    <n v="88.83"/>
    <n v="0.10460753158925802"/>
  </r>
  <r>
    <s v="F094"/>
    <x v="3"/>
    <x v="2"/>
    <x v="1"/>
    <x v="2"/>
    <n v="886.98"/>
    <n v="40553"/>
    <n v="4875.2299999999996"/>
    <n v="23.33"/>
    <n v="2.1872117969077506E-2"/>
  </r>
  <r>
    <s v="F086"/>
    <x v="4"/>
    <x v="2"/>
    <x v="1"/>
    <x v="1"/>
    <n v="4317.26"/>
    <n v="55974"/>
    <n v="7542.28"/>
    <n v="72.430000000000007"/>
    <n v="7.7129738807303394E-2"/>
  </r>
  <r>
    <s v="F181"/>
    <x v="3"/>
    <x v="1"/>
    <x v="2"/>
    <x v="1"/>
    <n v="1597.82"/>
    <n v="42485"/>
    <n v="4755.75"/>
    <n v="10.19"/>
    <n v="3.7609038484170881E-2"/>
  </r>
  <r>
    <s v="F195"/>
    <x v="1"/>
    <x v="0"/>
    <x v="1"/>
    <x v="0"/>
    <n v="3825.5"/>
    <n v="87012"/>
    <n v="7478.13"/>
    <n v="27.22"/>
    <n v="4.3965200202270953E-2"/>
  </r>
  <r>
    <s v="F067"/>
    <x v="1"/>
    <x v="0"/>
    <x v="0"/>
    <x v="0"/>
    <n v="3766.3401309999999"/>
    <n v="28400"/>
    <n v="3056.67"/>
    <n v="52.68"/>
    <n v="0.13261761024647886"/>
  </r>
  <r>
    <s v="F087"/>
    <x v="4"/>
    <x v="1"/>
    <x v="0"/>
    <x v="1"/>
    <n v="4885.6576480000003"/>
    <n v="44164"/>
    <n v="3869.32"/>
    <n v="13.81"/>
    <n v="0.110625342994294"/>
  </r>
  <r>
    <s v="F139"/>
    <x v="0"/>
    <x v="2"/>
    <x v="0"/>
    <x v="2"/>
    <n v="2013.053784"/>
    <n v="80904"/>
    <n v="3263.09"/>
    <n v="58.37"/>
    <n v="2.4882005636309698E-2"/>
  </r>
  <r>
    <s v="F161"/>
    <x v="2"/>
    <x v="3"/>
    <x v="0"/>
    <x v="2"/>
    <n v="2140.4226189999999"/>
    <n v="36171"/>
    <n v="6864.38"/>
    <n v="37.03"/>
    <n v="5.9175102126012548E-2"/>
  </r>
  <r>
    <s v="F200"/>
    <x v="1"/>
    <x v="1"/>
    <x v="2"/>
    <x v="0"/>
    <n v="707.7"/>
    <n v="21081"/>
    <n v="9001.77"/>
    <n v="49.27"/>
    <n v="3.3570513732745125E-2"/>
  </r>
  <r>
    <s v="F182"/>
    <x v="3"/>
    <x v="2"/>
    <x v="2"/>
    <x v="2"/>
    <n v="1703.95"/>
    <n v="41027"/>
    <n v="7285.85"/>
    <n v="59.87"/>
    <n v="4.1532405489068176E-2"/>
  </r>
  <r>
    <s v="F187"/>
    <x v="2"/>
    <x v="0"/>
    <x v="2"/>
    <x v="0"/>
    <n v="3023.57"/>
    <n v="77317"/>
    <n v="4862.95"/>
    <n v="89.78"/>
    <n v="3.9106147419066963E-2"/>
  </r>
  <r>
    <s v="F021"/>
    <x v="1"/>
    <x v="2"/>
    <x v="2"/>
    <x v="2"/>
    <n v="2101.7199999999998"/>
    <n v="44657"/>
    <n v="7867.98"/>
    <n v="96.01"/>
    <n v="4.7063618245739743E-2"/>
  </r>
  <r>
    <s v="F013"/>
    <x v="2"/>
    <x v="3"/>
    <x v="1"/>
    <x v="1"/>
    <n v="72.97"/>
    <n v="72813"/>
    <n v="8818.16"/>
    <n v="54.12"/>
    <n v="1.0021562083693846E-3"/>
  </r>
  <r>
    <s v="F018"/>
    <x v="4"/>
    <x v="3"/>
    <x v="2"/>
    <x v="0"/>
    <n v="1271.98"/>
    <n v="69305"/>
    <n v="3203.67"/>
    <n v="83.65"/>
    <n v="1.8353365558040544E-2"/>
  </r>
  <r>
    <s v="F129"/>
    <x v="1"/>
    <x v="0"/>
    <x v="1"/>
    <x v="0"/>
    <n v="1645.13"/>
    <n v="58439"/>
    <n v="5817.93"/>
    <n v="63.77"/>
    <n v="2.8151234620715618E-2"/>
  </r>
  <r>
    <s v="F129"/>
    <x v="1"/>
    <x v="0"/>
    <x v="1"/>
    <x v="1"/>
    <n v="1271.48"/>
    <n v="58439"/>
    <n v="5817.93"/>
    <n v="63.77"/>
    <n v="2.1757388045654445E-2"/>
  </r>
  <r>
    <s v="F047"/>
    <x v="0"/>
    <x v="2"/>
    <x v="2"/>
    <x v="1"/>
    <n v="1183.23"/>
    <n v="39568"/>
    <n v="3580.54"/>
    <n v="78.08"/>
    <n v="2.9903710068742418E-2"/>
  </r>
  <r>
    <s v="F113"/>
    <x v="3"/>
    <x v="1"/>
    <x v="0"/>
    <x v="0"/>
    <n v="3135.2882399999999"/>
    <n v="69636"/>
    <n v="4246.55"/>
    <n v="69.290000000000006"/>
    <n v="4.5023956574185765E-2"/>
  </r>
  <r>
    <s v="F148"/>
    <x v="1"/>
    <x v="2"/>
    <x v="1"/>
    <x v="1"/>
    <n v="2647.47"/>
    <n v="47491"/>
    <n v="5781.05"/>
    <n v="92.18"/>
    <n v="5.5746773072792737E-2"/>
  </r>
  <r>
    <s v="F052"/>
    <x v="3"/>
    <x v="1"/>
    <x v="1"/>
    <x v="1"/>
    <n v="1670.25"/>
    <n v="66163"/>
    <n v="1416.57"/>
    <n v="68.73"/>
    <n v="2.5244471985853119E-2"/>
  </r>
  <r>
    <s v="F046"/>
    <x v="4"/>
    <x v="1"/>
    <x v="0"/>
    <x v="1"/>
    <n v="3796.74"/>
    <n v="87337"/>
    <n v="3603.06"/>
    <n v="67.13"/>
    <n v="4.347229696463125E-2"/>
  </r>
  <r>
    <s v="F014"/>
    <x v="2"/>
    <x v="0"/>
    <x v="1"/>
    <x v="1"/>
    <n v="2430.6999999999998"/>
    <n v="17416"/>
    <n v="812.06"/>
    <n v="5.7"/>
    <n v="0.13956706476802938"/>
  </r>
  <r>
    <s v="F082"/>
    <x v="0"/>
    <x v="0"/>
    <x v="0"/>
    <x v="0"/>
    <n v="4664.5184390000004"/>
    <n v="17468"/>
    <n v="6359.73"/>
    <n v="5.22"/>
    <n v="0.26703219824822533"/>
  </r>
  <r>
    <s v="F181"/>
    <x v="3"/>
    <x v="0"/>
    <x v="1"/>
    <x v="0"/>
    <n v="2563.5500000000002"/>
    <n v="42485"/>
    <n v="4755.75"/>
    <n v="10.19"/>
    <n v="6.0340120042367898E-2"/>
  </r>
  <r>
    <s v="F103"/>
    <x v="4"/>
    <x v="1"/>
    <x v="1"/>
    <x v="2"/>
    <n v="2866.4"/>
    <n v="22309"/>
    <n v="3656.29"/>
    <n v="75.25"/>
    <n v="0.12848626115020845"/>
  </r>
  <r>
    <s v="F194"/>
    <x v="3"/>
    <x v="3"/>
    <x v="1"/>
    <x v="0"/>
    <n v="4646.07"/>
    <n v="42382"/>
    <n v="5116.6899999999996"/>
    <n v="80.42"/>
    <n v="0.10962366098815535"/>
  </r>
  <r>
    <s v="F086"/>
    <x v="4"/>
    <x v="2"/>
    <x v="0"/>
    <x v="0"/>
    <n v="858.75894459999995"/>
    <n v="55974"/>
    <n v="7542.28"/>
    <n v="72.430000000000007"/>
    <n v="1.5342104273412654E-2"/>
  </r>
  <r>
    <s v="F124"/>
    <x v="3"/>
    <x v="3"/>
    <x v="1"/>
    <x v="0"/>
    <n v="2645.6"/>
    <n v="37309"/>
    <n v="4508.54"/>
    <n v="47.15"/>
    <n v="7.0910504167895141E-2"/>
  </r>
  <r>
    <s v="F096"/>
    <x v="0"/>
    <x v="2"/>
    <x v="0"/>
    <x v="0"/>
    <n v="4396.4497890000002"/>
    <n v="21388"/>
    <n v="5249.39"/>
    <n v="64.2"/>
    <n v="0.20555684444548347"/>
  </r>
  <r>
    <s v="F077"/>
    <x v="4"/>
    <x v="0"/>
    <x v="0"/>
    <x v="1"/>
    <n v="2468.89"/>
    <n v="52836"/>
    <n v="9330.2999999999993"/>
    <n v="87.27"/>
    <n v="4.6727420698008934E-2"/>
  </r>
  <r>
    <s v="F184"/>
    <x v="0"/>
    <x v="1"/>
    <x v="1"/>
    <x v="2"/>
    <n v="3901.9"/>
    <n v="22201"/>
    <n v="2853.66"/>
    <n v="71.94"/>
    <n v="0.17575334444394397"/>
  </r>
  <r>
    <s v="F147"/>
    <x v="1"/>
    <x v="2"/>
    <x v="0"/>
    <x v="2"/>
    <n v="2711.0032080000001"/>
    <n v="13333"/>
    <n v="6102.15"/>
    <n v="17.670000000000002"/>
    <n v="0.20333032385809646"/>
  </r>
  <r>
    <s v="F064"/>
    <x v="1"/>
    <x v="1"/>
    <x v="0"/>
    <x v="2"/>
    <n v="1971.3"/>
    <n v="70481"/>
    <n v="4452.83"/>
    <n v="91.26"/>
    <n v="2.7969239937004297E-2"/>
  </r>
  <r>
    <s v="F003"/>
    <x v="3"/>
    <x v="1"/>
    <x v="1"/>
    <x v="2"/>
    <n v="4296.74"/>
    <n v="27681"/>
    <n v="928.26"/>
    <n v="44.97"/>
    <n v="0.15522343845959322"/>
  </r>
  <r>
    <s v="F193"/>
    <x v="1"/>
    <x v="2"/>
    <x v="2"/>
    <x v="2"/>
    <n v="3792.89"/>
    <n v="15333"/>
    <n v="2570.54"/>
    <n v="41.07"/>
    <n v="0.24736776886454054"/>
  </r>
  <r>
    <s v="F127"/>
    <x v="3"/>
    <x v="3"/>
    <x v="2"/>
    <x v="1"/>
    <n v="1486.21"/>
    <n v="77400"/>
    <n v="7504.8"/>
    <n v="68.819999999999993"/>
    <n v="1.9201679586563308E-2"/>
  </r>
  <r>
    <s v="F180"/>
    <x v="2"/>
    <x v="3"/>
    <x v="2"/>
    <x v="1"/>
    <n v="2653.12"/>
    <n v="13302"/>
    <n v="821.51"/>
    <n v="69.599999999999994"/>
    <n v="0.19945271387761238"/>
  </r>
  <r>
    <s v="F098"/>
    <x v="4"/>
    <x v="2"/>
    <x v="1"/>
    <x v="1"/>
    <n v="4329.05"/>
    <n v="28704"/>
    <n v="6009.24"/>
    <n v="39.31"/>
    <n v="0.15081695930880715"/>
  </r>
  <r>
    <s v="F066"/>
    <x v="4"/>
    <x v="1"/>
    <x v="0"/>
    <x v="0"/>
    <n v="3438.4822770000001"/>
    <n v="13543"/>
    <n v="7854.96"/>
    <n v="85.57"/>
    <n v="0.25389369246104998"/>
  </r>
  <r>
    <s v="F105"/>
    <x v="0"/>
    <x v="3"/>
    <x v="0"/>
    <x v="2"/>
    <n v="4297.0303940000003"/>
    <n v="27028"/>
    <n v="4617.92"/>
    <n v="57.62"/>
    <n v="0.158984401139559"/>
  </r>
  <r>
    <s v="F150"/>
    <x v="4"/>
    <x v="3"/>
    <x v="0"/>
    <x v="0"/>
    <n v="1748.1880329999999"/>
    <n v="46863"/>
    <n v="6762.98"/>
    <n v="23.45"/>
    <n v="3.7304227919680771E-2"/>
  </r>
  <r>
    <s v="F035"/>
    <x v="4"/>
    <x v="3"/>
    <x v="0"/>
    <x v="1"/>
    <n v="2629.36"/>
    <n v="24913"/>
    <n v="5727.27"/>
    <n v="78.849999999999994"/>
    <n v="0.10554168506402281"/>
  </r>
  <r>
    <s v="F048"/>
    <x v="0"/>
    <x v="1"/>
    <x v="0"/>
    <x v="0"/>
    <n v="4350.9599639999997"/>
    <n v="26338"/>
    <n v="578.73"/>
    <n v="72.52"/>
    <n v="0.16519705231984205"/>
  </r>
  <r>
    <s v="F155"/>
    <x v="2"/>
    <x v="3"/>
    <x v="1"/>
    <x v="0"/>
    <n v="400"/>
    <n v="75736"/>
    <n v="6287.07"/>
    <n v="63.11"/>
    <n v="5.2815041723882966E-3"/>
  </r>
  <r>
    <s v="F006"/>
    <x v="4"/>
    <x v="2"/>
    <x v="2"/>
    <x v="1"/>
    <n v="4737.45"/>
    <n v="11426"/>
    <n v="4439.5600000000004"/>
    <n v="52.71"/>
    <n v="0.41462016453702083"/>
  </r>
  <r>
    <s v="F188"/>
    <x v="3"/>
    <x v="2"/>
    <x v="2"/>
    <x v="2"/>
    <n v="2400.9"/>
    <n v="80824"/>
    <n v="2858.92"/>
    <n v="13.97"/>
    <n v="2.9705285558744927E-2"/>
  </r>
  <r>
    <s v="F068"/>
    <x v="0"/>
    <x v="3"/>
    <x v="1"/>
    <x v="0"/>
    <n v="3887.35"/>
    <n v="44825"/>
    <n v="6023.03"/>
    <n v="27.2"/>
    <n v="8.6722810931399885E-2"/>
  </r>
  <r>
    <s v="F104"/>
    <x v="4"/>
    <x v="1"/>
    <x v="1"/>
    <x v="0"/>
    <n v="3231.03"/>
    <n v="84851"/>
    <n v="560.75"/>
    <n v="80.23"/>
    <n v="3.807886766213716E-2"/>
  </r>
  <r>
    <s v="F063"/>
    <x v="4"/>
    <x v="3"/>
    <x v="2"/>
    <x v="2"/>
    <n v="1139.33"/>
    <n v="45519"/>
    <n v="7987.69"/>
    <n v="10.86"/>
    <n v="2.5029767789274807E-2"/>
  </r>
  <r>
    <s v="F170"/>
    <x v="2"/>
    <x v="3"/>
    <x v="1"/>
    <x v="1"/>
    <n v="4799"/>
    <n v="24502"/>
    <n v="7466.86"/>
    <n v="88.83"/>
    <n v="0.19586156232144314"/>
  </r>
  <r>
    <s v="F079"/>
    <x v="2"/>
    <x v="0"/>
    <x v="1"/>
    <x v="2"/>
    <n v="3657.83"/>
    <n v="17311"/>
    <n v="2257.38"/>
    <n v="91.07"/>
    <n v="0.21130090693778522"/>
  </r>
  <r>
    <s v="F142"/>
    <x v="0"/>
    <x v="2"/>
    <x v="0"/>
    <x v="0"/>
    <n v="2571.4593089999998"/>
    <n v="68278"/>
    <n v="3272.65"/>
    <n v="30.47"/>
    <n v="3.766160855619672E-2"/>
  </r>
  <r>
    <s v="F195"/>
    <x v="1"/>
    <x v="0"/>
    <x v="1"/>
    <x v="2"/>
    <n v="3338"/>
    <n v="87012"/>
    <n v="7478.13"/>
    <n v="27.22"/>
    <n v="3.8362524709235506E-2"/>
  </r>
  <r>
    <s v="F099"/>
    <x v="3"/>
    <x v="1"/>
    <x v="2"/>
    <x v="2"/>
    <n v="4623.8100000000004"/>
    <n v="17162"/>
    <n v="5079.95"/>
    <n v="19.239999999999998"/>
    <n v="0.26942139610767979"/>
  </r>
  <r>
    <s v="F156"/>
    <x v="2"/>
    <x v="1"/>
    <x v="2"/>
    <x v="1"/>
    <n v="3591.86"/>
    <n v="88308"/>
    <n v="7802.07"/>
    <n v="36.130000000000003"/>
    <n v="4.0674231100240071E-2"/>
  </r>
  <r>
    <s v="F143"/>
    <x v="1"/>
    <x v="0"/>
    <x v="0"/>
    <x v="1"/>
    <n v="2370.4460279999998"/>
    <n v="29406"/>
    <n v="5281.69"/>
    <n v="27.01"/>
    <n v="8.0610964701081408E-2"/>
  </r>
  <r>
    <s v="F197"/>
    <x v="2"/>
    <x v="3"/>
    <x v="0"/>
    <x v="0"/>
    <n v="3703.0568629999998"/>
    <n v="59617"/>
    <n v="5000.95"/>
    <n v="80.36"/>
    <n v="6.2114109448647196E-2"/>
  </r>
  <r>
    <s v="F088"/>
    <x v="0"/>
    <x v="3"/>
    <x v="1"/>
    <x v="1"/>
    <n v="2135.3200000000002"/>
    <n v="77330"/>
    <n v="6936.58"/>
    <n v="82.3"/>
    <n v="2.761308677098151E-2"/>
  </r>
  <r>
    <s v="F138"/>
    <x v="0"/>
    <x v="2"/>
    <x v="0"/>
    <x v="1"/>
    <n v="4016.4773869999999"/>
    <n v="94393"/>
    <n v="6691.7"/>
    <n v="74.790000000000006"/>
    <n v="4.2550585181104529E-2"/>
  </r>
  <r>
    <s v="F049"/>
    <x v="0"/>
    <x v="0"/>
    <x v="2"/>
    <x v="2"/>
    <n v="2536.5"/>
    <n v="65666"/>
    <n v="7269.98"/>
    <n v="75.62"/>
    <n v="3.8627295708585876E-2"/>
  </r>
  <r>
    <s v="F068"/>
    <x v="0"/>
    <x v="1"/>
    <x v="1"/>
    <x v="1"/>
    <n v="4254.34"/>
    <n v="44825"/>
    <n v="6023.03"/>
    <n v="27.2"/>
    <n v="9.4909983268265483E-2"/>
  </r>
  <r>
    <s v="F016"/>
    <x v="2"/>
    <x v="3"/>
    <x v="1"/>
    <x v="1"/>
    <n v="1897.31"/>
    <n v="93409"/>
    <n v="2375.83"/>
    <n v="5.83"/>
    <n v="2.0311854318106393E-2"/>
  </r>
  <r>
    <s v="F016"/>
    <x v="2"/>
    <x v="0"/>
    <x v="1"/>
    <x v="1"/>
    <n v="4286.67"/>
    <n v="93409"/>
    <n v="2375.83"/>
    <n v="5.83"/>
    <n v="4.5891402327398863E-2"/>
  </r>
  <r>
    <s v="F059"/>
    <x v="2"/>
    <x v="0"/>
    <x v="2"/>
    <x v="1"/>
    <n v="2709.88"/>
    <n v="30934"/>
    <n v="4175.6499999999996"/>
    <n v="77.290000000000006"/>
    <n v="8.7601991336393611E-2"/>
  </r>
  <r>
    <s v="F022"/>
    <x v="4"/>
    <x v="1"/>
    <x v="2"/>
    <x v="1"/>
    <n v="4482.51"/>
    <n v="20207"/>
    <n v="5369.46"/>
    <n v="57.51"/>
    <n v="0.22182956401247095"/>
  </r>
  <r>
    <s v="F103"/>
    <x v="4"/>
    <x v="3"/>
    <x v="2"/>
    <x v="2"/>
    <n v="4156"/>
    <n v="22309"/>
    <n v="3656.29"/>
    <n v="75.25"/>
    <n v="0.1862925276794119"/>
  </r>
  <r>
    <s v="F005"/>
    <x v="4"/>
    <x v="3"/>
    <x v="0"/>
    <x v="0"/>
    <n v="2731.8927560000002"/>
    <n v="61743"/>
    <n v="7426.75"/>
    <n v="26.39"/>
    <n v="4.4246193997700148E-2"/>
  </r>
  <r>
    <s v="F011"/>
    <x v="4"/>
    <x v="0"/>
    <x v="0"/>
    <x v="2"/>
    <n v="84.4"/>
    <n v="72846"/>
    <n v="5169.53"/>
    <n v="76.709999999999994"/>
    <n v="1.1586085715070149E-3"/>
  </r>
  <r>
    <s v="F109"/>
    <x v="0"/>
    <x v="3"/>
    <x v="1"/>
    <x v="1"/>
    <n v="84.55"/>
    <n v="34318"/>
    <n v="675.67"/>
    <n v="41.05"/>
    <n v="2.4637216621015211E-3"/>
  </r>
  <r>
    <s v="F072"/>
    <x v="2"/>
    <x v="2"/>
    <x v="1"/>
    <x v="0"/>
    <n v="3865.97"/>
    <n v="95292"/>
    <n v="697.47"/>
    <n v="88.35"/>
    <n v="4.056972253704403E-2"/>
  </r>
  <r>
    <s v="F181"/>
    <x v="3"/>
    <x v="1"/>
    <x v="2"/>
    <x v="2"/>
    <n v="4994.79"/>
    <n v="42485"/>
    <n v="4755.75"/>
    <n v="10.19"/>
    <n v="0.11756596445804401"/>
  </r>
  <r>
    <s v="F056"/>
    <x v="4"/>
    <x v="0"/>
    <x v="0"/>
    <x v="2"/>
    <n v="4341.6706560000002"/>
    <n v="99026"/>
    <n v="5453.2"/>
    <n v="57.49"/>
    <n v="4.3843744632722718E-2"/>
  </r>
  <r>
    <s v="F010"/>
    <x v="0"/>
    <x v="3"/>
    <x v="2"/>
    <x v="0"/>
    <n v="4845.8500000000004"/>
    <n v="32991"/>
    <n v="8540.14"/>
    <n v="37.75"/>
    <n v="0.14688399866630295"/>
  </r>
  <r>
    <s v="F023"/>
    <x v="1"/>
    <x v="2"/>
    <x v="1"/>
    <x v="1"/>
    <n v="695.8"/>
    <n v="47484"/>
    <n v="3396.39"/>
    <n v="19.510000000000002"/>
    <n v="1.465335692022576E-2"/>
  </r>
  <r>
    <s v="F167"/>
    <x v="2"/>
    <x v="2"/>
    <x v="0"/>
    <x v="2"/>
    <n v="2429.7024150000002"/>
    <n v="94128"/>
    <n v="8117.82"/>
    <n v="73.83"/>
    <n v="2.5812748757011731E-2"/>
  </r>
  <r>
    <s v="F196"/>
    <x v="4"/>
    <x v="2"/>
    <x v="2"/>
    <x v="0"/>
    <n v="3517.31"/>
    <n v="85444"/>
    <n v="852.57"/>
    <n v="72.650000000000006"/>
    <n v="4.1165090585646741E-2"/>
  </r>
  <r>
    <s v="F012"/>
    <x v="3"/>
    <x v="2"/>
    <x v="2"/>
    <x v="0"/>
    <n v="2893"/>
    <n v="43747"/>
    <n v="3453.48"/>
    <n v="98.78"/>
    <n v="6.6130248931355287E-2"/>
  </r>
  <r>
    <s v="F141"/>
    <x v="1"/>
    <x v="1"/>
    <x v="1"/>
    <x v="0"/>
    <n v="4115.76"/>
    <n v="58622"/>
    <n v="7795.36"/>
    <n v="59.81"/>
    <n v="7.0208454163965747E-2"/>
  </r>
  <r>
    <s v="F088"/>
    <x v="0"/>
    <x v="3"/>
    <x v="2"/>
    <x v="1"/>
    <n v="1917.42"/>
    <n v="77330"/>
    <n v="6936.58"/>
    <n v="82.3"/>
    <n v="2.479529290055606E-2"/>
  </r>
  <r>
    <s v="F014"/>
    <x v="2"/>
    <x v="3"/>
    <x v="2"/>
    <x v="0"/>
    <n v="1203.1300000000001"/>
    <n v="17416"/>
    <n v="812.06"/>
    <n v="5.7"/>
    <n v="6.9081878732200286E-2"/>
  </r>
  <r>
    <s v="F028"/>
    <x v="4"/>
    <x v="3"/>
    <x v="1"/>
    <x v="0"/>
    <n v="3085.38"/>
    <n v="73977"/>
    <n v="1646.75"/>
    <n v="43.77"/>
    <n v="4.1707287400137884E-2"/>
  </r>
  <r>
    <s v="F115"/>
    <x v="3"/>
    <x v="3"/>
    <x v="1"/>
    <x v="2"/>
    <n v="1942.8"/>
    <n v="29318"/>
    <n v="9860.6200000000008"/>
    <n v="14.58"/>
    <n v="6.6266457466402889E-2"/>
  </r>
  <r>
    <s v="F148"/>
    <x v="1"/>
    <x v="1"/>
    <x v="1"/>
    <x v="0"/>
    <n v="3632.78"/>
    <n v="47491"/>
    <n v="5781.05"/>
    <n v="92.18"/>
    <n v="7.6494072561116844E-2"/>
  </r>
  <r>
    <s v="F042"/>
    <x v="1"/>
    <x v="2"/>
    <x v="1"/>
    <x v="1"/>
    <n v="4435.1000000000004"/>
    <n v="58111"/>
    <n v="4610.8999999999996"/>
    <n v="21.53"/>
    <n v="7.6321178434375594E-2"/>
  </r>
  <r>
    <s v="F129"/>
    <x v="1"/>
    <x v="1"/>
    <x v="1"/>
    <x v="2"/>
    <n v="3104.04"/>
    <n v="58439"/>
    <n v="5817.93"/>
    <n v="63.77"/>
    <n v="5.3115898629339992E-2"/>
  </r>
  <r>
    <s v="F140"/>
    <x v="4"/>
    <x v="1"/>
    <x v="1"/>
    <x v="2"/>
    <n v="1562.42"/>
    <n v="94347"/>
    <n v="2272.58"/>
    <n v="34.75"/>
    <n v="1.6560356980084158E-2"/>
  </r>
  <r>
    <s v="F083"/>
    <x v="2"/>
    <x v="2"/>
    <x v="0"/>
    <x v="1"/>
    <n v="3968.0176780000002"/>
    <n v="94704"/>
    <n v="6632.95"/>
    <n v="14.76"/>
    <n v="4.189915608633215E-2"/>
  </r>
  <r>
    <s v="F073"/>
    <x v="3"/>
    <x v="2"/>
    <x v="2"/>
    <x v="0"/>
    <n v="3813.14"/>
    <n v="26170"/>
    <n v="8057.54"/>
    <n v="63.71"/>
    <n v="0.14570653419946503"/>
  </r>
  <r>
    <s v="F003"/>
    <x v="3"/>
    <x v="0"/>
    <x v="1"/>
    <x v="0"/>
    <n v="1512.54"/>
    <n v="27681"/>
    <n v="928.26"/>
    <n v="44.97"/>
    <n v="5.4641812073263248E-2"/>
  </r>
  <r>
    <s v="F162"/>
    <x v="3"/>
    <x v="1"/>
    <x v="0"/>
    <x v="2"/>
    <n v="4044.946097"/>
    <n v="18175"/>
    <n v="8349.49"/>
    <n v="39.97"/>
    <n v="0.22255549364511693"/>
  </r>
  <r>
    <s v="F150"/>
    <x v="4"/>
    <x v="3"/>
    <x v="1"/>
    <x v="1"/>
    <n v="193.32"/>
    <n v="46863"/>
    <n v="6762.98"/>
    <n v="23.45"/>
    <n v="4.1252160553101594E-3"/>
  </r>
  <r>
    <s v="F112"/>
    <x v="4"/>
    <x v="2"/>
    <x v="2"/>
    <x v="2"/>
    <n v="2881.41"/>
    <n v="88188"/>
    <n v="815.86"/>
    <n v="57.53"/>
    <n v="3.2673492992243841E-2"/>
  </r>
  <r>
    <s v="F120"/>
    <x v="4"/>
    <x v="1"/>
    <x v="2"/>
    <x v="1"/>
    <n v="1949.55"/>
    <n v="57215"/>
    <n v="3227.1"/>
    <n v="32.909999999999997"/>
    <n v="3.4074106440618715E-2"/>
  </r>
  <r>
    <s v="F155"/>
    <x v="2"/>
    <x v="0"/>
    <x v="2"/>
    <x v="2"/>
    <n v="2729.42"/>
    <n v="75736"/>
    <n v="6287.07"/>
    <n v="63.11"/>
    <n v="3.6038607795500159E-2"/>
  </r>
  <r>
    <s v="F171"/>
    <x v="4"/>
    <x v="3"/>
    <x v="1"/>
    <x v="0"/>
    <n v="4965.24"/>
    <n v="98356"/>
    <n v="6968.69"/>
    <n v="81.72"/>
    <n v="5.0482329496929518E-2"/>
  </r>
  <r>
    <s v="F013"/>
    <x v="2"/>
    <x v="3"/>
    <x v="1"/>
    <x v="2"/>
    <n v="968.64"/>
    <n v="72813"/>
    <n v="8818.16"/>
    <n v="54.12"/>
    <n v="1.3303118948539409E-2"/>
  </r>
  <r>
    <s v="F019"/>
    <x v="0"/>
    <x v="2"/>
    <x v="2"/>
    <x v="0"/>
    <n v="2778.34"/>
    <n v="68018"/>
    <n v="3523.4"/>
    <n v="92.26"/>
    <n v="4.084712870122615E-2"/>
  </r>
  <r>
    <s v="F068"/>
    <x v="0"/>
    <x v="1"/>
    <x v="2"/>
    <x v="0"/>
    <n v="901.71"/>
    <n v="44825"/>
    <n v="6023.03"/>
    <n v="27.2"/>
    <n v="2.0116229782487453E-2"/>
  </r>
  <r>
    <s v="F134"/>
    <x v="3"/>
    <x v="3"/>
    <x v="1"/>
    <x v="0"/>
    <n v="4031.94"/>
    <n v="16256"/>
    <n v="2127.1799999999998"/>
    <n v="38.94"/>
    <n v="0.24802780511811023"/>
  </r>
  <r>
    <s v="F148"/>
    <x v="1"/>
    <x v="0"/>
    <x v="2"/>
    <x v="2"/>
    <n v="3868.62"/>
    <n v="47491"/>
    <n v="5781.05"/>
    <n v="92.18"/>
    <n v="8.1460066117790733E-2"/>
  </r>
  <r>
    <s v="F081"/>
    <x v="1"/>
    <x v="3"/>
    <x v="1"/>
    <x v="2"/>
    <n v="2670.34"/>
    <n v="39560"/>
    <n v="8380.77"/>
    <n v="94.01"/>
    <n v="6.7501011122345814E-2"/>
  </r>
  <r>
    <s v="F182"/>
    <x v="3"/>
    <x v="1"/>
    <x v="2"/>
    <x v="0"/>
    <n v="4061.97"/>
    <n v="41027"/>
    <n v="7285.85"/>
    <n v="59.87"/>
    <n v="9.9007239135203637E-2"/>
  </r>
  <r>
    <s v="F024"/>
    <x v="4"/>
    <x v="2"/>
    <x v="1"/>
    <x v="1"/>
    <n v="279.14"/>
    <n v="95718"/>
    <n v="2443.12"/>
    <n v="35.49"/>
    <n v="2.9162748908251319E-3"/>
  </r>
  <r>
    <s v="F055"/>
    <x v="2"/>
    <x v="2"/>
    <x v="0"/>
    <x v="2"/>
    <n v="936.92034809999996"/>
    <n v="41050"/>
    <n v="6025.84"/>
    <n v="53.53"/>
    <n v="2.2823881805115711E-2"/>
  </r>
  <r>
    <s v="F056"/>
    <x v="4"/>
    <x v="0"/>
    <x v="0"/>
    <x v="2"/>
    <n v="1890.569927"/>
    <n v="99026"/>
    <n v="5453.2"/>
    <n v="57.49"/>
    <n v="1.9091651960091289E-2"/>
  </r>
  <r>
    <s v="F191"/>
    <x v="0"/>
    <x v="1"/>
    <x v="0"/>
    <x v="0"/>
    <n v="4697.92"/>
    <n v="86557"/>
    <n v="8631.2800000000007"/>
    <n v="69.53"/>
    <n v="5.4275448548355421E-2"/>
  </r>
  <r>
    <s v="F175"/>
    <x v="3"/>
    <x v="3"/>
    <x v="2"/>
    <x v="2"/>
    <n v="3192.85"/>
    <n v="94949"/>
    <n v="9714.76"/>
    <n v="64.900000000000006"/>
    <n v="3.3626999757764696E-2"/>
  </r>
  <r>
    <s v="F038"/>
    <x v="4"/>
    <x v="1"/>
    <x v="0"/>
    <x v="0"/>
    <n v="3010.17"/>
    <n v="18341"/>
    <n v="8465.57"/>
    <n v="38.39"/>
    <n v="0.16412245788124966"/>
  </r>
  <r>
    <s v="F075"/>
    <x v="3"/>
    <x v="2"/>
    <x v="0"/>
    <x v="2"/>
    <n v="4348.8599999999997"/>
    <n v="60513"/>
    <n v="4578.16"/>
    <n v="65.53"/>
    <n v="7.1866541073818846E-2"/>
  </r>
  <r>
    <s v="F023"/>
    <x v="1"/>
    <x v="0"/>
    <x v="0"/>
    <x v="0"/>
    <n v="4115.1509260000003"/>
    <n v="47484"/>
    <n v="3396.39"/>
    <n v="19.510000000000002"/>
    <n v="8.6663948403672822E-2"/>
  </r>
  <r>
    <s v="F142"/>
    <x v="0"/>
    <x v="0"/>
    <x v="2"/>
    <x v="1"/>
    <n v="4352.3"/>
    <n v="68278"/>
    <n v="3272.65"/>
    <n v="30.47"/>
    <n v="6.3743812062450569E-2"/>
  </r>
  <r>
    <s v="F012"/>
    <x v="3"/>
    <x v="1"/>
    <x v="0"/>
    <x v="1"/>
    <n v="3591.3304600000001"/>
    <n v="43747"/>
    <n v="3453.48"/>
    <n v="98.78"/>
    <n v="8.2093182618236685E-2"/>
  </r>
  <r>
    <s v="F193"/>
    <x v="1"/>
    <x v="0"/>
    <x v="2"/>
    <x v="1"/>
    <n v="3260.39"/>
    <n v="15333"/>
    <n v="2570.54"/>
    <n v="41.07"/>
    <n v="0.21263875301636992"/>
  </r>
  <r>
    <s v="F022"/>
    <x v="4"/>
    <x v="2"/>
    <x v="1"/>
    <x v="2"/>
    <n v="1083.03"/>
    <n v="20207"/>
    <n v="5369.46"/>
    <n v="57.51"/>
    <n v="5.3596773395358045E-2"/>
  </r>
  <r>
    <s v="F013"/>
    <x v="2"/>
    <x v="1"/>
    <x v="2"/>
    <x v="0"/>
    <n v="2051.69"/>
    <n v="72813"/>
    <n v="8818.16"/>
    <n v="54.12"/>
    <n v="2.8177523244475575E-2"/>
  </r>
  <r>
    <s v="F101"/>
    <x v="3"/>
    <x v="2"/>
    <x v="2"/>
    <x v="0"/>
    <n v="2402.8200000000002"/>
    <n v="65719"/>
    <n v="9362.41"/>
    <n v="86.55"/>
    <n v="3.6562029245728024E-2"/>
  </r>
  <r>
    <s v="F055"/>
    <x v="2"/>
    <x v="1"/>
    <x v="0"/>
    <x v="0"/>
    <n v="1465.512424"/>
    <n v="41050"/>
    <n v="6025.84"/>
    <n v="53.53"/>
    <n v="3.5700668063337396E-2"/>
  </r>
  <r>
    <s v="F072"/>
    <x v="2"/>
    <x v="0"/>
    <x v="0"/>
    <x v="0"/>
    <n v="4841.5442560000001"/>
    <n v="95292"/>
    <n v="697.47"/>
    <n v="88.35"/>
    <n v="5.0807457666960501E-2"/>
  </r>
  <r>
    <s v="F080"/>
    <x v="3"/>
    <x v="3"/>
    <x v="2"/>
    <x v="0"/>
    <n v="3187.8"/>
    <n v="10250"/>
    <n v="4717"/>
    <n v="16.600000000000001"/>
    <n v="0.31100487804878052"/>
  </r>
  <r>
    <s v="F072"/>
    <x v="2"/>
    <x v="3"/>
    <x v="2"/>
    <x v="2"/>
    <n v="4547.92"/>
    <n v="95292"/>
    <n v="697.47"/>
    <n v="88.35"/>
    <n v="4.7726147000797546E-2"/>
  </r>
  <r>
    <s v="F081"/>
    <x v="1"/>
    <x v="1"/>
    <x v="0"/>
    <x v="0"/>
    <n v="4751.75"/>
    <n v="39560"/>
    <n v="8380.77"/>
    <n v="94.01"/>
    <n v="0.12011501516683519"/>
  </r>
  <r>
    <s v="F008"/>
    <x v="3"/>
    <x v="1"/>
    <x v="2"/>
    <x v="0"/>
    <n v="3218.33"/>
    <n v="50306"/>
    <n v="7031.37"/>
    <n v="13.27"/>
    <n v="6.3975072555957538E-2"/>
  </r>
  <r>
    <s v="F154"/>
    <x v="0"/>
    <x v="2"/>
    <x v="1"/>
    <x v="2"/>
    <n v="107.49"/>
    <n v="17097"/>
    <n v="9061.7800000000007"/>
    <n v="95.92"/>
    <n v="6.287067906650289E-3"/>
  </r>
  <r>
    <s v="F033"/>
    <x v="0"/>
    <x v="0"/>
    <x v="2"/>
    <x v="1"/>
    <n v="4162.1899999999996"/>
    <n v="47727"/>
    <n v="8907.33"/>
    <n v="47.4"/>
    <n v="8.7208288809269383E-2"/>
  </r>
  <r>
    <s v="F185"/>
    <x v="0"/>
    <x v="1"/>
    <x v="1"/>
    <x v="0"/>
    <n v="1795.35"/>
    <n v="68820"/>
    <n v="9612.25"/>
    <n v="83.51"/>
    <n v="2.6087619877942458E-2"/>
  </r>
  <r>
    <s v="F177"/>
    <x v="3"/>
    <x v="1"/>
    <x v="1"/>
    <x v="2"/>
    <n v="930.97"/>
    <n v="87482"/>
    <n v="2231.7399999999998"/>
    <n v="45.43"/>
    <n v="1.0641846322672092E-2"/>
  </r>
  <r>
    <s v="F083"/>
    <x v="2"/>
    <x v="2"/>
    <x v="0"/>
    <x v="0"/>
    <n v="1962.973495"/>
    <n v="94704"/>
    <n v="6632.95"/>
    <n v="14.76"/>
    <n v="2.0727461300473052E-2"/>
  </r>
  <r>
    <s v="F098"/>
    <x v="4"/>
    <x v="2"/>
    <x v="1"/>
    <x v="0"/>
    <n v="4615.88"/>
    <n v="28704"/>
    <n v="6009.24"/>
    <n v="39.31"/>
    <n v="0.16080964325529543"/>
  </r>
  <r>
    <s v="F118"/>
    <x v="0"/>
    <x v="3"/>
    <x v="2"/>
    <x v="1"/>
    <n v="1530.83"/>
    <n v="14170"/>
    <n v="5455.23"/>
    <n v="25.46"/>
    <n v="0.10803316866619618"/>
  </r>
  <r>
    <s v="F122"/>
    <x v="4"/>
    <x v="2"/>
    <x v="0"/>
    <x v="0"/>
    <n v="2440.987615"/>
    <n v="49620"/>
    <n v="2424.31"/>
    <n v="62.09"/>
    <n v="4.9193623841193065E-2"/>
  </r>
  <r>
    <s v="F089"/>
    <x v="4"/>
    <x v="0"/>
    <x v="2"/>
    <x v="2"/>
    <n v="1674.72"/>
    <n v="58895"/>
    <n v="3039.17"/>
    <n v="59.82"/>
    <n v="2.8435690635877409E-2"/>
  </r>
  <r>
    <s v="F198"/>
    <x v="3"/>
    <x v="1"/>
    <x v="2"/>
    <x v="1"/>
    <n v="3245.74"/>
    <n v="40577"/>
    <n v="4280.82"/>
    <n v="79.88"/>
    <n v="7.9989649308721683E-2"/>
  </r>
  <r>
    <s v="F165"/>
    <x v="4"/>
    <x v="0"/>
    <x v="2"/>
    <x v="1"/>
    <n v="3114.72"/>
    <n v="79330"/>
    <n v="6075.23"/>
    <n v="83.97"/>
    <n v="3.9262826169166772E-2"/>
  </r>
  <r>
    <s v="F108"/>
    <x v="3"/>
    <x v="1"/>
    <x v="1"/>
    <x v="1"/>
    <n v="2078.6799999999998"/>
    <n v="39050"/>
    <n v="5885.73"/>
    <n v="93.04"/>
    <n v="5.3231241997439178E-2"/>
  </r>
  <r>
    <s v="F062"/>
    <x v="2"/>
    <x v="0"/>
    <x v="2"/>
    <x v="1"/>
    <n v="2458.83"/>
    <n v="19265"/>
    <n v="776.6"/>
    <n v="39.75"/>
    <n v="0.12763197508434984"/>
  </r>
  <r>
    <s v="F007"/>
    <x v="4"/>
    <x v="2"/>
    <x v="1"/>
    <x v="1"/>
    <n v="3902.33"/>
    <n v="35506"/>
    <n v="1892.04"/>
    <n v="61.53"/>
    <n v="0.10990621303441672"/>
  </r>
  <r>
    <s v="F023"/>
    <x v="1"/>
    <x v="2"/>
    <x v="0"/>
    <x v="0"/>
    <n v="3436.6858299999999"/>
    <n v="47484"/>
    <n v="3396.39"/>
    <n v="19.510000000000002"/>
    <n v="7.2375659801196188E-2"/>
  </r>
  <r>
    <s v="F116"/>
    <x v="2"/>
    <x v="2"/>
    <x v="2"/>
    <x v="2"/>
    <n v="3373.97"/>
    <n v="48501"/>
    <n v="7209.77"/>
    <n v="92.51"/>
    <n v="6.9564957423558269E-2"/>
  </r>
  <r>
    <s v="F067"/>
    <x v="1"/>
    <x v="0"/>
    <x v="1"/>
    <x v="1"/>
    <n v="2524.3200000000002"/>
    <n v="28400"/>
    <n v="3056.67"/>
    <n v="52.68"/>
    <n v="8.8884507042253522E-2"/>
  </r>
  <r>
    <s v="F190"/>
    <x v="0"/>
    <x v="1"/>
    <x v="2"/>
    <x v="2"/>
    <n v="4152.62"/>
    <n v="70582"/>
    <n v="7517.59"/>
    <n v="95.71"/>
    <n v="5.8833980334929585E-2"/>
  </r>
  <r>
    <s v="F033"/>
    <x v="0"/>
    <x v="1"/>
    <x v="0"/>
    <x v="1"/>
    <n v="5429.1162919999997"/>
    <n v="47727"/>
    <n v="8907.33"/>
    <n v="47.4"/>
    <n v="0.11375356280512078"/>
  </r>
  <r>
    <s v="F147"/>
    <x v="1"/>
    <x v="2"/>
    <x v="0"/>
    <x v="2"/>
    <n v="4835.4238480000004"/>
    <n v="13333"/>
    <n v="6102.15"/>
    <n v="17.670000000000002"/>
    <n v="0.36266585524638117"/>
  </r>
  <r>
    <s v="F108"/>
    <x v="3"/>
    <x v="2"/>
    <x v="2"/>
    <x v="1"/>
    <n v="783.3"/>
    <n v="39050"/>
    <n v="5885.73"/>
    <n v="93.04"/>
    <n v="2.0058898847631242E-2"/>
  </r>
  <r>
    <s v="F131"/>
    <x v="4"/>
    <x v="0"/>
    <x v="2"/>
    <x v="2"/>
    <n v="4038.18"/>
    <n v="43294"/>
    <n v="3802.13"/>
    <n v="45.84"/>
    <n v="9.3273432808241324E-2"/>
  </r>
  <r>
    <s v="F156"/>
    <x v="2"/>
    <x v="1"/>
    <x v="0"/>
    <x v="0"/>
    <n v="4925.5299789999999"/>
    <n v="88308"/>
    <n v="7802.07"/>
    <n v="36.130000000000003"/>
    <n v="5.5776713083752323E-2"/>
  </r>
  <r>
    <s v="F090"/>
    <x v="2"/>
    <x v="2"/>
    <x v="0"/>
    <x v="0"/>
    <n v="2926.74557"/>
    <n v="29895"/>
    <n v="1631.08"/>
    <n v="39.93"/>
    <n v="9.7900838601772872E-2"/>
  </r>
  <r>
    <s v="F001"/>
    <x v="1"/>
    <x v="0"/>
    <x v="2"/>
    <x v="1"/>
    <n v="1931.14"/>
    <n v="54133"/>
    <n v="8543.68"/>
    <n v="24"/>
    <n v="3.5673988140321064E-2"/>
  </r>
  <r>
    <s v="F126"/>
    <x v="2"/>
    <x v="1"/>
    <x v="0"/>
    <x v="2"/>
    <n v="3586.9128329999999"/>
    <n v="75508"/>
    <n v="6856.22"/>
    <n v="18.2"/>
    <n v="4.7503745735551196E-2"/>
  </r>
  <r>
    <s v="F188"/>
    <x v="3"/>
    <x v="3"/>
    <x v="1"/>
    <x v="1"/>
    <n v="2192.19"/>
    <n v="80824"/>
    <n v="2858.92"/>
    <n v="13.97"/>
    <n v="2.7123008017420569E-2"/>
  </r>
  <r>
    <s v="F173"/>
    <x v="1"/>
    <x v="3"/>
    <x v="2"/>
    <x v="1"/>
    <n v="3113.98"/>
    <n v="38181"/>
    <n v="691.84"/>
    <n v="33.53"/>
    <n v="8.1558366726906056E-2"/>
  </r>
  <r>
    <s v="F155"/>
    <x v="2"/>
    <x v="3"/>
    <x v="0"/>
    <x v="0"/>
    <n v="4943.0830340000002"/>
    <n v="75736"/>
    <n v="6287.07"/>
    <n v="63.11"/>
    <n v="6.5267284171331999E-2"/>
  </r>
  <r>
    <s v="F165"/>
    <x v="4"/>
    <x v="0"/>
    <x v="1"/>
    <x v="1"/>
    <n v="4608.99"/>
    <n v="79330"/>
    <n v="6075.23"/>
    <n v="83.97"/>
    <n v="5.8098953737551993E-2"/>
  </r>
  <r>
    <s v="F012"/>
    <x v="3"/>
    <x v="1"/>
    <x v="2"/>
    <x v="1"/>
    <n v="548.27"/>
    <n v="43747"/>
    <n v="3453.48"/>
    <n v="98.78"/>
    <n v="1.2532745102521316E-2"/>
  </r>
  <r>
    <s v="F024"/>
    <x v="4"/>
    <x v="0"/>
    <x v="0"/>
    <x v="0"/>
    <n v="2949.1193939999998"/>
    <n v="95718"/>
    <n v="2443.12"/>
    <n v="35.49"/>
    <n v="3.0810499529868987E-2"/>
  </r>
  <r>
    <s v="F005"/>
    <x v="4"/>
    <x v="3"/>
    <x v="0"/>
    <x v="2"/>
    <n v="2617.0703119999998"/>
    <n v="61743"/>
    <n v="7426.75"/>
    <n v="26.39"/>
    <n v="4.2386510406037928E-2"/>
  </r>
  <r>
    <s v="F176"/>
    <x v="4"/>
    <x v="3"/>
    <x v="1"/>
    <x v="1"/>
    <n v="4990.76"/>
    <n v="18726"/>
    <n v="5099.54"/>
    <n v="71.05"/>
    <n v="0.26651500587418564"/>
  </r>
  <r>
    <s v="F200"/>
    <x v="1"/>
    <x v="3"/>
    <x v="2"/>
    <x v="1"/>
    <n v="922.25"/>
    <n v="21081"/>
    <n v="9001.77"/>
    <n v="49.27"/>
    <n v="4.3747924671505144E-2"/>
  </r>
  <r>
    <s v="F097"/>
    <x v="1"/>
    <x v="2"/>
    <x v="1"/>
    <x v="1"/>
    <n v="1919.35"/>
    <n v="69100"/>
    <n v="9356.02"/>
    <n v="16.5"/>
    <n v="2.7776410998552822E-2"/>
  </r>
  <r>
    <s v="F130"/>
    <x v="3"/>
    <x v="3"/>
    <x v="0"/>
    <x v="2"/>
    <n v="3296.9829679999998"/>
    <n v="43227"/>
    <n v="5199.53"/>
    <n v="44.09"/>
    <n v="7.6271380572327477E-2"/>
  </r>
  <r>
    <s v="F031"/>
    <x v="3"/>
    <x v="1"/>
    <x v="2"/>
    <x v="2"/>
    <n v="3879.07"/>
    <n v="86263"/>
    <n v="3213.71"/>
    <n v="98.39"/>
    <n v="4.4967946860183391E-2"/>
  </r>
  <r>
    <s v="F154"/>
    <x v="0"/>
    <x v="2"/>
    <x v="0"/>
    <x v="1"/>
    <n v="3326.9593620000001"/>
    <n v="17097"/>
    <n v="9061.7800000000007"/>
    <n v="95.92"/>
    <n v="0.19459316616950342"/>
  </r>
  <r>
    <s v="F152"/>
    <x v="4"/>
    <x v="1"/>
    <x v="0"/>
    <x v="1"/>
    <n v="2620.3764460000002"/>
    <n v="90679"/>
    <n v="7266.82"/>
    <n v="23.3"/>
    <n v="2.8897279921481271E-2"/>
  </r>
  <r>
    <s v="F082"/>
    <x v="0"/>
    <x v="2"/>
    <x v="2"/>
    <x v="0"/>
    <n v="3511.53"/>
    <n v="17468"/>
    <n v="6359.73"/>
    <n v="5.22"/>
    <n v="0.20102644836272041"/>
  </r>
  <r>
    <s v="F150"/>
    <x v="4"/>
    <x v="0"/>
    <x v="2"/>
    <x v="1"/>
    <n v="402.68"/>
    <n v="46863"/>
    <n v="6762.98"/>
    <n v="23.45"/>
    <n v="8.5927063995049398E-3"/>
  </r>
  <r>
    <s v="F168"/>
    <x v="2"/>
    <x v="3"/>
    <x v="1"/>
    <x v="0"/>
    <n v="3834.83"/>
    <n v="24095"/>
    <n v="3167.52"/>
    <n v="31.02"/>
    <n v="0.15915459638929239"/>
  </r>
  <r>
    <s v="F028"/>
    <x v="4"/>
    <x v="1"/>
    <x v="1"/>
    <x v="1"/>
    <n v="2705.01"/>
    <n v="73977"/>
    <n v="1646.75"/>
    <n v="43.77"/>
    <n v="3.6565554158725012E-2"/>
  </r>
  <r>
    <s v="F149"/>
    <x v="1"/>
    <x v="1"/>
    <x v="1"/>
    <x v="1"/>
    <n v="2242.38"/>
    <n v="61207"/>
    <n v="6922.33"/>
    <n v="9.1999999999999993"/>
    <n v="3.6636005685624196E-2"/>
  </r>
  <r>
    <s v="F026"/>
    <x v="2"/>
    <x v="3"/>
    <x v="0"/>
    <x v="1"/>
    <n v="1860.7437640000001"/>
    <n v="32246"/>
    <n v="7903.93"/>
    <n v="42.12"/>
    <n v="5.7704638218693795E-2"/>
  </r>
  <r>
    <s v="F172"/>
    <x v="4"/>
    <x v="0"/>
    <x v="2"/>
    <x v="2"/>
    <n v="2978.15"/>
    <n v="98396"/>
    <n v="5174.07"/>
    <n v="63.38"/>
    <n v="3.0266982397658442E-2"/>
  </r>
  <r>
    <s v="F051"/>
    <x v="4"/>
    <x v="2"/>
    <x v="2"/>
    <x v="0"/>
    <n v="1338.04"/>
    <n v="56752"/>
    <n v="4177.68"/>
    <n v="10.96"/>
    <n v="2.3576966450521566E-2"/>
  </r>
  <r>
    <s v="F056"/>
    <x v="4"/>
    <x v="3"/>
    <x v="2"/>
    <x v="2"/>
    <n v="2538.44"/>
    <n v="99026"/>
    <n v="5453.2"/>
    <n v="57.49"/>
    <n v="2.5634075899258781E-2"/>
  </r>
  <r>
    <s v="F049"/>
    <x v="0"/>
    <x v="1"/>
    <x v="2"/>
    <x v="2"/>
    <n v="1644.11"/>
    <n v="65666"/>
    <n v="7269.98"/>
    <n v="75.62"/>
    <n v="2.5037462309262022E-2"/>
  </r>
  <r>
    <s v="F109"/>
    <x v="0"/>
    <x v="1"/>
    <x v="1"/>
    <x v="1"/>
    <n v="3858.7"/>
    <n v="34318"/>
    <n v="675.67"/>
    <n v="41.05"/>
    <n v="0.11243953610350253"/>
  </r>
  <r>
    <s v="F131"/>
    <x v="4"/>
    <x v="3"/>
    <x v="2"/>
    <x v="2"/>
    <n v="2079.69"/>
    <n v="43294"/>
    <n v="3802.13"/>
    <n v="45.84"/>
    <n v="4.8036448468609973E-2"/>
  </r>
  <r>
    <s v="F186"/>
    <x v="4"/>
    <x v="0"/>
    <x v="2"/>
    <x v="1"/>
    <n v="439.97"/>
    <n v="61942"/>
    <n v="4891.32"/>
    <n v="91.59"/>
    <n v="7.1029350037131516E-3"/>
  </r>
  <r>
    <s v="F111"/>
    <x v="3"/>
    <x v="2"/>
    <x v="2"/>
    <x v="0"/>
    <n v="1486"/>
    <n v="10907"/>
    <n v="4748.66"/>
    <n v="39.36"/>
    <n v="0.136242779866141"/>
  </r>
  <r>
    <s v="F138"/>
    <x v="0"/>
    <x v="2"/>
    <x v="0"/>
    <x v="2"/>
    <n v="396.69632039999999"/>
    <n v="94393"/>
    <n v="6691.7"/>
    <n v="74.790000000000006"/>
    <n v="4.2026031633701647E-3"/>
  </r>
  <r>
    <s v="F081"/>
    <x v="1"/>
    <x v="1"/>
    <x v="0"/>
    <x v="1"/>
    <n v="1724.46"/>
    <n v="39560"/>
    <n v="8380.77"/>
    <n v="94.01"/>
    <n v="4.3591001011122343E-2"/>
  </r>
  <r>
    <s v="F186"/>
    <x v="4"/>
    <x v="2"/>
    <x v="2"/>
    <x v="1"/>
    <n v="3569.77"/>
    <n v="61942"/>
    <n v="4891.32"/>
    <n v="91.59"/>
    <n v="5.7630848212844275E-2"/>
  </r>
  <r>
    <s v="F149"/>
    <x v="1"/>
    <x v="0"/>
    <x v="1"/>
    <x v="0"/>
    <n v="1244.99"/>
    <n v="61207"/>
    <n v="6922.33"/>
    <n v="9.1999999999999993"/>
    <n v="2.034064731158201E-2"/>
  </r>
  <r>
    <s v="F119"/>
    <x v="2"/>
    <x v="1"/>
    <x v="0"/>
    <x v="0"/>
    <n v="4645.6365770000002"/>
    <n v="22525"/>
    <n v="9465.65"/>
    <n v="37.79"/>
    <n v="0.20624357722530523"/>
  </r>
  <r>
    <s v="F061"/>
    <x v="1"/>
    <x v="0"/>
    <x v="0"/>
    <x v="2"/>
    <n v="3635.37"/>
    <n v="21386"/>
    <n v="2271.92"/>
    <n v="49.67"/>
    <n v="0.16998831010941737"/>
  </r>
  <r>
    <s v="F193"/>
    <x v="1"/>
    <x v="1"/>
    <x v="0"/>
    <x v="2"/>
    <n v="4563.1180219999997"/>
    <n v="15333"/>
    <n v="2570.54"/>
    <n v="41.07"/>
    <n v="0.29760112319833038"/>
  </r>
  <r>
    <s v="F090"/>
    <x v="2"/>
    <x v="0"/>
    <x v="0"/>
    <x v="1"/>
    <n v="1337.435551"/>
    <n v="29895"/>
    <n v="1631.08"/>
    <n v="39.93"/>
    <n v="4.4737767218598429E-2"/>
  </r>
  <r>
    <s v="F070"/>
    <x v="2"/>
    <x v="2"/>
    <x v="0"/>
    <x v="2"/>
    <n v="527.43320610000001"/>
    <n v="15128"/>
    <n v="8847.09"/>
    <n v="5.25"/>
    <n v="3.4864701619513487E-2"/>
  </r>
  <r>
    <s v="F076"/>
    <x v="2"/>
    <x v="3"/>
    <x v="1"/>
    <x v="0"/>
    <n v="1979.48"/>
    <n v="41953"/>
    <n v="2379.14"/>
    <n v="65.67"/>
    <n v="4.7183276523728938E-2"/>
  </r>
  <r>
    <s v="F127"/>
    <x v="3"/>
    <x v="2"/>
    <x v="0"/>
    <x v="1"/>
    <n v="2025.95"/>
    <n v="77400"/>
    <n v="7504.8"/>
    <n v="68.819999999999993"/>
    <n v="2.6175064599483204E-2"/>
  </r>
  <r>
    <s v="F090"/>
    <x v="2"/>
    <x v="1"/>
    <x v="2"/>
    <x v="1"/>
    <n v="4195.17"/>
    <n v="29895"/>
    <n v="1631.08"/>
    <n v="39.93"/>
    <n v="0.14033015554440542"/>
  </r>
  <r>
    <s v="F053"/>
    <x v="0"/>
    <x v="0"/>
    <x v="2"/>
    <x v="2"/>
    <n v="2104.08"/>
    <n v="56392"/>
    <n v="5703.76"/>
    <n v="23.04"/>
    <n v="3.7311675414952478E-2"/>
  </r>
  <r>
    <s v="F008"/>
    <x v="3"/>
    <x v="0"/>
    <x v="2"/>
    <x v="1"/>
    <n v="4229.93"/>
    <n v="50306"/>
    <n v="7031.37"/>
    <n v="13.27"/>
    <n v="8.4084005883989982E-2"/>
  </r>
  <r>
    <s v="F083"/>
    <x v="2"/>
    <x v="0"/>
    <x v="1"/>
    <x v="1"/>
    <n v="3136.15"/>
    <n v="94704"/>
    <n v="6632.95"/>
    <n v="14.76"/>
    <n v="3.3115285521202908E-2"/>
  </r>
  <r>
    <s v="F200"/>
    <x v="1"/>
    <x v="3"/>
    <x v="0"/>
    <x v="2"/>
    <n v="1959.3291340000001"/>
    <n v="21081"/>
    <n v="9001.77"/>
    <n v="49.27"/>
    <n v="9.2942893316256353E-2"/>
  </r>
  <r>
    <s v="F047"/>
    <x v="0"/>
    <x v="0"/>
    <x v="0"/>
    <x v="2"/>
    <n v="1221.953049"/>
    <n v="39568"/>
    <n v="3580.54"/>
    <n v="78.08"/>
    <n v="3.0882355666194905E-2"/>
  </r>
  <r>
    <s v="F176"/>
    <x v="4"/>
    <x v="1"/>
    <x v="2"/>
    <x v="0"/>
    <n v="300.75"/>
    <n v="18726"/>
    <n v="5099.54"/>
    <n v="71.05"/>
    <n v="1.6060557513617429E-2"/>
  </r>
  <r>
    <s v="F018"/>
    <x v="4"/>
    <x v="2"/>
    <x v="2"/>
    <x v="2"/>
    <n v="4099.18"/>
    <n v="69305"/>
    <n v="3203.67"/>
    <n v="83.65"/>
    <n v="5.9146959093860474E-2"/>
  </r>
  <r>
    <s v="F198"/>
    <x v="3"/>
    <x v="1"/>
    <x v="1"/>
    <x v="0"/>
    <n v="104.53"/>
    <n v="40577"/>
    <n v="4280.82"/>
    <n v="79.88"/>
    <n v="2.5760899031471033E-3"/>
  </r>
  <r>
    <s v="F185"/>
    <x v="0"/>
    <x v="3"/>
    <x v="1"/>
    <x v="2"/>
    <n v="2781"/>
    <n v="68820"/>
    <n v="9612.25"/>
    <n v="83.51"/>
    <n v="4.0409764603312991E-2"/>
  </r>
  <r>
    <s v="F090"/>
    <x v="2"/>
    <x v="2"/>
    <x v="0"/>
    <x v="2"/>
    <n v="3597.303453"/>
    <n v="29895"/>
    <n v="1631.08"/>
    <n v="39.93"/>
    <n v="0.12033127456096337"/>
  </r>
  <r>
    <s v="F052"/>
    <x v="3"/>
    <x v="2"/>
    <x v="2"/>
    <x v="2"/>
    <n v="2055.7399999999998"/>
    <n v="66163"/>
    <n v="1416.57"/>
    <n v="68.73"/>
    <n v="3.1070840197693572E-2"/>
  </r>
  <r>
    <s v="F034"/>
    <x v="4"/>
    <x v="2"/>
    <x v="1"/>
    <x v="0"/>
    <n v="437.58"/>
    <n v="67213"/>
    <n v="5533.81"/>
    <n v="90.88"/>
    <n v="6.5103477005936349E-3"/>
  </r>
  <r>
    <s v="F035"/>
    <x v="4"/>
    <x v="1"/>
    <x v="2"/>
    <x v="0"/>
    <n v="3087.52"/>
    <n v="24913"/>
    <n v="5727.27"/>
    <n v="78.849999999999994"/>
    <n v="0.12393208365110585"/>
  </r>
  <r>
    <s v="F076"/>
    <x v="2"/>
    <x v="1"/>
    <x v="0"/>
    <x v="0"/>
    <n v="2226.371185"/>
    <n v="41953"/>
    <n v="2379.14"/>
    <n v="65.67"/>
    <n v="5.3068223607370152E-2"/>
  </r>
  <r>
    <s v="F105"/>
    <x v="0"/>
    <x v="0"/>
    <x v="2"/>
    <x v="0"/>
    <n v="769.29"/>
    <n v="27028"/>
    <n v="4617.92"/>
    <n v="57.62"/>
    <n v="2.8462705342607666E-2"/>
  </r>
  <r>
    <s v="F065"/>
    <x v="1"/>
    <x v="2"/>
    <x v="2"/>
    <x v="2"/>
    <n v="3008.89"/>
    <n v="91031"/>
    <n v="1783.57"/>
    <n v="32.049999999999997"/>
    <n v="3.3053465303028634E-2"/>
  </r>
  <r>
    <s v="F089"/>
    <x v="4"/>
    <x v="3"/>
    <x v="0"/>
    <x v="0"/>
    <n v="1802.2968639999999"/>
    <n v="58895"/>
    <n v="3039.17"/>
    <n v="59.82"/>
    <n v="3.0601865421512862E-2"/>
  </r>
  <r>
    <s v="F089"/>
    <x v="4"/>
    <x v="3"/>
    <x v="2"/>
    <x v="0"/>
    <n v="3707.94"/>
    <n v="58895"/>
    <n v="3039.17"/>
    <n v="59.82"/>
    <n v="6.2958485440190171E-2"/>
  </r>
  <r>
    <s v="F143"/>
    <x v="1"/>
    <x v="1"/>
    <x v="0"/>
    <x v="0"/>
    <n v="3134.2444770000002"/>
    <n v="29406"/>
    <n v="5281.69"/>
    <n v="27.01"/>
    <n v="0.10658520291777189"/>
  </r>
  <r>
    <s v="F025"/>
    <x v="4"/>
    <x v="2"/>
    <x v="2"/>
    <x v="1"/>
    <n v="1671.05"/>
    <n v="32131"/>
    <n v="1474.23"/>
    <n v="45.47"/>
    <n v="5.2007407176869691E-2"/>
  </r>
  <r>
    <s v="F037"/>
    <x v="3"/>
    <x v="0"/>
    <x v="0"/>
    <x v="1"/>
    <n v="456.60088710000002"/>
    <n v="97337"/>
    <n v="3362.06"/>
    <n v="55.46"/>
    <n v="4.6909282913999819E-3"/>
  </r>
  <r>
    <s v="F156"/>
    <x v="2"/>
    <x v="0"/>
    <x v="1"/>
    <x v="0"/>
    <n v="4237.93"/>
    <n v="88308"/>
    <n v="7802.07"/>
    <n v="36.130000000000003"/>
    <n v="4.7990329301988495E-2"/>
  </r>
  <r>
    <s v="F058"/>
    <x v="1"/>
    <x v="2"/>
    <x v="0"/>
    <x v="2"/>
    <n v="4750.1918850000002"/>
    <n v="66398"/>
    <n v="8713.61"/>
    <n v="83.44"/>
    <n v="7.1541189267749036E-2"/>
  </r>
  <r>
    <s v="F013"/>
    <x v="2"/>
    <x v="2"/>
    <x v="2"/>
    <x v="0"/>
    <n v="3912.43"/>
    <n v="72813"/>
    <n v="8818.16"/>
    <n v="54.12"/>
    <n v="5.3732575226951226E-2"/>
  </r>
  <r>
    <s v="F198"/>
    <x v="3"/>
    <x v="2"/>
    <x v="1"/>
    <x v="1"/>
    <n v="349.13"/>
    <n v="40577"/>
    <n v="4280.82"/>
    <n v="79.88"/>
    <n v="8.6041353476107151E-3"/>
  </r>
  <r>
    <s v="F194"/>
    <x v="3"/>
    <x v="1"/>
    <x v="2"/>
    <x v="2"/>
    <n v="3133.74"/>
    <n v="42382"/>
    <n v="5116.6899999999996"/>
    <n v="80.42"/>
    <n v="7.3940352036241802E-2"/>
  </r>
  <r>
    <s v="F198"/>
    <x v="3"/>
    <x v="3"/>
    <x v="2"/>
    <x v="0"/>
    <n v="228.22"/>
    <n v="40577"/>
    <n v="4280.82"/>
    <n v="79.88"/>
    <n v="5.6243684846095082E-3"/>
  </r>
  <r>
    <s v="F028"/>
    <x v="4"/>
    <x v="0"/>
    <x v="2"/>
    <x v="1"/>
    <n v="1437.79"/>
    <n v="73977"/>
    <n v="1646.75"/>
    <n v="43.77"/>
    <n v="1.9435635400191952E-2"/>
  </r>
  <r>
    <s v="F059"/>
    <x v="2"/>
    <x v="3"/>
    <x v="2"/>
    <x v="2"/>
    <n v="3734.66"/>
    <n v="30934"/>
    <n v="4175.6499999999996"/>
    <n v="77.290000000000006"/>
    <n v="0.1207299411650611"/>
  </r>
  <r>
    <s v="F166"/>
    <x v="3"/>
    <x v="1"/>
    <x v="2"/>
    <x v="1"/>
    <n v="923.68"/>
    <n v="96474"/>
    <n v="7574.39"/>
    <n v="95.54"/>
    <n v="9.5743931007318036E-3"/>
  </r>
  <r>
    <s v="F177"/>
    <x v="3"/>
    <x v="3"/>
    <x v="2"/>
    <x v="2"/>
    <n v="1962.58"/>
    <n v="87482"/>
    <n v="2231.7399999999998"/>
    <n v="45.43"/>
    <n v="2.2434100729292882E-2"/>
  </r>
  <r>
    <s v="F011"/>
    <x v="4"/>
    <x v="0"/>
    <x v="1"/>
    <x v="1"/>
    <n v="690.6"/>
    <n v="72846"/>
    <n v="5169.53"/>
    <n v="76.709999999999994"/>
    <n v="9.4802734535870195E-3"/>
  </r>
  <r>
    <s v="F004"/>
    <x v="0"/>
    <x v="3"/>
    <x v="0"/>
    <x v="0"/>
    <n v="1785.8245850000001"/>
    <n v="83923"/>
    <n v="8768.7999999999993"/>
    <n v="65.290000000000006"/>
    <n v="2.1279322533751178E-2"/>
  </r>
  <r>
    <s v="F120"/>
    <x v="4"/>
    <x v="2"/>
    <x v="2"/>
    <x v="2"/>
    <n v="4949.3"/>
    <n v="57215"/>
    <n v="3227.1"/>
    <n v="32.909999999999997"/>
    <n v="8.650353928165691E-2"/>
  </r>
  <r>
    <s v="F176"/>
    <x v="4"/>
    <x v="2"/>
    <x v="0"/>
    <x v="0"/>
    <n v="3153.3403969999999"/>
    <n v="18726"/>
    <n v="5099.54"/>
    <n v="71.05"/>
    <n v="0.16839369844067073"/>
  </r>
  <r>
    <s v="F072"/>
    <x v="2"/>
    <x v="3"/>
    <x v="1"/>
    <x v="1"/>
    <n v="919.35"/>
    <n v="95292"/>
    <n v="697.47"/>
    <n v="88.35"/>
    <n v="9.6477143936531933E-3"/>
  </r>
  <r>
    <s v="F028"/>
    <x v="4"/>
    <x v="3"/>
    <x v="1"/>
    <x v="1"/>
    <n v="2465.21"/>
    <n v="73977"/>
    <n v="1646.75"/>
    <n v="43.77"/>
    <n v="3.3324006110007166E-2"/>
  </r>
  <r>
    <s v="F168"/>
    <x v="2"/>
    <x v="2"/>
    <x v="1"/>
    <x v="0"/>
    <n v="2956.74"/>
    <n v="24095"/>
    <n v="3167.52"/>
    <n v="31.02"/>
    <n v="0.12271176592654076"/>
  </r>
  <r>
    <s v="F053"/>
    <x v="0"/>
    <x v="3"/>
    <x v="0"/>
    <x v="0"/>
    <n v="1174.629844"/>
    <n v="56392"/>
    <n v="5703.76"/>
    <n v="23.04"/>
    <n v="2.0829724854589303E-2"/>
  </r>
  <r>
    <s v="F125"/>
    <x v="1"/>
    <x v="3"/>
    <x v="1"/>
    <x v="2"/>
    <n v="1574.82"/>
    <n v="82332"/>
    <n v="7134.86"/>
    <n v="22.44"/>
    <n v="1.9127678181023174E-2"/>
  </r>
  <r>
    <s v="F031"/>
    <x v="3"/>
    <x v="0"/>
    <x v="0"/>
    <x v="0"/>
    <n v="922.32219610000004"/>
    <n v="86263"/>
    <n v="3213.71"/>
    <n v="98.39"/>
    <n v="1.0691979134739113E-2"/>
  </r>
  <r>
    <s v="F086"/>
    <x v="4"/>
    <x v="2"/>
    <x v="0"/>
    <x v="0"/>
    <n v="842.92266970000003"/>
    <n v="55974"/>
    <n v="7542.28"/>
    <n v="72.430000000000007"/>
    <n v="1.5059182293564869E-2"/>
  </r>
  <r>
    <s v="F064"/>
    <x v="1"/>
    <x v="0"/>
    <x v="1"/>
    <x v="0"/>
    <n v="3132.1"/>
    <n v="70481"/>
    <n v="4452.83"/>
    <n v="91.26"/>
    <n v="4.4438926802968175E-2"/>
  </r>
  <r>
    <s v="F041"/>
    <x v="1"/>
    <x v="1"/>
    <x v="0"/>
    <x v="0"/>
    <n v="3613.5009599999998"/>
    <n v="84721"/>
    <n v="2278.9699999999998"/>
    <n v="68.53"/>
    <n v="4.2651774176414345E-2"/>
  </r>
  <r>
    <s v="F030"/>
    <x v="0"/>
    <x v="3"/>
    <x v="0"/>
    <x v="2"/>
    <n v="1968.5236090000001"/>
    <n v="49924"/>
    <n v="2199.16"/>
    <n v="75.48"/>
    <n v="3.9430406397724542E-2"/>
  </r>
  <r>
    <s v="F138"/>
    <x v="0"/>
    <x v="2"/>
    <x v="1"/>
    <x v="0"/>
    <n v="70.83"/>
    <n v="94393"/>
    <n v="6691.7"/>
    <n v="74.790000000000006"/>
    <n v="7.503734387083788E-4"/>
  </r>
  <r>
    <s v="F138"/>
    <x v="0"/>
    <x v="1"/>
    <x v="1"/>
    <x v="1"/>
    <n v="1698.04"/>
    <n v="94393"/>
    <n v="6691.7"/>
    <n v="74.790000000000006"/>
    <n v="1.7989045797887553E-2"/>
  </r>
  <r>
    <s v="F122"/>
    <x v="4"/>
    <x v="2"/>
    <x v="2"/>
    <x v="0"/>
    <n v="4151.2"/>
    <n v="49620"/>
    <n v="2424.31"/>
    <n v="62.09"/>
    <n v="8.3659814590890766E-2"/>
  </r>
  <r>
    <s v="F174"/>
    <x v="3"/>
    <x v="3"/>
    <x v="2"/>
    <x v="1"/>
    <n v="4411.01"/>
    <n v="95962"/>
    <n v="524.72"/>
    <n v="49.55"/>
    <n v="4.5966215793751694E-2"/>
  </r>
  <r>
    <s v="F159"/>
    <x v="0"/>
    <x v="1"/>
    <x v="2"/>
    <x v="1"/>
    <n v="284.04000000000002"/>
    <n v="72224"/>
    <n v="1613.32"/>
    <n v="39.21"/>
    <n v="3.9327647319450602E-3"/>
  </r>
  <r>
    <s v="F150"/>
    <x v="4"/>
    <x v="0"/>
    <x v="0"/>
    <x v="2"/>
    <n v="3725.8493830000002"/>
    <n v="46863"/>
    <n v="6762.98"/>
    <n v="23.45"/>
    <n v="7.9505140153212556E-2"/>
  </r>
  <r>
    <s v="F136"/>
    <x v="1"/>
    <x v="1"/>
    <x v="2"/>
    <x v="2"/>
    <n v="324.83999999999997"/>
    <n v="43346"/>
    <n v="5559.12"/>
    <n v="39.4"/>
    <n v="7.4941171042310706E-3"/>
  </r>
  <r>
    <s v="F087"/>
    <x v="4"/>
    <x v="1"/>
    <x v="2"/>
    <x v="2"/>
    <n v="574.69000000000005"/>
    <n v="44164"/>
    <n v="3869.32"/>
    <n v="13.81"/>
    <n v="1.301263472511548E-2"/>
  </r>
  <r>
    <s v="F123"/>
    <x v="1"/>
    <x v="3"/>
    <x v="0"/>
    <x v="2"/>
    <n v="3034.3254080000002"/>
    <n v="58113"/>
    <n v="6382.12"/>
    <n v="56.66"/>
    <n v="5.2214227591072568E-2"/>
  </r>
  <r>
    <s v="F128"/>
    <x v="2"/>
    <x v="3"/>
    <x v="2"/>
    <x v="2"/>
    <n v="169.73"/>
    <n v="68216"/>
    <n v="9562.33"/>
    <n v="63.59"/>
    <n v="2.488125952855635E-3"/>
  </r>
  <r>
    <s v="F155"/>
    <x v="2"/>
    <x v="1"/>
    <x v="1"/>
    <x v="2"/>
    <n v="1309.6199999999999"/>
    <n v="75736"/>
    <n v="6287.07"/>
    <n v="63.11"/>
    <n v="1.7291908735607899E-2"/>
  </r>
  <r>
    <s v="F095"/>
    <x v="2"/>
    <x v="0"/>
    <x v="2"/>
    <x v="2"/>
    <n v="2624.96"/>
    <n v="49885"/>
    <n v="6845.46"/>
    <n v="58.4"/>
    <n v="5.2620226520998299E-2"/>
  </r>
  <r>
    <s v="F152"/>
    <x v="4"/>
    <x v="0"/>
    <x v="1"/>
    <x v="1"/>
    <n v="1753.99"/>
    <n v="90679"/>
    <n v="7266.82"/>
    <n v="23.3"/>
    <n v="1.9342846745111879E-2"/>
  </r>
  <r>
    <s v="F048"/>
    <x v="0"/>
    <x v="1"/>
    <x v="0"/>
    <x v="0"/>
    <n v="4506.350676"/>
    <n v="26338"/>
    <n v="578.73"/>
    <n v="72.52"/>
    <n v="0.17109691988761486"/>
  </r>
  <r>
    <s v="F195"/>
    <x v="1"/>
    <x v="1"/>
    <x v="0"/>
    <x v="2"/>
    <n v="1399.9373109999999"/>
    <n v="87012"/>
    <n v="7478.13"/>
    <n v="27.22"/>
    <n v="1.6089014285385922E-2"/>
  </r>
  <r>
    <s v="F054"/>
    <x v="3"/>
    <x v="2"/>
    <x v="0"/>
    <x v="1"/>
    <n v="3722.0575220000001"/>
    <n v="38869"/>
    <n v="5109.76"/>
    <n v="35.270000000000003"/>
    <n v="9.5759024466798737E-2"/>
  </r>
  <r>
    <s v="F172"/>
    <x v="4"/>
    <x v="2"/>
    <x v="0"/>
    <x v="2"/>
    <n v="4854.660578"/>
    <n v="98396"/>
    <n v="5174.07"/>
    <n v="63.38"/>
    <n v="4.9337987092971256E-2"/>
  </r>
  <r>
    <s v="F055"/>
    <x v="2"/>
    <x v="1"/>
    <x v="0"/>
    <x v="2"/>
    <n v="3995.7127209999999"/>
    <n v="41050"/>
    <n v="6025.84"/>
    <n v="53.53"/>
    <n v="9.7337703313032889E-2"/>
  </r>
  <r>
    <s v="F043"/>
    <x v="0"/>
    <x v="2"/>
    <x v="0"/>
    <x v="0"/>
    <n v="1233.9262349999999"/>
    <n v="14009"/>
    <n v="7528.98"/>
    <n v="77.62"/>
    <n v="8.8080964736954814E-2"/>
  </r>
  <r>
    <s v="F033"/>
    <x v="0"/>
    <x v="2"/>
    <x v="1"/>
    <x v="1"/>
    <n v="2802.78"/>
    <n v="47727"/>
    <n v="8907.33"/>
    <n v="47.4"/>
    <n v="5.8725249858570625E-2"/>
  </r>
  <r>
    <s v="F105"/>
    <x v="0"/>
    <x v="0"/>
    <x v="1"/>
    <x v="1"/>
    <n v="2330.0300000000002"/>
    <n v="27028"/>
    <n v="4617.92"/>
    <n v="57.62"/>
    <n v="8.6208006511765578E-2"/>
  </r>
  <r>
    <s v="F165"/>
    <x v="4"/>
    <x v="0"/>
    <x v="2"/>
    <x v="2"/>
    <n v="4895.2700000000004"/>
    <n v="79330"/>
    <n v="6075.23"/>
    <n v="83.97"/>
    <n v="6.1707676793142575E-2"/>
  </r>
  <r>
    <s v="F175"/>
    <x v="3"/>
    <x v="1"/>
    <x v="1"/>
    <x v="2"/>
    <n v="804.58"/>
    <n v="94949"/>
    <n v="9714.76"/>
    <n v="64.900000000000006"/>
    <n v="8.4738122571064462E-3"/>
  </r>
  <r>
    <s v="F024"/>
    <x v="4"/>
    <x v="1"/>
    <x v="0"/>
    <x v="0"/>
    <n v="5233.9546099999998"/>
    <n v="95718"/>
    <n v="2443.12"/>
    <n v="35.49"/>
    <n v="5.4680985916964416E-2"/>
  </r>
  <r>
    <s v="F200"/>
    <x v="1"/>
    <x v="2"/>
    <x v="1"/>
    <x v="0"/>
    <n v="2997.09"/>
    <n v="21081"/>
    <n v="9001.77"/>
    <n v="49.27"/>
    <n v="0.14217020065461791"/>
  </r>
  <r>
    <s v="F157"/>
    <x v="0"/>
    <x v="0"/>
    <x v="0"/>
    <x v="0"/>
    <n v="964.92144989999997"/>
    <n v="15788"/>
    <n v="1824.14"/>
    <n v="52.78"/>
    <n v="6.1117396117304282E-2"/>
  </r>
  <r>
    <s v="F011"/>
    <x v="4"/>
    <x v="0"/>
    <x v="0"/>
    <x v="2"/>
    <n v="3145.31"/>
    <n v="72846"/>
    <n v="5169.53"/>
    <n v="76.709999999999994"/>
    <n v="4.3177525190127117E-2"/>
  </r>
  <r>
    <s v="F120"/>
    <x v="4"/>
    <x v="1"/>
    <x v="2"/>
    <x v="1"/>
    <n v="2135.2800000000002"/>
    <n v="57215"/>
    <n v="3227.1"/>
    <n v="32.909999999999997"/>
    <n v="3.7320283142532558E-2"/>
  </r>
  <r>
    <s v="F143"/>
    <x v="1"/>
    <x v="3"/>
    <x v="0"/>
    <x v="2"/>
    <n v="4359.5105709999998"/>
    <n v="29406"/>
    <n v="5281.69"/>
    <n v="27.01"/>
    <n v="0.14825241688770999"/>
  </r>
  <r>
    <s v="F127"/>
    <x v="3"/>
    <x v="2"/>
    <x v="1"/>
    <x v="1"/>
    <n v="4094.25"/>
    <n v="77400"/>
    <n v="7504.8"/>
    <n v="68.819999999999993"/>
    <n v="5.2897286821705428E-2"/>
  </r>
  <r>
    <s v="F043"/>
    <x v="0"/>
    <x v="3"/>
    <x v="0"/>
    <x v="1"/>
    <n v="1200.6229960000001"/>
    <n v="14009"/>
    <n v="7528.98"/>
    <n v="77.62"/>
    <n v="8.5703690199157689E-2"/>
  </r>
  <r>
    <s v="F117"/>
    <x v="2"/>
    <x v="2"/>
    <x v="0"/>
    <x v="2"/>
    <n v="2599.9448320000001"/>
    <n v="52594"/>
    <n v="8715.0400000000009"/>
    <n v="90.54"/>
    <n v="4.9434247860972738E-2"/>
  </r>
  <r>
    <s v="F187"/>
    <x v="2"/>
    <x v="3"/>
    <x v="1"/>
    <x v="0"/>
    <n v="3672.52"/>
    <n v="77317"/>
    <n v="4862.95"/>
    <n v="89.78"/>
    <n v="4.7499514983768122E-2"/>
  </r>
  <r>
    <s v="F029"/>
    <x v="4"/>
    <x v="2"/>
    <x v="2"/>
    <x v="2"/>
    <n v="787.76"/>
    <n v="12262"/>
    <n v="7106.18"/>
    <n v="45.69"/>
    <n v="6.4244005871799056E-2"/>
  </r>
  <r>
    <s v="F195"/>
    <x v="1"/>
    <x v="0"/>
    <x v="1"/>
    <x v="0"/>
    <n v="4418.3"/>
    <n v="87012"/>
    <n v="7478.13"/>
    <n v="27.22"/>
    <n v="5.0778053601802049E-2"/>
  </r>
  <r>
    <s v="F164"/>
    <x v="0"/>
    <x v="2"/>
    <x v="2"/>
    <x v="2"/>
    <n v="1918.45"/>
    <n v="60710"/>
    <n v="2726.26"/>
    <n v="83.02"/>
    <n v="3.1600230604513259E-2"/>
  </r>
  <r>
    <s v="F094"/>
    <x v="3"/>
    <x v="2"/>
    <x v="2"/>
    <x v="0"/>
    <n v="4411.78"/>
    <n v="40553"/>
    <n v="4875.2299999999996"/>
    <n v="23.33"/>
    <n v="0.10879047172835547"/>
  </r>
  <r>
    <s v="F154"/>
    <x v="0"/>
    <x v="2"/>
    <x v="0"/>
    <x v="0"/>
    <n v="755.83986930000003"/>
    <n v="17097"/>
    <n v="9061.7800000000007"/>
    <n v="95.92"/>
    <n v="4.4208917897876822E-2"/>
  </r>
  <r>
    <s v="F109"/>
    <x v="0"/>
    <x v="1"/>
    <x v="0"/>
    <x v="0"/>
    <n v="868.5117434"/>
    <n v="34318"/>
    <n v="675.67"/>
    <n v="41.05"/>
    <n v="2.5307761040853197E-2"/>
  </r>
  <r>
    <s v="F079"/>
    <x v="2"/>
    <x v="3"/>
    <x v="1"/>
    <x v="0"/>
    <n v="3296.99"/>
    <n v="17311"/>
    <n v="2257.38"/>
    <n v="91.07"/>
    <n v="0.19045635722950724"/>
  </r>
  <r>
    <s v="F108"/>
    <x v="3"/>
    <x v="3"/>
    <x v="2"/>
    <x v="2"/>
    <n v="4240.42"/>
    <n v="39050"/>
    <n v="5885.73"/>
    <n v="93.04"/>
    <n v="0.10858950064020487"/>
  </r>
  <r>
    <s v="F020"/>
    <x v="2"/>
    <x v="1"/>
    <x v="0"/>
    <x v="0"/>
    <n v="1409.821359"/>
    <n v="95165"/>
    <n v="8562.76"/>
    <n v="37.54"/>
    <n v="1.4814494393947355E-2"/>
  </r>
  <r>
    <s v="F174"/>
    <x v="3"/>
    <x v="3"/>
    <x v="1"/>
    <x v="0"/>
    <n v="3970.76"/>
    <n v="95962"/>
    <n v="524.72"/>
    <n v="49.55"/>
    <n v="4.1378462307996917E-2"/>
  </r>
  <r>
    <s v="F031"/>
    <x v="3"/>
    <x v="0"/>
    <x v="2"/>
    <x v="1"/>
    <n v="549.77"/>
    <n v="86263"/>
    <n v="3213.71"/>
    <n v="98.39"/>
    <n v="6.3731843316369701E-3"/>
  </r>
  <r>
    <s v="F045"/>
    <x v="0"/>
    <x v="1"/>
    <x v="1"/>
    <x v="0"/>
    <n v="104.29"/>
    <n v="34725"/>
    <n v="3269.89"/>
    <n v="78.86"/>
    <n v="3.0033117350611953E-3"/>
  </r>
  <r>
    <s v="F189"/>
    <x v="0"/>
    <x v="1"/>
    <x v="1"/>
    <x v="0"/>
    <n v="1468.86"/>
    <n v="67820"/>
    <n v="8177.95"/>
    <n v="40.69"/>
    <n v="2.1658212916543792E-2"/>
  </r>
  <r>
    <s v="F177"/>
    <x v="3"/>
    <x v="1"/>
    <x v="1"/>
    <x v="1"/>
    <n v="2876.13"/>
    <n v="87482"/>
    <n v="2231.7399999999998"/>
    <n v="45.43"/>
    <n v="3.2876820374477034E-2"/>
  </r>
  <r>
    <s v="F195"/>
    <x v="1"/>
    <x v="1"/>
    <x v="2"/>
    <x v="2"/>
    <n v="1825.34"/>
    <n v="87012"/>
    <n v="7478.13"/>
    <n v="27.22"/>
    <n v="2.0978026019399621E-2"/>
  </r>
  <r>
    <s v="F148"/>
    <x v="1"/>
    <x v="2"/>
    <x v="1"/>
    <x v="1"/>
    <n v="3246.39"/>
    <n v="47491"/>
    <n v="5781.05"/>
    <n v="92.18"/>
    <n v="6.8358004674569914E-2"/>
  </r>
  <r>
    <s v="F060"/>
    <x v="4"/>
    <x v="0"/>
    <x v="2"/>
    <x v="0"/>
    <n v="1846.98"/>
    <n v="41539"/>
    <n v="982.8"/>
    <n v="79.7"/>
    <n v="4.4463756951298783E-2"/>
  </r>
  <r>
    <s v="F047"/>
    <x v="0"/>
    <x v="2"/>
    <x v="1"/>
    <x v="2"/>
    <n v="4193.53"/>
    <n v="39568"/>
    <n v="3580.54"/>
    <n v="78.08"/>
    <n v="0.10598286494136676"/>
  </r>
  <r>
    <s v="F081"/>
    <x v="1"/>
    <x v="3"/>
    <x v="2"/>
    <x v="0"/>
    <n v="1402.57"/>
    <n v="39560"/>
    <n v="8380.77"/>
    <n v="94.01"/>
    <n v="3.5454246713852375E-2"/>
  </r>
  <r>
    <s v="F126"/>
    <x v="2"/>
    <x v="0"/>
    <x v="0"/>
    <x v="0"/>
    <n v="2860.1475580000001"/>
    <n v="75508"/>
    <n v="6856.22"/>
    <n v="18.2"/>
    <n v="3.7878735471738097E-2"/>
  </r>
  <r>
    <s v="F103"/>
    <x v="4"/>
    <x v="1"/>
    <x v="2"/>
    <x v="1"/>
    <n v="1019.13"/>
    <n v="22309"/>
    <n v="3656.29"/>
    <n v="75.25"/>
    <n v="4.5682459993724507E-2"/>
  </r>
  <r>
    <s v="F075"/>
    <x v="3"/>
    <x v="0"/>
    <x v="2"/>
    <x v="1"/>
    <n v="3886.16"/>
    <n v="60513"/>
    <n v="4578.16"/>
    <n v="65.53"/>
    <n v="6.4220250194173156E-2"/>
  </r>
  <r>
    <s v="F053"/>
    <x v="0"/>
    <x v="3"/>
    <x v="0"/>
    <x v="1"/>
    <n v="2913.9286999999999"/>
    <n v="56392"/>
    <n v="5703.76"/>
    <n v="23.04"/>
    <n v="5.1672731947794009E-2"/>
  </r>
  <r>
    <s v="F194"/>
    <x v="3"/>
    <x v="0"/>
    <x v="1"/>
    <x v="0"/>
    <n v="4929.24"/>
    <n v="42382"/>
    <n v="5116.6899999999996"/>
    <n v="80.42"/>
    <n v="0.11630503515643432"/>
  </r>
  <r>
    <s v="F121"/>
    <x v="3"/>
    <x v="1"/>
    <x v="1"/>
    <x v="0"/>
    <n v="197.22"/>
    <n v="11952"/>
    <n v="4637.74"/>
    <n v="63.78"/>
    <n v="1.6501004016064257E-2"/>
  </r>
  <r>
    <s v="F117"/>
    <x v="2"/>
    <x v="3"/>
    <x v="2"/>
    <x v="0"/>
    <n v="3407.21"/>
    <n v="52594"/>
    <n v="8715.0400000000009"/>
    <n v="90.54"/>
    <n v="6.4783245237099288E-2"/>
  </r>
  <r>
    <s v="F164"/>
    <x v="0"/>
    <x v="1"/>
    <x v="2"/>
    <x v="2"/>
    <n v="538.5"/>
    <n v="60710"/>
    <n v="2726.26"/>
    <n v="83.02"/>
    <n v="8.870037885027179E-3"/>
  </r>
  <r>
    <s v="F046"/>
    <x v="4"/>
    <x v="1"/>
    <x v="2"/>
    <x v="0"/>
    <n v="4976.37"/>
    <n v="87337"/>
    <n v="3603.06"/>
    <n v="67.13"/>
    <n v="5.6978943632137583E-2"/>
  </r>
  <r>
    <s v="F167"/>
    <x v="2"/>
    <x v="0"/>
    <x v="1"/>
    <x v="2"/>
    <n v="1334.36"/>
    <n v="94128"/>
    <n v="8117.82"/>
    <n v="73.83"/>
    <n v="1.4176015638279789E-2"/>
  </r>
  <r>
    <s v="F185"/>
    <x v="0"/>
    <x v="2"/>
    <x v="1"/>
    <x v="0"/>
    <n v="2641.31"/>
    <n v="68820"/>
    <n v="9612.25"/>
    <n v="83.51"/>
    <n v="3.837997675094449E-2"/>
  </r>
  <r>
    <s v="F029"/>
    <x v="4"/>
    <x v="1"/>
    <x v="0"/>
    <x v="2"/>
    <n v="3466.627704"/>
    <n v="12262"/>
    <n v="7106.18"/>
    <n v="45.69"/>
    <n v="0.28271307323438266"/>
  </r>
  <r>
    <s v="F192"/>
    <x v="4"/>
    <x v="0"/>
    <x v="1"/>
    <x v="2"/>
    <n v="4682.5600000000004"/>
    <n v="21914"/>
    <n v="5897.27"/>
    <n v="49.41"/>
    <n v="0.21367892671351649"/>
  </r>
  <r>
    <s v="F067"/>
    <x v="1"/>
    <x v="1"/>
    <x v="1"/>
    <x v="2"/>
    <n v="272.64"/>
    <n v="28400"/>
    <n v="3056.67"/>
    <n v="52.68"/>
    <n v="9.5999999999999992E-3"/>
  </r>
  <r>
    <s v="F128"/>
    <x v="2"/>
    <x v="2"/>
    <x v="1"/>
    <x v="2"/>
    <n v="4584.96"/>
    <n v="68216"/>
    <n v="9562.33"/>
    <n v="63.59"/>
    <n v="6.7212384191392055E-2"/>
  </r>
  <r>
    <s v="F004"/>
    <x v="0"/>
    <x v="2"/>
    <x v="1"/>
    <x v="1"/>
    <n v="3965.06"/>
    <n v="83923"/>
    <n v="8768.7999999999993"/>
    <n v="65.290000000000006"/>
    <n v="4.7246404442167225E-2"/>
  </r>
  <r>
    <s v="F097"/>
    <x v="1"/>
    <x v="0"/>
    <x v="0"/>
    <x v="2"/>
    <n v="1855.0036909999999"/>
    <n v="69100"/>
    <n v="9356.02"/>
    <n v="16.5"/>
    <n v="2.684520536903039E-2"/>
  </r>
  <r>
    <s v="F026"/>
    <x v="2"/>
    <x v="3"/>
    <x v="0"/>
    <x v="0"/>
    <n v="1170.4913859999999"/>
    <n v="32246"/>
    <n v="7903.93"/>
    <n v="42.12"/>
    <n v="3.6298808720461449E-2"/>
  </r>
  <r>
    <s v="F037"/>
    <x v="3"/>
    <x v="2"/>
    <x v="1"/>
    <x v="0"/>
    <n v="2881.56"/>
    <n v="97337"/>
    <n v="3362.06"/>
    <n v="55.46"/>
    <n v="2.9603953275732762E-2"/>
  </r>
  <r>
    <s v="F086"/>
    <x v="4"/>
    <x v="3"/>
    <x v="1"/>
    <x v="2"/>
    <n v="4820.21"/>
    <n v="55974"/>
    <n v="7542.28"/>
    <n v="72.430000000000007"/>
    <n v="8.6115160610283348E-2"/>
  </r>
  <r>
    <s v="F174"/>
    <x v="3"/>
    <x v="0"/>
    <x v="1"/>
    <x v="1"/>
    <n v="2635.84"/>
    <n v="95962"/>
    <n v="524.72"/>
    <n v="49.55"/>
    <n v="2.7467539234280237E-2"/>
  </r>
  <r>
    <s v="F153"/>
    <x v="3"/>
    <x v="3"/>
    <x v="2"/>
    <x v="1"/>
    <n v="3933.16"/>
    <n v="95306"/>
    <n v="9037.76"/>
    <n v="13.35"/>
    <n v="4.1268755377415901E-2"/>
  </r>
  <r>
    <s v="F101"/>
    <x v="3"/>
    <x v="2"/>
    <x v="1"/>
    <x v="2"/>
    <n v="425.14"/>
    <n v="65719"/>
    <n v="9362.41"/>
    <n v="86.55"/>
    <n v="6.4690576545595639E-3"/>
  </r>
  <r>
    <s v="F070"/>
    <x v="2"/>
    <x v="2"/>
    <x v="2"/>
    <x v="2"/>
    <n v="3494.61"/>
    <n v="15128"/>
    <n v="8847.09"/>
    <n v="5.25"/>
    <n v="0.23100277630883131"/>
  </r>
  <r>
    <s v="F160"/>
    <x v="4"/>
    <x v="2"/>
    <x v="0"/>
    <x v="0"/>
    <n v="3199.7601610000002"/>
    <n v="36423"/>
    <n v="589.96"/>
    <n v="30.9"/>
    <n v="8.7849989319935207E-2"/>
  </r>
  <r>
    <s v="F043"/>
    <x v="0"/>
    <x v="0"/>
    <x v="1"/>
    <x v="1"/>
    <n v="290.08999999999997"/>
    <n v="14009"/>
    <n v="7528.98"/>
    <n v="77.62"/>
    <n v="2.0707402384181596E-2"/>
  </r>
  <r>
    <s v="F109"/>
    <x v="0"/>
    <x v="2"/>
    <x v="2"/>
    <x v="1"/>
    <n v="1123.56"/>
    <n v="34318"/>
    <n v="675.67"/>
    <n v="41.05"/>
    <n v="3.2739670143947783E-2"/>
  </r>
  <r>
    <s v="F080"/>
    <x v="3"/>
    <x v="0"/>
    <x v="2"/>
    <x v="0"/>
    <n v="1109.47"/>
    <n v="10250"/>
    <n v="4717"/>
    <n v="16.600000000000001"/>
    <n v="0.1082409756097561"/>
  </r>
  <r>
    <s v="F002"/>
    <x v="4"/>
    <x v="3"/>
    <x v="0"/>
    <x v="0"/>
    <n v="1044.9244289999999"/>
    <n v="53661"/>
    <n v="6965.81"/>
    <n v="69.400000000000006"/>
    <n v="1.9472697657516632E-2"/>
  </r>
  <r>
    <s v="F198"/>
    <x v="3"/>
    <x v="1"/>
    <x v="0"/>
    <x v="1"/>
    <n v="5387.6739100000004"/>
    <n v="40577"/>
    <n v="4280.82"/>
    <n v="79.88"/>
    <n v="0.13277654607289846"/>
  </r>
  <r>
    <s v="F125"/>
    <x v="1"/>
    <x v="1"/>
    <x v="0"/>
    <x v="0"/>
    <n v="3244.167426"/>
    <n v="82332"/>
    <n v="7134.86"/>
    <n v="22.44"/>
    <n v="3.9403481343827429E-2"/>
  </r>
  <r>
    <s v="F053"/>
    <x v="0"/>
    <x v="3"/>
    <x v="1"/>
    <x v="1"/>
    <n v="3954.01"/>
    <n v="56392"/>
    <n v="5703.76"/>
    <n v="23.04"/>
    <n v="7.0116505887359917E-2"/>
  </r>
  <r>
    <s v="F168"/>
    <x v="2"/>
    <x v="3"/>
    <x v="1"/>
    <x v="2"/>
    <n v="1475.99"/>
    <n v="24095"/>
    <n v="3167.52"/>
    <n v="31.02"/>
    <n v="6.1257107283668809E-2"/>
  </r>
  <r>
    <s v="F092"/>
    <x v="4"/>
    <x v="3"/>
    <x v="0"/>
    <x v="2"/>
    <n v="4669.976944"/>
    <n v="79495"/>
    <n v="7157.48"/>
    <n v="26.84"/>
    <n v="5.8745543040442792E-2"/>
  </r>
  <r>
    <s v="F114"/>
    <x v="1"/>
    <x v="1"/>
    <x v="0"/>
    <x v="1"/>
    <n v="502.5731907"/>
    <n v="57353"/>
    <n v="2274.71"/>
    <n v="65.34"/>
    <n v="8.7628056195839799E-3"/>
  </r>
  <r>
    <s v="F109"/>
    <x v="0"/>
    <x v="0"/>
    <x v="1"/>
    <x v="0"/>
    <n v="2663.13"/>
    <n v="34318"/>
    <n v="675.67"/>
    <n v="41.05"/>
    <n v="7.7601550206888512E-2"/>
  </r>
  <r>
    <s v="F075"/>
    <x v="3"/>
    <x v="1"/>
    <x v="1"/>
    <x v="1"/>
    <n v="3327.22"/>
    <n v="60513"/>
    <n v="4578.16"/>
    <n v="65.53"/>
    <n v="5.4983557252160691E-2"/>
  </r>
  <r>
    <s v="F123"/>
    <x v="1"/>
    <x v="2"/>
    <x v="1"/>
    <x v="0"/>
    <n v="441.04"/>
    <n v="58113"/>
    <n v="6382.12"/>
    <n v="56.66"/>
    <n v="7.589351780152462E-3"/>
  </r>
  <r>
    <s v="F104"/>
    <x v="4"/>
    <x v="1"/>
    <x v="0"/>
    <x v="0"/>
    <n v="1466.4726929999999"/>
    <n v="84851"/>
    <n v="560.75"/>
    <n v="80.23"/>
    <n v="1.7282915852494373E-2"/>
  </r>
  <r>
    <s v="F027"/>
    <x v="4"/>
    <x v="3"/>
    <x v="0"/>
    <x v="0"/>
    <n v="5076.0106109999997"/>
    <n v="51800"/>
    <n v="3042.95"/>
    <n v="71.87"/>
    <n v="9.7992482837837833E-2"/>
  </r>
  <r>
    <s v="F005"/>
    <x v="4"/>
    <x v="3"/>
    <x v="2"/>
    <x v="0"/>
    <n v="3971.86"/>
    <n v="61743"/>
    <n v="7426.75"/>
    <n v="26.39"/>
    <n v="6.4328911779472975E-2"/>
  </r>
  <r>
    <s v="F003"/>
    <x v="3"/>
    <x v="2"/>
    <x v="2"/>
    <x v="0"/>
    <n v="3120.88"/>
    <n v="27681"/>
    <n v="928.26"/>
    <n v="44.97"/>
    <n v="0.11274448177450237"/>
  </r>
  <r>
    <s v="F153"/>
    <x v="3"/>
    <x v="2"/>
    <x v="1"/>
    <x v="1"/>
    <n v="3407.69"/>
    <n v="95306"/>
    <n v="9037.76"/>
    <n v="13.35"/>
    <n v="3.5755251505676454E-2"/>
  </r>
  <r>
    <s v="F054"/>
    <x v="3"/>
    <x v="0"/>
    <x v="0"/>
    <x v="0"/>
    <n v="4867.8938900000003"/>
    <n v="38869"/>
    <n v="5109.76"/>
    <n v="35.270000000000003"/>
    <n v="0.12523846484344853"/>
  </r>
  <r>
    <s v="F012"/>
    <x v="3"/>
    <x v="1"/>
    <x v="1"/>
    <x v="1"/>
    <n v="1080.8399999999999"/>
    <n v="43747"/>
    <n v="3453.48"/>
    <n v="98.78"/>
    <n v="2.470660845315107E-2"/>
  </r>
  <r>
    <s v="F170"/>
    <x v="2"/>
    <x v="2"/>
    <x v="0"/>
    <x v="2"/>
    <n v="1196.416798"/>
    <n v="24502"/>
    <n v="7466.86"/>
    <n v="88.83"/>
    <n v="4.8829352624275568E-2"/>
  </r>
  <r>
    <s v="F111"/>
    <x v="3"/>
    <x v="3"/>
    <x v="1"/>
    <x v="1"/>
    <n v="2634.83"/>
    <n v="10907"/>
    <n v="4748.66"/>
    <n v="39.36"/>
    <n v="0.24157238470706885"/>
  </r>
  <r>
    <s v="F098"/>
    <x v="4"/>
    <x v="2"/>
    <x v="0"/>
    <x v="0"/>
    <n v="3396.5836939999999"/>
    <n v="28704"/>
    <n v="6009.24"/>
    <n v="39.31"/>
    <n v="0.11833137172519509"/>
  </r>
  <r>
    <s v="F110"/>
    <x v="4"/>
    <x v="1"/>
    <x v="1"/>
    <x v="1"/>
    <n v="4067.32"/>
    <n v="85868"/>
    <n v="907.72"/>
    <n v="90.36"/>
    <n v="4.7367121628546144E-2"/>
  </r>
  <r>
    <s v="F043"/>
    <x v="0"/>
    <x v="1"/>
    <x v="0"/>
    <x v="0"/>
    <n v="1241.4128969999999"/>
    <n v="14009"/>
    <n v="7528.98"/>
    <n v="77.62"/>
    <n v="8.8615382753943886E-2"/>
  </r>
  <r>
    <s v="F175"/>
    <x v="3"/>
    <x v="2"/>
    <x v="1"/>
    <x v="2"/>
    <n v="3737.92"/>
    <n v="94949"/>
    <n v="9714.76"/>
    <n v="64.900000000000006"/>
    <n v="3.9367660533549592E-2"/>
  </r>
  <r>
    <s v="F181"/>
    <x v="3"/>
    <x v="3"/>
    <x v="0"/>
    <x v="2"/>
    <n v="443.26562319999999"/>
    <n v="42485"/>
    <n v="4755.75"/>
    <n v="10.19"/>
    <n v="1.0433461767682711E-2"/>
  </r>
  <r>
    <s v="F004"/>
    <x v="0"/>
    <x v="1"/>
    <x v="1"/>
    <x v="2"/>
    <n v="179.8"/>
    <n v="83923"/>
    <n v="8768.7999999999993"/>
    <n v="65.290000000000006"/>
    <n v="2.1424400938955951E-3"/>
  </r>
  <r>
    <s v="F039"/>
    <x v="2"/>
    <x v="1"/>
    <x v="0"/>
    <x v="1"/>
    <n v="253.07943309999999"/>
    <n v="40503"/>
    <n v="7447.46"/>
    <n v="98.27"/>
    <n v="6.2484120460212823E-3"/>
  </r>
  <r>
    <s v="F074"/>
    <x v="1"/>
    <x v="0"/>
    <x v="2"/>
    <x v="2"/>
    <n v="584.44000000000005"/>
    <n v="25148"/>
    <n v="9604.5499999999993"/>
    <n v="63.47"/>
    <n v="2.3240019087004932E-2"/>
  </r>
  <r>
    <s v="F063"/>
    <x v="4"/>
    <x v="0"/>
    <x v="0"/>
    <x v="0"/>
    <n v="858.27154150000001"/>
    <n v="45519"/>
    <n v="7987.69"/>
    <n v="10.86"/>
    <n v="1.8855237186669302E-2"/>
  </r>
  <r>
    <s v="F104"/>
    <x v="4"/>
    <x v="1"/>
    <x v="2"/>
    <x v="1"/>
    <n v="220.63"/>
    <n v="84851"/>
    <n v="560.75"/>
    <n v="80.23"/>
    <n v="2.6002050653498483E-3"/>
  </r>
  <r>
    <s v="F019"/>
    <x v="0"/>
    <x v="1"/>
    <x v="1"/>
    <x v="2"/>
    <n v="4665.38"/>
    <n v="68018"/>
    <n v="3523.4"/>
    <n v="92.26"/>
    <n v="6.8590373136522692E-2"/>
  </r>
  <r>
    <s v="F189"/>
    <x v="0"/>
    <x v="1"/>
    <x v="1"/>
    <x v="1"/>
    <n v="3677.45"/>
    <n v="67820"/>
    <n v="8177.95"/>
    <n v="40.69"/>
    <n v="5.4223680330286052E-2"/>
  </r>
  <r>
    <s v="F107"/>
    <x v="2"/>
    <x v="1"/>
    <x v="2"/>
    <x v="0"/>
    <n v="3434.59"/>
    <n v="43512"/>
    <n v="5352.18"/>
    <n v="6.17"/>
    <n v="7.8934316970031254E-2"/>
  </r>
  <r>
    <s v="F166"/>
    <x v="3"/>
    <x v="3"/>
    <x v="0"/>
    <x v="2"/>
    <n v="1175.5930510000001"/>
    <n v="96474"/>
    <n v="7574.39"/>
    <n v="95.54"/>
    <n v="1.2185594574704067E-2"/>
  </r>
  <r>
    <s v="F094"/>
    <x v="3"/>
    <x v="3"/>
    <x v="0"/>
    <x v="1"/>
    <n v="5155.3973189999997"/>
    <n v="40553"/>
    <n v="4875.2299999999996"/>
    <n v="23.33"/>
    <n v="0.12712739671540946"/>
  </r>
  <r>
    <s v="F169"/>
    <x v="2"/>
    <x v="3"/>
    <x v="1"/>
    <x v="0"/>
    <n v="4426.07"/>
    <n v="44994"/>
    <n v="7305.59"/>
    <n v="91.53"/>
    <n v="9.8370227141396621E-2"/>
  </r>
  <r>
    <s v="F090"/>
    <x v="2"/>
    <x v="0"/>
    <x v="1"/>
    <x v="2"/>
    <n v="4487.54"/>
    <n v="29895"/>
    <n v="1631.08"/>
    <n v="39.93"/>
    <n v="0.15011005184813514"/>
  </r>
  <r>
    <s v="F040"/>
    <x v="0"/>
    <x v="1"/>
    <x v="2"/>
    <x v="1"/>
    <n v="844.07"/>
    <n v="52357"/>
    <n v="5643.16"/>
    <n v="37.130000000000003"/>
    <n v="1.6121435529155605E-2"/>
  </r>
  <r>
    <s v="F132"/>
    <x v="4"/>
    <x v="3"/>
    <x v="2"/>
    <x v="2"/>
    <n v="808.96"/>
    <n v="76544"/>
    <n v="8632.77"/>
    <n v="12.87"/>
    <n v="1.05685618729097E-2"/>
  </r>
  <r>
    <s v="F042"/>
    <x v="1"/>
    <x v="2"/>
    <x v="0"/>
    <x v="0"/>
    <n v="4896.916663"/>
    <n v="58111"/>
    <n v="4610.8999999999996"/>
    <n v="21.53"/>
    <n v="8.4268325497754301E-2"/>
  </r>
  <r>
    <s v="F149"/>
    <x v="1"/>
    <x v="0"/>
    <x v="0"/>
    <x v="0"/>
    <n v="191.17"/>
    <n v="61207"/>
    <n v="6922.33"/>
    <n v="9.1999999999999993"/>
    <n v="3.1233355661934091E-3"/>
  </r>
  <r>
    <s v="F062"/>
    <x v="2"/>
    <x v="3"/>
    <x v="1"/>
    <x v="0"/>
    <n v="1697.2"/>
    <n v="19265"/>
    <n v="776.6"/>
    <n v="39.75"/>
    <n v="8.809758629639243E-2"/>
  </r>
  <r>
    <s v="F182"/>
    <x v="3"/>
    <x v="0"/>
    <x v="0"/>
    <x v="2"/>
    <n v="4105.0089230000003"/>
    <n v="41027"/>
    <n v="7285.85"/>
    <n v="59.87"/>
    <n v="0.10005627813391182"/>
  </r>
  <r>
    <s v="F126"/>
    <x v="2"/>
    <x v="1"/>
    <x v="2"/>
    <x v="0"/>
    <n v="4095.94"/>
    <n v="75508"/>
    <n v="6856.22"/>
    <n v="18.2"/>
    <n v="5.424511310059861E-2"/>
  </r>
  <r>
    <s v="F127"/>
    <x v="3"/>
    <x v="0"/>
    <x v="1"/>
    <x v="2"/>
    <n v="1094.42"/>
    <n v="77400"/>
    <n v="7504.8"/>
    <n v="68.819999999999993"/>
    <n v="1.4139793281653748E-2"/>
  </r>
  <r>
    <s v="F112"/>
    <x v="4"/>
    <x v="3"/>
    <x v="0"/>
    <x v="1"/>
    <n v="2501.4700050000001"/>
    <n v="88188"/>
    <n v="815.86"/>
    <n v="57.53"/>
    <n v="2.8365197135664717E-2"/>
  </r>
  <r>
    <s v="F114"/>
    <x v="1"/>
    <x v="3"/>
    <x v="1"/>
    <x v="2"/>
    <n v="1137.71"/>
    <n v="57353"/>
    <n v="2274.71"/>
    <n v="65.34"/>
    <n v="1.9836974526179975E-2"/>
  </r>
  <r>
    <s v="F152"/>
    <x v="4"/>
    <x v="2"/>
    <x v="2"/>
    <x v="1"/>
    <n v="2685.34"/>
    <n v="90679"/>
    <n v="7266.82"/>
    <n v="23.3"/>
    <n v="2.9613692255097655E-2"/>
  </r>
  <r>
    <s v="F066"/>
    <x v="4"/>
    <x v="1"/>
    <x v="1"/>
    <x v="2"/>
    <n v="3561.14"/>
    <n v="13543"/>
    <n v="7854.96"/>
    <n v="85.57"/>
    <n v="0.26295060178690099"/>
  </r>
  <r>
    <s v="F173"/>
    <x v="1"/>
    <x v="2"/>
    <x v="0"/>
    <x v="0"/>
    <n v="135.56644890000001"/>
    <n v="38181"/>
    <n v="691.84"/>
    <n v="33.53"/>
    <n v="3.5506259369843642E-3"/>
  </r>
  <r>
    <s v="F129"/>
    <x v="1"/>
    <x v="0"/>
    <x v="2"/>
    <x v="1"/>
    <n v="651.62"/>
    <n v="58439"/>
    <n v="5817.93"/>
    <n v="63.77"/>
    <n v="1.1150430363284792E-2"/>
  </r>
  <r>
    <s v="F003"/>
    <x v="3"/>
    <x v="3"/>
    <x v="0"/>
    <x v="0"/>
    <n v="243.88"/>
    <n v="27681"/>
    <n v="928.26"/>
    <n v="44.97"/>
    <n v="8.8103753477114261E-3"/>
  </r>
  <r>
    <s v="F013"/>
    <x v="2"/>
    <x v="3"/>
    <x v="2"/>
    <x v="2"/>
    <n v="2204.12"/>
    <n v="72813"/>
    <n v="8818.16"/>
    <n v="54.12"/>
    <n v="3.0270968096356418E-2"/>
  </r>
  <r>
    <s v="F186"/>
    <x v="4"/>
    <x v="3"/>
    <x v="0"/>
    <x v="2"/>
    <n v="4031.3117550000002"/>
    <n v="61942"/>
    <n v="4891.32"/>
    <n v="91.59"/>
    <n v="6.5082040537922575E-2"/>
  </r>
  <r>
    <s v="F017"/>
    <x v="2"/>
    <x v="0"/>
    <x v="1"/>
    <x v="2"/>
    <n v="1311.25"/>
    <n v="71747"/>
    <n v="9838.66"/>
    <n v="7.25"/>
    <n v="1.8276025478417217E-2"/>
  </r>
  <r>
    <s v="F036"/>
    <x v="3"/>
    <x v="0"/>
    <x v="0"/>
    <x v="0"/>
    <n v="496.00451520000001"/>
    <n v="53942"/>
    <n v="5904.31"/>
    <n v="32.78"/>
    <n v="9.195145066923734E-3"/>
  </r>
  <r>
    <s v="F070"/>
    <x v="2"/>
    <x v="0"/>
    <x v="1"/>
    <x v="0"/>
    <n v="3182.6"/>
    <n v="15128"/>
    <n v="8847.09"/>
    <n v="5.25"/>
    <n v="0.2103781068217874"/>
  </r>
  <r>
    <s v="F200"/>
    <x v="1"/>
    <x v="2"/>
    <x v="1"/>
    <x v="1"/>
    <n v="1935.31"/>
    <n v="21081"/>
    <n v="9001.77"/>
    <n v="49.27"/>
    <n v="9.1803519757127264E-2"/>
  </r>
  <r>
    <s v="F054"/>
    <x v="3"/>
    <x v="3"/>
    <x v="0"/>
    <x v="0"/>
    <n v="4354.07557"/>
    <n v="38869"/>
    <n v="5109.76"/>
    <n v="35.270000000000003"/>
    <n v="0.11201923306491034"/>
  </r>
  <r>
    <s v="F006"/>
    <x v="4"/>
    <x v="1"/>
    <x v="2"/>
    <x v="1"/>
    <n v="4545.6899999999996"/>
    <n v="11426"/>
    <n v="4439.5600000000004"/>
    <n v="52.71"/>
    <n v="0.39783738841239275"/>
  </r>
  <r>
    <s v="F007"/>
    <x v="4"/>
    <x v="1"/>
    <x v="2"/>
    <x v="0"/>
    <n v="1019.91"/>
    <n v="35506"/>
    <n v="1892.04"/>
    <n v="61.53"/>
    <n v="2.8725004224638088E-2"/>
  </r>
  <r>
    <s v="F117"/>
    <x v="2"/>
    <x v="3"/>
    <x v="0"/>
    <x v="2"/>
    <n v="3313.0768830000002"/>
    <n v="52594"/>
    <n v="8715.0400000000009"/>
    <n v="90.54"/>
    <n v="6.2993438091797541E-2"/>
  </r>
  <r>
    <s v="F115"/>
    <x v="3"/>
    <x v="3"/>
    <x v="2"/>
    <x v="2"/>
    <n v="2988.27"/>
    <n v="29318"/>
    <n v="9860.6200000000008"/>
    <n v="14.58"/>
    <n v="0.10192612047206494"/>
  </r>
  <r>
    <s v="F118"/>
    <x v="0"/>
    <x v="3"/>
    <x v="0"/>
    <x v="2"/>
    <n v="4688.4712579999996"/>
    <n v="14170"/>
    <n v="5455.23"/>
    <n v="25.46"/>
    <n v="0.33087305984474236"/>
  </r>
  <r>
    <s v="F197"/>
    <x v="2"/>
    <x v="3"/>
    <x v="0"/>
    <x v="2"/>
    <n v="4159.3606559999998"/>
    <n v="59617"/>
    <n v="5000.95"/>
    <n v="80.36"/>
    <n v="6.9768030192730257E-2"/>
  </r>
  <r>
    <s v="F118"/>
    <x v="0"/>
    <x v="1"/>
    <x v="1"/>
    <x v="2"/>
    <n v="3142.22"/>
    <n v="14170"/>
    <n v="5455.23"/>
    <n v="25.46"/>
    <n v="0.22175158786167959"/>
  </r>
  <r>
    <s v="F147"/>
    <x v="1"/>
    <x v="3"/>
    <x v="0"/>
    <x v="1"/>
    <n v="4654.5582059999997"/>
    <n v="13333"/>
    <n v="6102.15"/>
    <n v="17.670000000000002"/>
    <n v="0.3491005929648241"/>
  </r>
  <r>
    <s v="F197"/>
    <x v="2"/>
    <x v="1"/>
    <x v="0"/>
    <x v="1"/>
    <n v="348.73387589999999"/>
    <n v="59617"/>
    <n v="5000.95"/>
    <n v="80.36"/>
    <n v="5.8495710267205663E-3"/>
  </r>
  <r>
    <s v="F041"/>
    <x v="1"/>
    <x v="2"/>
    <x v="1"/>
    <x v="1"/>
    <n v="4243.12"/>
    <n v="84721"/>
    <n v="2278.9699999999998"/>
    <n v="68.53"/>
    <n v="5.0083450384202262E-2"/>
  </r>
  <r>
    <s v="F175"/>
    <x v="3"/>
    <x v="0"/>
    <x v="1"/>
    <x v="2"/>
    <n v="4673.26"/>
    <n v="94949"/>
    <n v="9714.76"/>
    <n v="64.900000000000006"/>
    <n v="4.9218633160960097E-2"/>
  </r>
  <r>
    <s v="F063"/>
    <x v="4"/>
    <x v="0"/>
    <x v="2"/>
    <x v="0"/>
    <n v="1127.24"/>
    <n v="45519"/>
    <n v="7987.69"/>
    <n v="10.86"/>
    <n v="2.4764164414859728E-2"/>
  </r>
  <r>
    <s v="F035"/>
    <x v="4"/>
    <x v="3"/>
    <x v="0"/>
    <x v="2"/>
    <n v="884.52"/>
    <n v="24913"/>
    <n v="5727.27"/>
    <n v="78.849999999999994"/>
    <n v="3.5504355155942677E-2"/>
  </r>
  <r>
    <s v="F167"/>
    <x v="2"/>
    <x v="3"/>
    <x v="0"/>
    <x v="2"/>
    <n v="692.69108289999997"/>
    <n v="94128"/>
    <n v="8117.82"/>
    <n v="73.83"/>
    <n v="7.3590332621536626E-3"/>
  </r>
  <r>
    <s v="F095"/>
    <x v="2"/>
    <x v="0"/>
    <x v="0"/>
    <x v="1"/>
    <n v="1097.7746549999999"/>
    <n v="49885"/>
    <n v="6845.46"/>
    <n v="58.4"/>
    <n v="2.2006107146436804E-2"/>
  </r>
  <r>
    <s v="F005"/>
    <x v="4"/>
    <x v="0"/>
    <x v="0"/>
    <x v="1"/>
    <n v="3601.7124260000001"/>
    <n v="61743"/>
    <n v="7426.75"/>
    <n v="26.39"/>
    <n v="5.8333939491116406E-2"/>
  </r>
  <r>
    <s v="F125"/>
    <x v="1"/>
    <x v="2"/>
    <x v="1"/>
    <x v="1"/>
    <n v="4661.5"/>
    <n v="82332"/>
    <n v="7134.86"/>
    <n v="22.44"/>
    <n v="5.6618325802847008E-2"/>
  </r>
  <r>
    <s v="F153"/>
    <x v="3"/>
    <x v="2"/>
    <x v="1"/>
    <x v="0"/>
    <n v="4163.95"/>
    <n v="95306"/>
    <n v="9037.76"/>
    <n v="13.35"/>
    <n v="4.3690323799131216E-2"/>
  </r>
  <r>
    <s v="F166"/>
    <x v="3"/>
    <x v="2"/>
    <x v="1"/>
    <x v="1"/>
    <n v="2018.59"/>
    <n v="96474"/>
    <n v="7574.39"/>
    <n v="95.54"/>
    <n v="2.0923668553185313E-2"/>
  </r>
  <r>
    <s v="F145"/>
    <x v="4"/>
    <x v="1"/>
    <x v="2"/>
    <x v="0"/>
    <n v="1373.09"/>
    <n v="68492"/>
    <n v="3533.88"/>
    <n v="52.99"/>
    <n v="2.0047450797173391E-2"/>
  </r>
  <r>
    <s v="F056"/>
    <x v="4"/>
    <x v="1"/>
    <x v="1"/>
    <x v="0"/>
    <n v="1419.59"/>
    <n v="99026"/>
    <n v="5453.2"/>
    <n v="57.49"/>
    <n v="1.4335528043140184E-2"/>
  </r>
  <r>
    <s v="F002"/>
    <x v="4"/>
    <x v="3"/>
    <x v="1"/>
    <x v="2"/>
    <n v="3946.93"/>
    <n v="53661"/>
    <n v="6965.81"/>
    <n v="69.400000000000006"/>
    <n v="7.355304597379847E-2"/>
  </r>
  <r>
    <s v="F137"/>
    <x v="0"/>
    <x v="3"/>
    <x v="1"/>
    <x v="2"/>
    <n v="685.73"/>
    <n v="10933"/>
    <n v="9004.3700000000008"/>
    <n v="26.84"/>
    <n v="6.2721119546327628E-2"/>
  </r>
  <r>
    <s v="F184"/>
    <x v="0"/>
    <x v="0"/>
    <x v="1"/>
    <x v="0"/>
    <n v="4879.25"/>
    <n v="22201"/>
    <n v="2853.66"/>
    <n v="71.94"/>
    <n v="0.21977613621008063"/>
  </r>
  <r>
    <s v="F077"/>
    <x v="4"/>
    <x v="0"/>
    <x v="0"/>
    <x v="0"/>
    <n v="3667.49"/>
    <n v="52836"/>
    <n v="9330.2999999999993"/>
    <n v="87.27"/>
    <n v="6.9412711030358079E-2"/>
  </r>
  <r>
    <s v="F171"/>
    <x v="4"/>
    <x v="1"/>
    <x v="2"/>
    <x v="1"/>
    <n v="1085.32"/>
    <n v="98356"/>
    <n v="6968.69"/>
    <n v="81.72"/>
    <n v="1.1034608971491316E-2"/>
  </r>
  <r>
    <s v="F004"/>
    <x v="0"/>
    <x v="2"/>
    <x v="1"/>
    <x v="0"/>
    <n v="4510.42"/>
    <n v="83923"/>
    <n v="8768.7999999999993"/>
    <n v="65.290000000000006"/>
    <n v="5.3744742204163344E-2"/>
  </r>
  <r>
    <s v="F196"/>
    <x v="4"/>
    <x v="3"/>
    <x v="1"/>
    <x v="2"/>
    <n v="499.33"/>
    <n v="85444"/>
    <n v="852.57"/>
    <n v="72.650000000000006"/>
    <n v="5.8439445718833386E-3"/>
  </r>
  <r>
    <s v="F096"/>
    <x v="0"/>
    <x v="0"/>
    <x v="0"/>
    <x v="1"/>
    <n v="1951.9222400000001"/>
    <n v="21388"/>
    <n v="5249.39"/>
    <n v="64.2"/>
    <n v="9.1262494856929124E-2"/>
  </r>
  <r>
    <s v="F071"/>
    <x v="4"/>
    <x v="2"/>
    <x v="0"/>
    <x v="1"/>
    <n v="1473.5947920000001"/>
    <n v="26378"/>
    <n v="2915.44"/>
    <n v="29.84"/>
    <n v="5.5864538327394041E-2"/>
  </r>
  <r>
    <s v="F078"/>
    <x v="0"/>
    <x v="1"/>
    <x v="1"/>
    <x v="1"/>
    <n v="3545.05"/>
    <n v="78624"/>
    <n v="2373.27"/>
    <n v="25.07"/>
    <n v="4.5088649776149778E-2"/>
  </r>
  <r>
    <s v="F099"/>
    <x v="3"/>
    <x v="3"/>
    <x v="2"/>
    <x v="2"/>
    <n v="84.78"/>
    <n v="17162"/>
    <n v="5079.95"/>
    <n v="19.239999999999998"/>
    <n v="4.9399836848852113E-3"/>
  </r>
  <r>
    <s v="F031"/>
    <x v="3"/>
    <x v="2"/>
    <x v="2"/>
    <x v="0"/>
    <n v="1941.65"/>
    <n v="86263"/>
    <n v="3213.71"/>
    <n v="98.39"/>
    <n v="2.2508491473748886E-2"/>
  </r>
  <r>
    <s v="F136"/>
    <x v="1"/>
    <x v="3"/>
    <x v="1"/>
    <x v="0"/>
    <n v="2646.36"/>
    <n v="43346"/>
    <n v="5559.12"/>
    <n v="39.4"/>
    <n v="6.1052000184561438E-2"/>
  </r>
  <r>
    <s v="F108"/>
    <x v="3"/>
    <x v="2"/>
    <x v="0"/>
    <x v="2"/>
    <n v="1257.0845320000001"/>
    <n v="39050"/>
    <n v="5885.73"/>
    <n v="93.04"/>
    <n v="3.2191665352112681E-2"/>
  </r>
  <r>
    <s v="F008"/>
    <x v="3"/>
    <x v="1"/>
    <x v="1"/>
    <x v="0"/>
    <n v="4445.1499999999996"/>
    <n v="50306"/>
    <n v="7031.37"/>
    <n v="13.27"/>
    <n v="8.8362223194052389E-2"/>
  </r>
  <r>
    <s v="F196"/>
    <x v="4"/>
    <x v="1"/>
    <x v="2"/>
    <x v="1"/>
    <n v="3717.99"/>
    <n v="85444"/>
    <n v="852.57"/>
    <n v="72.650000000000006"/>
    <n v="4.3513763400589857E-2"/>
  </r>
  <r>
    <s v="F029"/>
    <x v="4"/>
    <x v="2"/>
    <x v="0"/>
    <x v="2"/>
    <n v="4588.6389289999997"/>
    <n v="12262"/>
    <n v="7106.18"/>
    <n v="45.69"/>
    <n v="0.37421619058881095"/>
  </r>
  <r>
    <s v="F157"/>
    <x v="0"/>
    <x v="0"/>
    <x v="0"/>
    <x v="0"/>
    <n v="1806.876945"/>
    <n v="15788"/>
    <n v="1824.14"/>
    <n v="52.78"/>
    <n v="0.11444622149733975"/>
  </r>
  <r>
    <s v="F059"/>
    <x v="2"/>
    <x v="0"/>
    <x v="0"/>
    <x v="1"/>
    <n v="1893.445913"/>
    <n v="30934"/>
    <n v="4175.6499999999996"/>
    <n v="77.290000000000006"/>
    <n v="6.120921681644792E-2"/>
  </r>
  <r>
    <s v="F193"/>
    <x v="1"/>
    <x v="2"/>
    <x v="2"/>
    <x v="1"/>
    <n v="2906.15"/>
    <n v="15333"/>
    <n v="2570.54"/>
    <n v="41.07"/>
    <n v="0.18953564207917564"/>
  </r>
  <r>
    <s v="F117"/>
    <x v="2"/>
    <x v="2"/>
    <x v="0"/>
    <x v="0"/>
    <n v="4352.6233110000003"/>
    <n v="52594"/>
    <n v="8715.0400000000009"/>
    <n v="90.54"/>
    <n v="8.2758932787009937E-2"/>
  </r>
  <r>
    <s v="F166"/>
    <x v="3"/>
    <x v="0"/>
    <x v="1"/>
    <x v="0"/>
    <n v="750.01"/>
    <n v="96474"/>
    <n v="7574.39"/>
    <n v="95.54"/>
    <n v="7.7742189605489558E-3"/>
  </r>
  <r>
    <s v="F191"/>
    <x v="0"/>
    <x v="1"/>
    <x v="2"/>
    <x v="1"/>
    <n v="1435.13"/>
    <n v="86557"/>
    <n v="8631.2800000000007"/>
    <n v="69.53"/>
    <n v="1.6580172603024596E-2"/>
  </r>
  <r>
    <s v="F098"/>
    <x v="4"/>
    <x v="1"/>
    <x v="1"/>
    <x v="2"/>
    <n v="3346.28"/>
    <n v="28704"/>
    <n v="6009.24"/>
    <n v="39.31"/>
    <n v="0.1165788740245262"/>
  </r>
  <r>
    <s v="F162"/>
    <x v="3"/>
    <x v="0"/>
    <x v="0"/>
    <x v="1"/>
    <n v="3975.6861549999999"/>
    <n v="18175"/>
    <n v="8349.49"/>
    <n v="39.97"/>
    <n v="0.21874476781292984"/>
  </r>
  <r>
    <s v="F068"/>
    <x v="0"/>
    <x v="2"/>
    <x v="1"/>
    <x v="2"/>
    <n v="3453.13"/>
    <n v="44825"/>
    <n v="6023.03"/>
    <n v="27.2"/>
    <n v="7.7035805911879529E-2"/>
  </r>
  <r>
    <s v="F149"/>
    <x v="1"/>
    <x v="3"/>
    <x v="0"/>
    <x v="2"/>
    <n v="626.03"/>
    <n v="61207"/>
    <n v="6922.33"/>
    <n v="9.1999999999999993"/>
    <n v="1.0228078487754668E-2"/>
  </r>
  <r>
    <s v="F028"/>
    <x v="4"/>
    <x v="1"/>
    <x v="1"/>
    <x v="1"/>
    <n v="3255.93"/>
    <n v="73977"/>
    <n v="1646.75"/>
    <n v="43.77"/>
    <n v="4.401273368749746E-2"/>
  </r>
  <r>
    <s v="F179"/>
    <x v="1"/>
    <x v="0"/>
    <x v="2"/>
    <x v="2"/>
    <n v="4437.74"/>
    <n v="84524"/>
    <n v="9350.11"/>
    <n v="27.53"/>
    <n v="5.2502721120628461E-2"/>
  </r>
  <r>
    <s v="F103"/>
    <x v="4"/>
    <x v="2"/>
    <x v="2"/>
    <x v="0"/>
    <n v="1531"/>
    <n v="22309"/>
    <n v="3656.29"/>
    <n v="75.25"/>
    <n v="6.8627011520014339E-2"/>
  </r>
  <r>
    <s v="F155"/>
    <x v="2"/>
    <x v="0"/>
    <x v="2"/>
    <x v="2"/>
    <n v="3938.07"/>
    <n v="75736"/>
    <n v="6287.07"/>
    <n v="63.11"/>
    <n v="5.1997332840392943E-2"/>
  </r>
  <r>
    <s v="F009"/>
    <x v="0"/>
    <x v="1"/>
    <x v="1"/>
    <x v="0"/>
    <n v="1999.93"/>
    <n v="45644"/>
    <n v="7724.73"/>
    <n v="31"/>
    <n v="4.3815835597230741E-2"/>
  </r>
  <r>
    <s v="F165"/>
    <x v="4"/>
    <x v="1"/>
    <x v="0"/>
    <x v="1"/>
    <n v="379.85075039999998"/>
    <n v="79330"/>
    <n v="6075.23"/>
    <n v="83.97"/>
    <n v="4.7882358552880375E-3"/>
  </r>
  <r>
    <s v="F173"/>
    <x v="1"/>
    <x v="1"/>
    <x v="0"/>
    <x v="2"/>
    <n v="4069.5413589999998"/>
    <n v="38181"/>
    <n v="691.84"/>
    <n v="33.53"/>
    <n v="0.10658551004426285"/>
  </r>
  <r>
    <s v="F170"/>
    <x v="2"/>
    <x v="3"/>
    <x v="2"/>
    <x v="1"/>
    <n v="2664.95"/>
    <n v="24502"/>
    <n v="7466.86"/>
    <n v="88.83"/>
    <n v="0.10876459064566157"/>
  </r>
  <r>
    <s v="F038"/>
    <x v="4"/>
    <x v="3"/>
    <x v="0"/>
    <x v="1"/>
    <n v="1975.28"/>
    <n v="18341"/>
    <n v="8465.57"/>
    <n v="38.39"/>
    <n v="0.10769750831470476"/>
  </r>
  <r>
    <s v="F013"/>
    <x v="2"/>
    <x v="0"/>
    <x v="1"/>
    <x v="2"/>
    <n v="4697.13"/>
    <n v="72813"/>
    <n v="8818.16"/>
    <n v="54.12"/>
    <n v="6.4509496930493182E-2"/>
  </r>
  <r>
    <s v="F160"/>
    <x v="4"/>
    <x v="1"/>
    <x v="1"/>
    <x v="1"/>
    <n v="2932.94"/>
    <n v="36423"/>
    <n v="589.96"/>
    <n v="30.9"/>
    <n v="8.0524393926914309E-2"/>
  </r>
  <r>
    <s v="F076"/>
    <x v="2"/>
    <x v="0"/>
    <x v="2"/>
    <x v="1"/>
    <n v="1869.13"/>
    <n v="41953"/>
    <n v="2379.14"/>
    <n v="65.67"/>
    <n v="4.4552952113078921E-2"/>
  </r>
  <r>
    <s v="F193"/>
    <x v="1"/>
    <x v="0"/>
    <x v="1"/>
    <x v="1"/>
    <n v="3433.46"/>
    <n v="15333"/>
    <n v="2570.54"/>
    <n v="41.07"/>
    <n v="0.22392617230809367"/>
  </r>
  <r>
    <s v="F119"/>
    <x v="2"/>
    <x v="2"/>
    <x v="1"/>
    <x v="0"/>
    <n v="3234.84"/>
    <n v="22525"/>
    <n v="9465.65"/>
    <n v="37.79"/>
    <n v="0.14361109877913431"/>
  </r>
  <r>
    <s v="F104"/>
    <x v="4"/>
    <x v="0"/>
    <x v="1"/>
    <x v="2"/>
    <n v="2947.36"/>
    <n v="84851"/>
    <n v="560.75"/>
    <n v="80.23"/>
    <n v="3.4735713191358972E-2"/>
  </r>
  <r>
    <s v="F160"/>
    <x v="4"/>
    <x v="3"/>
    <x v="0"/>
    <x v="2"/>
    <n v="4189.4613179999997"/>
    <n v="36423"/>
    <n v="589.96"/>
    <n v="30.9"/>
    <n v="0.11502241215715343"/>
  </r>
  <r>
    <s v="F104"/>
    <x v="4"/>
    <x v="0"/>
    <x v="1"/>
    <x v="1"/>
    <n v="4346.51"/>
    <n v="84851"/>
    <n v="560.75"/>
    <n v="80.23"/>
    <n v="5.1225206538520467E-2"/>
  </r>
  <r>
    <s v="F148"/>
    <x v="1"/>
    <x v="3"/>
    <x v="1"/>
    <x v="1"/>
    <n v="1356.94"/>
    <n v="47491"/>
    <n v="5781.05"/>
    <n v="92.18"/>
    <n v="2.8572571645153821E-2"/>
  </r>
  <r>
    <s v="F051"/>
    <x v="4"/>
    <x v="0"/>
    <x v="2"/>
    <x v="0"/>
    <n v="50.06"/>
    <n v="56752"/>
    <n v="4177.68"/>
    <n v="10.96"/>
    <n v="8.8208345080349596E-4"/>
  </r>
  <r>
    <s v="F067"/>
    <x v="1"/>
    <x v="1"/>
    <x v="2"/>
    <x v="1"/>
    <n v="3795.55"/>
    <n v="28400"/>
    <n v="3056.67"/>
    <n v="52.68"/>
    <n v="0.13364612676056339"/>
  </r>
  <r>
    <s v="F074"/>
    <x v="1"/>
    <x v="3"/>
    <x v="0"/>
    <x v="0"/>
    <n v="4134.2097940000003"/>
    <n v="25148"/>
    <n v="9604.5499999999993"/>
    <n v="63.47"/>
    <n v="0.16439517233974871"/>
  </r>
  <r>
    <s v="F165"/>
    <x v="4"/>
    <x v="3"/>
    <x v="0"/>
    <x v="2"/>
    <n v="2597.355055"/>
    <n v="79330"/>
    <n v="6075.23"/>
    <n v="83.97"/>
    <n v="3.2741145279213416E-2"/>
  </r>
  <r>
    <s v="F179"/>
    <x v="1"/>
    <x v="0"/>
    <x v="1"/>
    <x v="2"/>
    <n v="2151.91"/>
    <n v="84524"/>
    <n v="9350.11"/>
    <n v="27.53"/>
    <n v="2.545915952865458E-2"/>
  </r>
  <r>
    <s v="F113"/>
    <x v="3"/>
    <x v="3"/>
    <x v="1"/>
    <x v="0"/>
    <n v="3338.56"/>
    <n v="69636"/>
    <n v="4246.55"/>
    <n v="69.290000000000006"/>
    <n v="4.7943017979206158E-2"/>
  </r>
  <r>
    <s v="F028"/>
    <x v="4"/>
    <x v="2"/>
    <x v="0"/>
    <x v="1"/>
    <n v="284.86"/>
    <n v="73977"/>
    <n v="1646.75"/>
    <n v="43.77"/>
    <n v="3.8506562850615733E-3"/>
  </r>
  <r>
    <s v="F095"/>
    <x v="2"/>
    <x v="3"/>
    <x v="1"/>
    <x v="1"/>
    <n v="4418.62"/>
    <n v="49885"/>
    <n v="6845.46"/>
    <n v="58.4"/>
    <n v="8.8576125087701713E-2"/>
  </r>
  <r>
    <s v="F020"/>
    <x v="2"/>
    <x v="2"/>
    <x v="1"/>
    <x v="2"/>
    <n v="1452.21"/>
    <n v="95165"/>
    <n v="8562.76"/>
    <n v="37.54"/>
    <n v="1.5259916986286976E-2"/>
  </r>
  <r>
    <s v="F194"/>
    <x v="3"/>
    <x v="2"/>
    <x v="2"/>
    <x v="1"/>
    <n v="1001.43"/>
    <n v="42382"/>
    <n v="5116.6899999999996"/>
    <n v="80.42"/>
    <n v="2.362866311169836E-2"/>
  </r>
  <r>
    <s v="F028"/>
    <x v="4"/>
    <x v="0"/>
    <x v="2"/>
    <x v="1"/>
    <n v="3280.78"/>
    <n v="73977"/>
    <n v="1646.75"/>
    <n v="43.77"/>
    <n v="4.4348648904389207E-2"/>
  </r>
  <r>
    <s v="F040"/>
    <x v="0"/>
    <x v="0"/>
    <x v="1"/>
    <x v="2"/>
    <n v="2429.6"/>
    <n v="52357"/>
    <n v="5643.16"/>
    <n v="37.130000000000003"/>
    <n v="4.6404492235995187E-2"/>
  </r>
  <r>
    <s v="F054"/>
    <x v="3"/>
    <x v="1"/>
    <x v="0"/>
    <x v="0"/>
    <n v="4025.991227"/>
    <n v="38869"/>
    <n v="5109.76"/>
    <n v="35.270000000000003"/>
    <n v="0.10357846167897296"/>
  </r>
  <r>
    <s v="F040"/>
    <x v="0"/>
    <x v="1"/>
    <x v="1"/>
    <x v="1"/>
    <n v="1880.25"/>
    <n v="52357"/>
    <n v="5643.16"/>
    <n v="37.130000000000003"/>
    <n v="3.5912103443665605E-2"/>
  </r>
  <r>
    <s v="F183"/>
    <x v="3"/>
    <x v="2"/>
    <x v="2"/>
    <x v="1"/>
    <n v="3107.51"/>
    <n v="29860"/>
    <n v="3956.23"/>
    <n v="57.5"/>
    <n v="0.104069323509712"/>
  </r>
  <r>
    <s v="F018"/>
    <x v="4"/>
    <x v="2"/>
    <x v="0"/>
    <x v="1"/>
    <n v="1430.937486"/>
    <n v="69305"/>
    <n v="3203.67"/>
    <n v="83.65"/>
    <n v="2.0646958891854843E-2"/>
  </r>
  <r>
    <s v="F102"/>
    <x v="1"/>
    <x v="3"/>
    <x v="2"/>
    <x v="1"/>
    <n v="4735.9399999999996"/>
    <n v="82377"/>
    <n v="7974.74"/>
    <n v="9.17"/>
    <n v="5.7491047258336668E-2"/>
  </r>
  <r>
    <s v="F154"/>
    <x v="0"/>
    <x v="0"/>
    <x v="2"/>
    <x v="1"/>
    <n v="419.21"/>
    <n v="17097"/>
    <n v="9061.7800000000007"/>
    <n v="95.92"/>
    <n v="2.4519506346142597E-2"/>
  </r>
  <r>
    <s v="F094"/>
    <x v="3"/>
    <x v="3"/>
    <x v="0"/>
    <x v="2"/>
    <n v="3952.788094"/>
    <n v="40553"/>
    <n v="4875.2299999999996"/>
    <n v="23.33"/>
    <n v="9.7472149877937508E-2"/>
  </r>
  <r>
    <s v="F001"/>
    <x v="1"/>
    <x v="0"/>
    <x v="2"/>
    <x v="0"/>
    <n v="2905.28"/>
    <n v="54133"/>
    <n v="8543.68"/>
    <n v="24"/>
    <n v="5.3669295993201929E-2"/>
  </r>
  <r>
    <s v="F108"/>
    <x v="3"/>
    <x v="1"/>
    <x v="2"/>
    <x v="2"/>
    <n v="2595.02"/>
    <n v="39050"/>
    <n v="5885.73"/>
    <n v="93.04"/>
    <n v="6.645377720870678E-2"/>
  </r>
  <r>
    <s v="F071"/>
    <x v="4"/>
    <x v="3"/>
    <x v="0"/>
    <x v="1"/>
    <n v="4395.4888259999998"/>
    <n v="26378"/>
    <n v="2915.44"/>
    <n v="29.84"/>
    <n v="0.16663465107286374"/>
  </r>
  <r>
    <s v="F022"/>
    <x v="4"/>
    <x v="2"/>
    <x v="1"/>
    <x v="2"/>
    <n v="969.03"/>
    <n v="20207"/>
    <n v="5369.46"/>
    <n v="57.51"/>
    <n v="4.7955164052061162E-2"/>
  </r>
  <r>
    <s v="F119"/>
    <x v="2"/>
    <x v="3"/>
    <x v="1"/>
    <x v="1"/>
    <n v="4736.7"/>
    <n v="22525"/>
    <n v="9465.65"/>
    <n v="37.79"/>
    <n v="0.2102863485016648"/>
  </r>
  <r>
    <s v="F190"/>
    <x v="0"/>
    <x v="0"/>
    <x v="0"/>
    <x v="1"/>
    <n v="3116.27"/>
    <n v="70582"/>
    <n v="7517.59"/>
    <n v="95.71"/>
    <n v="4.415105834348701E-2"/>
  </r>
  <r>
    <s v="F171"/>
    <x v="4"/>
    <x v="3"/>
    <x v="2"/>
    <x v="1"/>
    <n v="3048.92"/>
    <n v="98356"/>
    <n v="6968.69"/>
    <n v="81.72"/>
    <n v="3.0998820610842248E-2"/>
  </r>
  <r>
    <s v="F084"/>
    <x v="3"/>
    <x v="3"/>
    <x v="0"/>
    <x v="1"/>
    <n v="4792.2007899999999"/>
    <n v="54136"/>
    <n v="2775.38"/>
    <n v="75.459999999999994"/>
    <n v="8.8521515996748928E-2"/>
  </r>
  <r>
    <s v="F117"/>
    <x v="2"/>
    <x v="3"/>
    <x v="1"/>
    <x v="1"/>
    <n v="1851.08"/>
    <n v="52594"/>
    <n v="8715.0400000000009"/>
    <n v="90.54"/>
    <n v="3.5195649693881427E-2"/>
  </r>
  <r>
    <s v="F039"/>
    <x v="2"/>
    <x v="3"/>
    <x v="1"/>
    <x v="0"/>
    <n v="331.53"/>
    <n v="40503"/>
    <n v="7447.46"/>
    <n v="98.27"/>
    <n v="8.1853196059551141E-3"/>
  </r>
  <r>
    <s v="F138"/>
    <x v="0"/>
    <x v="1"/>
    <x v="2"/>
    <x v="2"/>
    <n v="2756.07"/>
    <n v="94393"/>
    <n v="6691.7"/>
    <n v="74.790000000000006"/>
    <n v="2.9197821872384608E-2"/>
  </r>
  <r>
    <s v="F114"/>
    <x v="1"/>
    <x v="1"/>
    <x v="0"/>
    <x v="1"/>
    <n v="1185.144685"/>
    <n v="57353"/>
    <n v="2274.71"/>
    <n v="65.34"/>
    <n v="2.0664039980471813E-2"/>
  </r>
  <r>
    <s v="F104"/>
    <x v="4"/>
    <x v="1"/>
    <x v="1"/>
    <x v="1"/>
    <n v="770.82"/>
    <n v="84851"/>
    <n v="560.75"/>
    <n v="80.23"/>
    <n v="9.0843949982911225E-3"/>
  </r>
  <r>
    <s v="F045"/>
    <x v="0"/>
    <x v="0"/>
    <x v="1"/>
    <x v="2"/>
    <n v="1735.38"/>
    <n v="34725"/>
    <n v="3269.89"/>
    <n v="78.86"/>
    <n v="4.9974946004319655E-2"/>
  </r>
  <r>
    <s v="F105"/>
    <x v="0"/>
    <x v="0"/>
    <x v="0"/>
    <x v="1"/>
    <n v="2191.312218"/>
    <n v="27028"/>
    <n v="4617.92"/>
    <n v="57.62"/>
    <n v="8.1075633343199643E-2"/>
  </r>
  <r>
    <s v="F189"/>
    <x v="0"/>
    <x v="1"/>
    <x v="2"/>
    <x v="1"/>
    <n v="759.32"/>
    <n v="67820"/>
    <n v="8177.95"/>
    <n v="40.69"/>
    <n v="1.1196107342966678E-2"/>
  </r>
  <r>
    <s v="F146"/>
    <x v="2"/>
    <x v="2"/>
    <x v="1"/>
    <x v="1"/>
    <n v="1954.05"/>
    <n v="99115"/>
    <n v="827.26"/>
    <n v="28.88"/>
    <n v="1.9714977551329265E-2"/>
  </r>
  <r>
    <s v="F006"/>
    <x v="4"/>
    <x v="3"/>
    <x v="0"/>
    <x v="1"/>
    <n v="4153"/>
    <n v="11426"/>
    <n v="4439.5600000000004"/>
    <n v="52.71"/>
    <n v="0.36346928058813233"/>
  </r>
  <r>
    <s v="F019"/>
    <x v="0"/>
    <x v="2"/>
    <x v="0"/>
    <x v="1"/>
    <n v="3571.7574920000002"/>
    <n v="68018"/>
    <n v="3523.4"/>
    <n v="92.26"/>
    <n v="5.2511945249786821E-2"/>
  </r>
  <r>
    <s v="F147"/>
    <x v="1"/>
    <x v="0"/>
    <x v="2"/>
    <x v="2"/>
    <n v="3705.85"/>
    <n v="13333"/>
    <n v="6102.15"/>
    <n v="17.670000000000002"/>
    <n v="0.27794569864246604"/>
  </r>
  <r>
    <s v="F069"/>
    <x v="4"/>
    <x v="1"/>
    <x v="1"/>
    <x v="1"/>
    <n v="4393.54"/>
    <n v="85488"/>
    <n v="9691.57"/>
    <n v="96.98"/>
    <n v="5.1393645891821077E-2"/>
  </r>
  <r>
    <s v="F089"/>
    <x v="4"/>
    <x v="0"/>
    <x v="0"/>
    <x v="2"/>
    <n v="1303.2390740000001"/>
    <n v="58895"/>
    <n v="3039.17"/>
    <n v="59.82"/>
    <n v="2.2128178521096869E-2"/>
  </r>
  <r>
    <s v="F060"/>
    <x v="4"/>
    <x v="0"/>
    <x v="2"/>
    <x v="1"/>
    <n v="1709.14"/>
    <n v="41539"/>
    <n v="982.8"/>
    <n v="79.7"/>
    <n v="4.1145429596283013E-2"/>
  </r>
  <r>
    <s v="F006"/>
    <x v="4"/>
    <x v="3"/>
    <x v="0"/>
    <x v="1"/>
    <n v="4816.54"/>
    <n v="11426"/>
    <n v="4439.5600000000004"/>
    <n v="52.71"/>
    <n v="0.42154209697181866"/>
  </r>
  <r>
    <s v="F132"/>
    <x v="4"/>
    <x v="2"/>
    <x v="0"/>
    <x v="2"/>
    <n v="4237.9135159999996"/>
    <n v="76544"/>
    <n v="8632.77"/>
    <n v="12.87"/>
    <n v="5.5365717966137117E-2"/>
  </r>
  <r>
    <s v="F013"/>
    <x v="2"/>
    <x v="3"/>
    <x v="1"/>
    <x v="2"/>
    <n v="2911.32"/>
    <n v="72813"/>
    <n v="8818.16"/>
    <n v="54.12"/>
    <n v="3.9983519426476044E-2"/>
  </r>
  <r>
    <s v="F133"/>
    <x v="2"/>
    <x v="1"/>
    <x v="1"/>
    <x v="0"/>
    <n v="1512.18"/>
    <n v="41168"/>
    <n v="8226.77"/>
    <n v="42.55"/>
    <n v="3.6731927710843375E-2"/>
  </r>
  <r>
    <s v="F158"/>
    <x v="3"/>
    <x v="3"/>
    <x v="2"/>
    <x v="1"/>
    <n v="2308.83"/>
    <n v="61157"/>
    <n v="7331.54"/>
    <n v="55.52"/>
    <n v="3.7752505845610476E-2"/>
  </r>
  <r>
    <s v="F006"/>
    <x v="4"/>
    <x v="0"/>
    <x v="2"/>
    <x v="1"/>
    <n v="4743.8500000000004"/>
    <n v="11426"/>
    <n v="4439.5600000000004"/>
    <n v="52.71"/>
    <n v="0.41518029056537725"/>
  </r>
  <r>
    <s v="F028"/>
    <x v="4"/>
    <x v="2"/>
    <x v="0"/>
    <x v="2"/>
    <n v="3863.8"/>
    <n v="73977"/>
    <n v="1646.75"/>
    <n v="43.77"/>
    <n v="5.2229747083552998E-2"/>
  </r>
  <r>
    <s v="F149"/>
    <x v="1"/>
    <x v="3"/>
    <x v="1"/>
    <x v="0"/>
    <n v="1928.39"/>
    <n v="61207"/>
    <n v="6922.33"/>
    <n v="9.1999999999999993"/>
    <n v="3.1506036891205257E-2"/>
  </r>
  <r>
    <s v="F128"/>
    <x v="2"/>
    <x v="2"/>
    <x v="2"/>
    <x v="2"/>
    <n v="2001.66"/>
    <n v="68216"/>
    <n v="9562.33"/>
    <n v="63.59"/>
    <n v="2.934296939134514E-2"/>
  </r>
  <r>
    <s v="F034"/>
    <x v="4"/>
    <x v="2"/>
    <x v="1"/>
    <x v="0"/>
    <n v="1031.08"/>
    <n v="67213"/>
    <n v="5533.81"/>
    <n v="90.88"/>
    <n v="1.5340484727656851E-2"/>
  </r>
  <r>
    <s v="F200"/>
    <x v="1"/>
    <x v="3"/>
    <x v="1"/>
    <x v="0"/>
    <n v="4637.72"/>
    <n v="21081"/>
    <n v="9001.77"/>
    <n v="49.27"/>
    <n v="0.21999525639201178"/>
  </r>
  <r>
    <s v="F153"/>
    <x v="3"/>
    <x v="3"/>
    <x v="1"/>
    <x v="1"/>
    <n v="2119.1"/>
    <n v="95306"/>
    <n v="9037.76"/>
    <n v="13.35"/>
    <n v="2.2234696661280508E-2"/>
  </r>
  <r>
    <s v="F185"/>
    <x v="0"/>
    <x v="0"/>
    <x v="0"/>
    <x v="0"/>
    <n v="672.58975539999994"/>
    <n v="68820"/>
    <n v="9612.25"/>
    <n v="83.51"/>
    <n v="9.7731728480092983E-3"/>
  </r>
  <r>
    <s v="F092"/>
    <x v="4"/>
    <x v="0"/>
    <x v="0"/>
    <x v="1"/>
    <n v="1187.166129"/>
    <n v="79495"/>
    <n v="7157.48"/>
    <n v="26.84"/>
    <n v="1.4933846518648972E-2"/>
  </r>
  <r>
    <s v="F126"/>
    <x v="2"/>
    <x v="1"/>
    <x v="1"/>
    <x v="1"/>
    <n v="3253.86"/>
    <n v="75508"/>
    <n v="6856.22"/>
    <n v="18.2"/>
    <n v="4.309291730677544E-2"/>
  </r>
  <r>
    <s v="F079"/>
    <x v="2"/>
    <x v="2"/>
    <x v="1"/>
    <x v="0"/>
    <n v="276.16000000000003"/>
    <n v="17311"/>
    <n v="2257.38"/>
    <n v="91.07"/>
    <n v="1.5952862341863557E-2"/>
  </r>
  <r>
    <s v="F087"/>
    <x v="4"/>
    <x v="3"/>
    <x v="0"/>
    <x v="1"/>
    <n v="1988.313803"/>
    <n v="44164"/>
    <n v="3869.32"/>
    <n v="13.81"/>
    <n v="4.502114398605199E-2"/>
  </r>
  <r>
    <s v="F190"/>
    <x v="0"/>
    <x v="1"/>
    <x v="2"/>
    <x v="0"/>
    <n v="1459.49"/>
    <n v="70582"/>
    <n v="7517.59"/>
    <n v="95.71"/>
    <n v="2.0677934884248107E-2"/>
  </r>
  <r>
    <s v="F152"/>
    <x v="4"/>
    <x v="1"/>
    <x v="1"/>
    <x v="1"/>
    <n v="4054.68"/>
    <n v="90679"/>
    <n v="7266.82"/>
    <n v="23.3"/>
    <n v="4.4714652786201875E-2"/>
  </r>
  <r>
    <s v="F002"/>
    <x v="4"/>
    <x v="1"/>
    <x v="1"/>
    <x v="2"/>
    <n v="270.88"/>
    <n v="53661"/>
    <n v="6965.81"/>
    <n v="69.400000000000006"/>
    <n v="5.0479864333501049E-3"/>
  </r>
  <r>
    <s v="F101"/>
    <x v="3"/>
    <x v="0"/>
    <x v="1"/>
    <x v="0"/>
    <n v="1234.77"/>
    <n v="65719"/>
    <n v="9362.41"/>
    <n v="86.55"/>
    <n v="1.878863038086398E-2"/>
  </r>
  <r>
    <s v="F088"/>
    <x v="0"/>
    <x v="2"/>
    <x v="1"/>
    <x v="1"/>
    <n v="4028.89"/>
    <n v="77330"/>
    <n v="6936.58"/>
    <n v="82.3"/>
    <n v="5.2099961205224359E-2"/>
  </r>
  <r>
    <s v="F108"/>
    <x v="3"/>
    <x v="2"/>
    <x v="0"/>
    <x v="1"/>
    <n v="4303.8535140000004"/>
    <n v="39050"/>
    <n v="5885.73"/>
    <n v="93.04"/>
    <n v="0.11021391841229194"/>
  </r>
  <r>
    <s v="F122"/>
    <x v="4"/>
    <x v="3"/>
    <x v="1"/>
    <x v="2"/>
    <n v="2941.43"/>
    <n v="49620"/>
    <n v="2424.31"/>
    <n v="62.09"/>
    <n v="5.9279121322047559E-2"/>
  </r>
  <r>
    <s v="F130"/>
    <x v="3"/>
    <x v="0"/>
    <x v="1"/>
    <x v="2"/>
    <n v="125.18"/>
    <n v="43227"/>
    <n v="5199.53"/>
    <n v="44.09"/>
    <n v="2.8958752631457192E-3"/>
  </r>
  <r>
    <s v="F171"/>
    <x v="4"/>
    <x v="3"/>
    <x v="1"/>
    <x v="1"/>
    <n v="2302.58"/>
    <n v="98356"/>
    <n v="6968.69"/>
    <n v="81.72"/>
    <n v="2.3410671438448084E-2"/>
  </r>
  <r>
    <s v="F154"/>
    <x v="0"/>
    <x v="2"/>
    <x v="1"/>
    <x v="0"/>
    <n v="365.22"/>
    <n v="17097"/>
    <n v="9061.7800000000007"/>
    <n v="95.92"/>
    <n v="2.1361642393402352E-2"/>
  </r>
  <r>
    <s v="F167"/>
    <x v="2"/>
    <x v="3"/>
    <x v="2"/>
    <x v="2"/>
    <n v="93.15"/>
    <n v="94128"/>
    <n v="8117.82"/>
    <n v="73.83"/>
    <n v="9.8960989291177969E-4"/>
  </r>
  <r>
    <s v="F001"/>
    <x v="1"/>
    <x v="1"/>
    <x v="2"/>
    <x v="1"/>
    <n v="807.86"/>
    <n v="54133"/>
    <n v="8543.68"/>
    <n v="24"/>
    <n v="1.4923614061662942E-2"/>
  </r>
  <r>
    <s v="F058"/>
    <x v="1"/>
    <x v="0"/>
    <x v="2"/>
    <x v="2"/>
    <n v="3779.13"/>
    <n v="66398"/>
    <n v="8713.61"/>
    <n v="83.44"/>
    <n v="5.6916322780806654E-2"/>
  </r>
  <r>
    <s v="F080"/>
    <x v="3"/>
    <x v="1"/>
    <x v="0"/>
    <x v="0"/>
    <n v="4998.3865500000002"/>
    <n v="10250"/>
    <n v="4717"/>
    <n v="16.600000000000001"/>
    <n v="0.48764746829268296"/>
  </r>
  <r>
    <s v="F107"/>
    <x v="2"/>
    <x v="3"/>
    <x v="1"/>
    <x v="2"/>
    <n v="2268.11"/>
    <n v="43512"/>
    <n v="5352.18"/>
    <n v="6.17"/>
    <n v="5.2126080161794451E-2"/>
  </r>
  <r>
    <s v="F003"/>
    <x v="3"/>
    <x v="0"/>
    <x v="1"/>
    <x v="2"/>
    <n v="1247.71"/>
    <n v="27681"/>
    <n v="928.26"/>
    <n v="44.97"/>
    <n v="4.5074599906072758E-2"/>
  </r>
  <r>
    <s v="F114"/>
    <x v="1"/>
    <x v="3"/>
    <x v="2"/>
    <x v="2"/>
    <n v="2941.25"/>
    <n v="57353"/>
    <n v="2274.71"/>
    <n v="65.34"/>
    <n v="5.1283280735096679E-2"/>
  </r>
  <r>
    <s v="F032"/>
    <x v="1"/>
    <x v="1"/>
    <x v="2"/>
    <x v="2"/>
    <n v="1210.07"/>
    <n v="33688"/>
    <n v="9495.48"/>
    <n v="55.55"/>
    <n v="3.5919912134884824E-2"/>
  </r>
  <r>
    <s v="F153"/>
    <x v="3"/>
    <x v="3"/>
    <x v="2"/>
    <x v="1"/>
    <n v="4451"/>
    <n v="95306"/>
    <n v="9037.76"/>
    <n v="13.35"/>
    <n v="4.6702201330451387E-2"/>
  </r>
  <r>
    <s v="F090"/>
    <x v="2"/>
    <x v="2"/>
    <x v="2"/>
    <x v="2"/>
    <n v="867.35"/>
    <n v="29895"/>
    <n v="1631.08"/>
    <n v="39.93"/>
    <n v="2.9013212911858172E-2"/>
  </r>
  <r>
    <s v="F063"/>
    <x v="4"/>
    <x v="2"/>
    <x v="1"/>
    <x v="0"/>
    <n v="3856.1"/>
    <n v="45519"/>
    <n v="7987.69"/>
    <n v="10.86"/>
    <n v="8.4714075441024619E-2"/>
  </r>
  <r>
    <s v="F025"/>
    <x v="4"/>
    <x v="3"/>
    <x v="2"/>
    <x v="0"/>
    <n v="1963.47"/>
    <n v="32131"/>
    <n v="1474.23"/>
    <n v="45.47"/>
    <n v="6.1108275497183409E-2"/>
  </r>
  <r>
    <s v="F106"/>
    <x v="3"/>
    <x v="1"/>
    <x v="1"/>
    <x v="0"/>
    <n v="4776.8"/>
    <n v="98682"/>
    <n v="6220.56"/>
    <n v="70.099999999999994"/>
    <n v="4.840599096086419E-2"/>
  </r>
  <r>
    <s v="F171"/>
    <x v="4"/>
    <x v="2"/>
    <x v="1"/>
    <x v="2"/>
    <n v="1736.71"/>
    <n v="98356"/>
    <n v="6968.69"/>
    <n v="81.72"/>
    <n v="1.7657387449672619E-2"/>
  </r>
  <r>
    <s v="F181"/>
    <x v="3"/>
    <x v="0"/>
    <x v="1"/>
    <x v="1"/>
    <n v="4367.4799999999996"/>
    <n v="42485"/>
    <n v="4755.75"/>
    <n v="10.19"/>
    <n v="0.10280051782982227"/>
  </r>
  <r>
    <s v="F083"/>
    <x v="2"/>
    <x v="2"/>
    <x v="2"/>
    <x v="1"/>
    <n v="700.15"/>
    <n v="94704"/>
    <n v="6632.95"/>
    <n v="14.76"/>
    <n v="7.3930351410711271E-3"/>
  </r>
  <r>
    <s v="F149"/>
    <x v="1"/>
    <x v="3"/>
    <x v="2"/>
    <x v="1"/>
    <n v="4667.1400000000003"/>
    <n v="61207"/>
    <n v="6922.33"/>
    <n v="9.1999999999999993"/>
    <n v="7.6251735912559029E-2"/>
  </r>
  <r>
    <s v="F118"/>
    <x v="0"/>
    <x v="3"/>
    <x v="0"/>
    <x v="2"/>
    <n v="2262.4267799999998"/>
    <n v="14170"/>
    <n v="5455.23"/>
    <n v="25.46"/>
    <n v="0.1596631460832745"/>
  </r>
  <r>
    <s v="F096"/>
    <x v="0"/>
    <x v="1"/>
    <x v="2"/>
    <x v="0"/>
    <n v="4898.1499999999996"/>
    <n v="21388"/>
    <n v="5249.39"/>
    <n v="64.2"/>
    <n v="0.22901393304656814"/>
  </r>
  <r>
    <s v="F094"/>
    <x v="3"/>
    <x v="1"/>
    <x v="1"/>
    <x v="1"/>
    <n v="2735.09"/>
    <n v="40553"/>
    <n v="4875.2299999999996"/>
    <n v="23.33"/>
    <n v="6.7444825290360763E-2"/>
  </r>
  <r>
    <s v="F137"/>
    <x v="0"/>
    <x v="1"/>
    <x v="2"/>
    <x v="1"/>
    <n v="129.43"/>
    <n v="10933"/>
    <n v="9004.3700000000008"/>
    <n v="26.84"/>
    <n v="1.1838470685081863E-2"/>
  </r>
  <r>
    <s v="F058"/>
    <x v="1"/>
    <x v="3"/>
    <x v="2"/>
    <x v="1"/>
    <n v="556.38"/>
    <n v="66398"/>
    <n v="8713.61"/>
    <n v="83.44"/>
    <n v="8.3794692611223222E-3"/>
  </r>
  <r>
    <s v="F190"/>
    <x v="0"/>
    <x v="2"/>
    <x v="1"/>
    <x v="0"/>
    <n v="358.08"/>
    <n v="70582"/>
    <n v="7517.59"/>
    <n v="95.71"/>
    <n v="5.0732481369187609E-3"/>
  </r>
  <r>
    <s v="F193"/>
    <x v="1"/>
    <x v="3"/>
    <x v="0"/>
    <x v="2"/>
    <n v="5236.8358760000001"/>
    <n v="15333"/>
    <n v="2570.54"/>
    <n v="41.07"/>
    <n v="0.34154019930868063"/>
  </r>
  <r>
    <s v="F049"/>
    <x v="0"/>
    <x v="3"/>
    <x v="2"/>
    <x v="2"/>
    <n v="2820.63"/>
    <n v="65666"/>
    <n v="7269.98"/>
    <n v="75.62"/>
    <n v="4.2954192428349525E-2"/>
  </r>
  <r>
    <s v="F194"/>
    <x v="3"/>
    <x v="3"/>
    <x v="0"/>
    <x v="1"/>
    <n v="1652.6301820000001"/>
    <n v="42382"/>
    <n v="5116.6899999999996"/>
    <n v="80.42"/>
    <n v="3.8993680855079989E-2"/>
  </r>
  <r>
    <s v="F080"/>
    <x v="3"/>
    <x v="3"/>
    <x v="0"/>
    <x v="1"/>
    <n v="4298.4759350000004"/>
    <n v="10250"/>
    <n v="4717"/>
    <n v="16.600000000000001"/>
    <n v="0.41936350585365856"/>
  </r>
  <r>
    <s v="F102"/>
    <x v="1"/>
    <x v="3"/>
    <x v="1"/>
    <x v="0"/>
    <n v="2188.52"/>
    <n v="82377"/>
    <n v="7974.74"/>
    <n v="9.17"/>
    <n v="2.6567124318681187E-2"/>
  </r>
  <r>
    <s v="F009"/>
    <x v="0"/>
    <x v="0"/>
    <x v="2"/>
    <x v="1"/>
    <n v="228.37"/>
    <n v="45644"/>
    <n v="7724.73"/>
    <n v="31"/>
    <n v="5.0032863026903867E-3"/>
  </r>
  <r>
    <s v="F102"/>
    <x v="1"/>
    <x v="3"/>
    <x v="0"/>
    <x v="0"/>
    <n v="3425.06"/>
    <n v="82377"/>
    <n v="7974.74"/>
    <n v="9.17"/>
    <n v="4.1577867608677176E-2"/>
  </r>
  <r>
    <s v="F156"/>
    <x v="2"/>
    <x v="3"/>
    <x v="2"/>
    <x v="2"/>
    <n v="3780.56"/>
    <n v="88308"/>
    <n v="7802.07"/>
    <n v="36.130000000000003"/>
    <n v="4.2811070344702634E-2"/>
  </r>
  <r>
    <s v="F152"/>
    <x v="4"/>
    <x v="1"/>
    <x v="2"/>
    <x v="2"/>
    <n v="1026.45"/>
    <n v="90679"/>
    <n v="7266.82"/>
    <n v="23.3"/>
    <n v="1.1319599907365543E-2"/>
  </r>
  <r>
    <s v="F086"/>
    <x v="4"/>
    <x v="0"/>
    <x v="0"/>
    <x v="1"/>
    <n v="1973.1370979999999"/>
    <n v="55974"/>
    <n v="7542.28"/>
    <n v="72.430000000000007"/>
    <n v="3.525095755172044E-2"/>
  </r>
  <r>
    <s v="F058"/>
    <x v="1"/>
    <x v="1"/>
    <x v="0"/>
    <x v="1"/>
    <n v="3828.4128340000002"/>
    <n v="66398"/>
    <n v="8713.61"/>
    <n v="83.44"/>
    <n v="5.7658556492665443E-2"/>
  </r>
  <r>
    <s v="F032"/>
    <x v="1"/>
    <x v="2"/>
    <x v="2"/>
    <x v="0"/>
    <n v="3883.26"/>
    <n v="33688"/>
    <n v="9495.48"/>
    <n v="55.55"/>
    <n v="0.11527131322726195"/>
  </r>
  <r>
    <s v="F186"/>
    <x v="4"/>
    <x v="0"/>
    <x v="0"/>
    <x v="1"/>
    <n v="4934.9743390000003"/>
    <n v="61942"/>
    <n v="4891.32"/>
    <n v="91.59"/>
    <n v="7.9670891140098801E-2"/>
  </r>
  <r>
    <s v="F090"/>
    <x v="2"/>
    <x v="1"/>
    <x v="1"/>
    <x v="2"/>
    <n v="336.58"/>
    <n v="29895"/>
    <n v="1631.08"/>
    <n v="39.93"/>
    <n v="1.1258738919551764E-2"/>
  </r>
  <r>
    <s v="F052"/>
    <x v="3"/>
    <x v="1"/>
    <x v="2"/>
    <x v="0"/>
    <n v="3817.85"/>
    <n v="66163"/>
    <n v="1416.57"/>
    <n v="68.73"/>
    <n v="5.7703701464564786E-2"/>
  </r>
  <r>
    <s v="F027"/>
    <x v="4"/>
    <x v="1"/>
    <x v="2"/>
    <x v="1"/>
    <n v="1089.25"/>
    <n v="51800"/>
    <n v="3042.95"/>
    <n v="71.87"/>
    <n v="2.1027992277992277E-2"/>
  </r>
  <r>
    <s v="F097"/>
    <x v="1"/>
    <x v="2"/>
    <x v="0"/>
    <x v="0"/>
    <n v="316.07829400000003"/>
    <n v="69100"/>
    <n v="9356.02"/>
    <n v="16.5"/>
    <n v="4.5742155426917513E-3"/>
  </r>
  <r>
    <s v="F173"/>
    <x v="1"/>
    <x v="1"/>
    <x v="1"/>
    <x v="1"/>
    <n v="2112.3200000000002"/>
    <n v="38181"/>
    <n v="691.84"/>
    <n v="33.53"/>
    <n v="5.5323852177784766E-2"/>
  </r>
  <r>
    <s v="F093"/>
    <x v="2"/>
    <x v="2"/>
    <x v="0"/>
    <x v="0"/>
    <n v="892.44"/>
    <n v="15553"/>
    <n v="3909.51"/>
    <n v="46.44"/>
    <n v="5.7380569665016402E-2"/>
  </r>
  <r>
    <s v="F097"/>
    <x v="1"/>
    <x v="1"/>
    <x v="1"/>
    <x v="0"/>
    <n v="1569.2"/>
    <n v="69100"/>
    <n v="9356.02"/>
    <n v="16.5"/>
    <n v="2.2709117221418235E-2"/>
  </r>
  <r>
    <s v="F050"/>
    <x v="0"/>
    <x v="3"/>
    <x v="0"/>
    <x v="1"/>
    <n v="1407.4467239999999"/>
    <n v="10067"/>
    <n v="1953.33"/>
    <n v="25.15"/>
    <n v="0.13980795907420282"/>
  </r>
  <r>
    <s v="F196"/>
    <x v="4"/>
    <x v="1"/>
    <x v="0"/>
    <x v="2"/>
    <n v="4401.5937169999997"/>
    <n v="85444"/>
    <n v="852.57"/>
    <n v="72.650000000000006"/>
    <n v="5.1514368674219366E-2"/>
  </r>
  <r>
    <s v="F148"/>
    <x v="1"/>
    <x v="3"/>
    <x v="2"/>
    <x v="0"/>
    <n v="4331.4399999999996"/>
    <n v="47491"/>
    <n v="5781.05"/>
    <n v="92.18"/>
    <n v="9.1205491566823185E-2"/>
  </r>
  <r>
    <s v="F050"/>
    <x v="0"/>
    <x v="2"/>
    <x v="1"/>
    <x v="1"/>
    <n v="191.28"/>
    <n v="10067"/>
    <n v="1953.33"/>
    <n v="25.15"/>
    <n v="1.9000695341213868E-2"/>
  </r>
  <r>
    <s v="F115"/>
    <x v="3"/>
    <x v="0"/>
    <x v="1"/>
    <x v="0"/>
    <n v="3002.77"/>
    <n v="29318"/>
    <n v="9860.6200000000008"/>
    <n v="14.58"/>
    <n v="0.10242069718261819"/>
  </r>
  <r>
    <s v="F017"/>
    <x v="2"/>
    <x v="0"/>
    <x v="2"/>
    <x v="2"/>
    <n v="2511.59"/>
    <n v="71747"/>
    <n v="9838.66"/>
    <n v="7.25"/>
    <n v="3.5006202349924041E-2"/>
  </r>
  <r>
    <s v="F048"/>
    <x v="0"/>
    <x v="2"/>
    <x v="0"/>
    <x v="1"/>
    <n v="2282.1801989999999"/>
    <n v="26338"/>
    <n v="578.73"/>
    <n v="72.52"/>
    <n v="8.6649715202369193E-2"/>
  </r>
  <r>
    <s v="F119"/>
    <x v="2"/>
    <x v="0"/>
    <x v="2"/>
    <x v="0"/>
    <n v="4726.1099999999997"/>
    <n v="22525"/>
    <n v="9465.65"/>
    <n v="37.79"/>
    <n v="0.20981620421753605"/>
  </r>
  <r>
    <s v="F054"/>
    <x v="3"/>
    <x v="1"/>
    <x v="1"/>
    <x v="2"/>
    <n v="252.05"/>
    <n v="38869"/>
    <n v="5109.76"/>
    <n v="35.270000000000003"/>
    <n v="6.4846021250868306E-3"/>
  </r>
  <r>
    <s v="F027"/>
    <x v="4"/>
    <x v="2"/>
    <x v="2"/>
    <x v="2"/>
    <n v="3693.42"/>
    <n v="51800"/>
    <n v="3042.95"/>
    <n v="71.87"/>
    <n v="7.1301544401544403E-2"/>
  </r>
  <r>
    <s v="F160"/>
    <x v="4"/>
    <x v="1"/>
    <x v="0"/>
    <x v="0"/>
    <n v="2670.5293769999998"/>
    <n v="36423"/>
    <n v="589.96"/>
    <n v="30.9"/>
    <n v="7.3319863190840953E-2"/>
  </r>
  <r>
    <s v="F102"/>
    <x v="1"/>
    <x v="1"/>
    <x v="2"/>
    <x v="1"/>
    <n v="1186.4000000000001"/>
    <n v="82377"/>
    <n v="7974.74"/>
    <n v="9.17"/>
    <n v="1.4402078249996966E-2"/>
  </r>
  <r>
    <s v="F175"/>
    <x v="3"/>
    <x v="2"/>
    <x v="0"/>
    <x v="0"/>
    <n v="1201.0995809999999"/>
    <n v="94949"/>
    <n v="9714.76"/>
    <n v="64.900000000000006"/>
    <n v="1.2649944507051153E-2"/>
  </r>
  <r>
    <s v="F058"/>
    <x v="1"/>
    <x v="0"/>
    <x v="0"/>
    <x v="0"/>
    <n v="1093.3917960000001"/>
    <n v="66398"/>
    <n v="8713.61"/>
    <n v="83.44"/>
    <n v="1.6467239916864967E-2"/>
  </r>
  <r>
    <s v="F188"/>
    <x v="3"/>
    <x v="1"/>
    <x v="1"/>
    <x v="2"/>
    <n v="4636.55"/>
    <n v="80824"/>
    <n v="2858.92"/>
    <n v="13.97"/>
    <n v="5.7366005146986046E-2"/>
  </r>
  <r>
    <s v="F132"/>
    <x v="4"/>
    <x v="0"/>
    <x v="0"/>
    <x v="1"/>
    <n v="1840.534678"/>
    <n v="76544"/>
    <n v="8632.77"/>
    <n v="12.87"/>
    <n v="2.4045446775710702E-2"/>
  </r>
  <r>
    <s v="F188"/>
    <x v="3"/>
    <x v="2"/>
    <x v="1"/>
    <x v="1"/>
    <n v="1036.07"/>
    <n v="80824"/>
    <n v="2858.92"/>
    <n v="13.97"/>
    <n v="1.2818840938335147E-2"/>
  </r>
  <r>
    <s v="F147"/>
    <x v="1"/>
    <x v="1"/>
    <x v="0"/>
    <x v="1"/>
    <n v="390.78143080000001"/>
    <n v="13333"/>
    <n v="6102.15"/>
    <n v="17.670000000000002"/>
    <n v="2.9309340043501088E-2"/>
  </r>
  <r>
    <s v="F154"/>
    <x v="0"/>
    <x v="2"/>
    <x v="2"/>
    <x v="0"/>
    <n v="4126.71"/>
    <n v="17097"/>
    <n v="9061.7800000000007"/>
    <n v="95.92"/>
    <n v="0.24137041586243202"/>
  </r>
  <r>
    <s v="F036"/>
    <x v="3"/>
    <x v="2"/>
    <x v="2"/>
    <x v="0"/>
    <n v="4171.8100000000004"/>
    <n v="53942"/>
    <n v="5904.31"/>
    <n v="32.78"/>
    <n v="7.7338808349708951E-2"/>
  </r>
  <r>
    <s v="F164"/>
    <x v="0"/>
    <x v="0"/>
    <x v="1"/>
    <x v="2"/>
    <n v="3571.47"/>
    <n v="60710"/>
    <n v="2726.26"/>
    <n v="83.02"/>
    <n v="5.8828364355130947E-2"/>
  </r>
  <r>
    <s v="F195"/>
    <x v="1"/>
    <x v="3"/>
    <x v="2"/>
    <x v="0"/>
    <n v="1961.65"/>
    <n v="87012"/>
    <n v="7478.13"/>
    <n v="27.22"/>
    <n v="2.2544591550590725E-2"/>
  </r>
  <r>
    <s v="F085"/>
    <x v="4"/>
    <x v="3"/>
    <x v="1"/>
    <x v="0"/>
    <n v="3905.64"/>
    <n v="29264"/>
    <n v="8362.7199999999993"/>
    <n v="61.93"/>
    <n v="0.1334622744669218"/>
  </r>
  <r>
    <s v="F122"/>
    <x v="4"/>
    <x v="1"/>
    <x v="0"/>
    <x v="1"/>
    <n v="2192.9713040000001"/>
    <n v="49620"/>
    <n v="2424.31"/>
    <n v="62.09"/>
    <n v="4.4195310439338976E-2"/>
  </r>
  <r>
    <s v="F129"/>
    <x v="1"/>
    <x v="2"/>
    <x v="1"/>
    <x v="1"/>
    <n v="369.5"/>
    <n v="58439"/>
    <n v="5817.93"/>
    <n v="63.77"/>
    <n v="6.3228323551053232E-3"/>
  </r>
  <r>
    <s v="F097"/>
    <x v="1"/>
    <x v="1"/>
    <x v="1"/>
    <x v="1"/>
    <n v="2277.1799999999998"/>
    <n v="69100"/>
    <n v="9356.02"/>
    <n v="16.5"/>
    <n v="3.2954848046309694E-2"/>
  </r>
  <r>
    <s v="F109"/>
    <x v="0"/>
    <x v="0"/>
    <x v="1"/>
    <x v="0"/>
    <n v="4278.8900000000003"/>
    <n v="34318"/>
    <n v="675.67"/>
    <n v="41.05"/>
    <n v="0.12468354799230726"/>
  </r>
  <r>
    <s v="F028"/>
    <x v="4"/>
    <x v="1"/>
    <x v="1"/>
    <x v="1"/>
    <n v="3665.62"/>
    <n v="73977"/>
    <n v="1646.75"/>
    <n v="43.77"/>
    <n v="4.9550806331697686E-2"/>
  </r>
  <r>
    <s v="F130"/>
    <x v="3"/>
    <x v="1"/>
    <x v="0"/>
    <x v="1"/>
    <n v="4127.2296200000001"/>
    <n v="43227"/>
    <n v="5199.53"/>
    <n v="44.09"/>
    <n v="9.5478048904619806E-2"/>
  </r>
  <r>
    <s v="F173"/>
    <x v="1"/>
    <x v="2"/>
    <x v="1"/>
    <x v="2"/>
    <n v="1251.29"/>
    <n v="38181"/>
    <n v="691.84"/>
    <n v="33.53"/>
    <n v="3.2772583222021423E-2"/>
  </r>
  <r>
    <s v="F146"/>
    <x v="2"/>
    <x v="1"/>
    <x v="2"/>
    <x v="1"/>
    <n v="3935.94"/>
    <n v="99115"/>
    <n v="827.26"/>
    <n v="28.88"/>
    <n v="3.9710840942339704E-2"/>
  </r>
  <r>
    <s v="F060"/>
    <x v="4"/>
    <x v="3"/>
    <x v="2"/>
    <x v="1"/>
    <n v="1012.81"/>
    <n v="41539"/>
    <n v="982.8"/>
    <n v="79.7"/>
    <n v="2.4382146898095765E-2"/>
  </r>
  <r>
    <s v="F117"/>
    <x v="2"/>
    <x v="2"/>
    <x v="2"/>
    <x v="1"/>
    <n v="817.03"/>
    <n v="52594"/>
    <n v="8715.0400000000009"/>
    <n v="90.54"/>
    <n v="1.5534661748488421E-2"/>
  </r>
  <r>
    <s v="F001"/>
    <x v="1"/>
    <x v="1"/>
    <x v="2"/>
    <x v="1"/>
    <n v="4733.58"/>
    <n v="54133"/>
    <n v="8543.68"/>
    <n v="24"/>
    <n v="8.7443518740878939E-2"/>
  </r>
  <r>
    <s v="F131"/>
    <x v="4"/>
    <x v="2"/>
    <x v="1"/>
    <x v="0"/>
    <n v="4851.63"/>
    <n v="43294"/>
    <n v="3802.13"/>
    <n v="45.84"/>
    <n v="0.11206241049568069"/>
  </r>
  <r>
    <s v="F122"/>
    <x v="4"/>
    <x v="3"/>
    <x v="2"/>
    <x v="0"/>
    <n v="2889.59"/>
    <n v="49620"/>
    <n v="2424.31"/>
    <n v="62.09"/>
    <n v="5.823438129786377E-2"/>
  </r>
  <r>
    <s v="F007"/>
    <x v="4"/>
    <x v="3"/>
    <x v="1"/>
    <x v="0"/>
    <n v="2545.79"/>
    <n v="35506"/>
    <n v="1892.04"/>
    <n v="61.53"/>
    <n v="7.1700276009688507E-2"/>
  </r>
  <r>
    <s v="F080"/>
    <x v="3"/>
    <x v="2"/>
    <x v="0"/>
    <x v="2"/>
    <n v="3857.3744120000001"/>
    <n v="10250"/>
    <n v="4717"/>
    <n v="16.600000000000001"/>
    <n v="0.37632921092682931"/>
  </r>
  <r>
    <s v="F025"/>
    <x v="4"/>
    <x v="0"/>
    <x v="0"/>
    <x v="0"/>
    <n v="1399.1880410000001"/>
    <n v="32131"/>
    <n v="1474.23"/>
    <n v="45.47"/>
    <n v="4.3546358376645611E-2"/>
  </r>
  <r>
    <s v="F099"/>
    <x v="3"/>
    <x v="0"/>
    <x v="2"/>
    <x v="0"/>
    <n v="1563.76"/>
    <n v="17162"/>
    <n v="5079.95"/>
    <n v="19.239999999999998"/>
    <n v="9.1117585363011303E-2"/>
  </r>
  <r>
    <s v="F119"/>
    <x v="2"/>
    <x v="1"/>
    <x v="1"/>
    <x v="0"/>
    <n v="2518.31"/>
    <n v="22525"/>
    <n v="9465.65"/>
    <n v="37.79"/>
    <n v="0.11180066592674806"/>
  </r>
  <r>
    <s v="F019"/>
    <x v="0"/>
    <x v="2"/>
    <x v="1"/>
    <x v="1"/>
    <n v="4134.78"/>
    <n v="68018"/>
    <n v="3523.4"/>
    <n v="92.26"/>
    <n v="6.078949689787997E-2"/>
  </r>
  <r>
    <s v="F112"/>
    <x v="4"/>
    <x v="0"/>
    <x v="2"/>
    <x v="0"/>
    <n v="2532.84"/>
    <n v="88188"/>
    <n v="815.86"/>
    <n v="57.53"/>
    <n v="2.8720914410123827E-2"/>
  </r>
  <r>
    <s v="F064"/>
    <x v="1"/>
    <x v="0"/>
    <x v="1"/>
    <x v="0"/>
    <n v="2192.7800000000002"/>
    <n v="70481"/>
    <n v="4452.83"/>
    <n v="91.26"/>
    <n v="3.111164711056881E-2"/>
  </r>
  <r>
    <s v="F055"/>
    <x v="2"/>
    <x v="2"/>
    <x v="2"/>
    <x v="2"/>
    <n v="2433.0700000000002"/>
    <n v="41050"/>
    <n v="6025.84"/>
    <n v="53.53"/>
    <n v="5.9270889159561517E-2"/>
  </r>
  <r>
    <s v="F076"/>
    <x v="2"/>
    <x v="0"/>
    <x v="2"/>
    <x v="0"/>
    <n v="3760.84"/>
    <n v="41953"/>
    <n v="2379.14"/>
    <n v="65.67"/>
    <n v="8.9644125569089225E-2"/>
  </r>
  <r>
    <s v="F077"/>
    <x v="4"/>
    <x v="0"/>
    <x v="0"/>
    <x v="0"/>
    <n v="3726.94"/>
    <n v="52836"/>
    <n v="9330.2999999999993"/>
    <n v="87.27"/>
    <n v="7.0537890832008482E-2"/>
  </r>
  <r>
    <s v="F110"/>
    <x v="4"/>
    <x v="0"/>
    <x v="1"/>
    <x v="0"/>
    <n v="3670.96"/>
    <n v="85868"/>
    <n v="907.72"/>
    <n v="90.36"/>
    <n v="4.2751199515535472E-2"/>
  </r>
  <r>
    <s v="F078"/>
    <x v="0"/>
    <x v="1"/>
    <x v="0"/>
    <x v="0"/>
    <n v="1821.13"/>
    <n v="78624"/>
    <n v="2373.27"/>
    <n v="25.07"/>
    <n v="2.3162520350020352E-2"/>
  </r>
  <r>
    <s v="F177"/>
    <x v="3"/>
    <x v="2"/>
    <x v="2"/>
    <x v="0"/>
    <n v="231.16"/>
    <n v="87482"/>
    <n v="2231.7399999999998"/>
    <n v="45.43"/>
    <n v="2.6423721451269977E-3"/>
  </r>
  <r>
    <s v="F010"/>
    <x v="0"/>
    <x v="1"/>
    <x v="0"/>
    <x v="1"/>
    <n v="1503.886974"/>
    <n v="32991"/>
    <n v="8540.14"/>
    <n v="37.75"/>
    <n v="4.5584764754023822E-2"/>
  </r>
  <r>
    <s v="F056"/>
    <x v="4"/>
    <x v="2"/>
    <x v="2"/>
    <x v="2"/>
    <n v="1448.62"/>
    <n v="99026"/>
    <n v="5453.2"/>
    <n v="57.49"/>
    <n v="1.4628683376083048E-2"/>
  </r>
  <r>
    <s v="F027"/>
    <x v="4"/>
    <x v="1"/>
    <x v="1"/>
    <x v="0"/>
    <n v="3712.48"/>
    <n v="51800"/>
    <n v="3042.95"/>
    <n v="71.87"/>
    <n v="7.1669498069498072E-2"/>
  </r>
  <r>
    <s v="F073"/>
    <x v="3"/>
    <x v="2"/>
    <x v="2"/>
    <x v="0"/>
    <n v="4843.3"/>
    <n v="26170"/>
    <n v="8057.54"/>
    <n v="63.71"/>
    <n v="0.18507069163163928"/>
  </r>
  <r>
    <s v="F062"/>
    <x v="2"/>
    <x v="2"/>
    <x v="1"/>
    <x v="1"/>
    <n v="2038.87"/>
    <n v="19265"/>
    <n v="776.6"/>
    <n v="39.75"/>
    <n v="0.10583285751362574"/>
  </r>
  <r>
    <s v="F119"/>
    <x v="2"/>
    <x v="0"/>
    <x v="2"/>
    <x v="2"/>
    <n v="501.53"/>
    <n v="22525"/>
    <n v="9465.65"/>
    <n v="37.79"/>
    <n v="2.226548279689234E-2"/>
  </r>
  <r>
    <s v="F009"/>
    <x v="0"/>
    <x v="3"/>
    <x v="1"/>
    <x v="2"/>
    <n v="2494.41"/>
    <n v="45644"/>
    <n v="7724.73"/>
    <n v="31"/>
    <n v="5.4649241959512748E-2"/>
  </r>
  <r>
    <s v="F039"/>
    <x v="2"/>
    <x v="0"/>
    <x v="1"/>
    <x v="2"/>
    <n v="3410.79"/>
    <n v="40503"/>
    <n v="7447.46"/>
    <n v="98.27"/>
    <n v="8.421079920005925E-2"/>
  </r>
  <r>
    <s v="F161"/>
    <x v="2"/>
    <x v="0"/>
    <x v="0"/>
    <x v="1"/>
    <n v="4596.0482240000001"/>
    <n v="36171"/>
    <n v="6864.38"/>
    <n v="37.03"/>
    <n v="0.12706445008432168"/>
  </r>
  <r>
    <s v="F038"/>
    <x v="4"/>
    <x v="0"/>
    <x v="2"/>
    <x v="2"/>
    <n v="2175.48"/>
    <n v="18341"/>
    <n v="8465.57"/>
    <n v="38.39"/>
    <n v="0.11861294367809826"/>
  </r>
  <r>
    <s v="F122"/>
    <x v="4"/>
    <x v="0"/>
    <x v="2"/>
    <x v="0"/>
    <n v="4410.9799999999996"/>
    <n v="49620"/>
    <n v="2424.31"/>
    <n v="62.09"/>
    <n v="8.8895203546956861E-2"/>
  </r>
  <r>
    <s v="F190"/>
    <x v="0"/>
    <x v="0"/>
    <x v="0"/>
    <x v="1"/>
    <n v="4785.2299999999996"/>
    <n v="70582"/>
    <n v="7517.59"/>
    <n v="95.71"/>
    <n v="6.779674704598905E-2"/>
  </r>
  <r>
    <s v="F030"/>
    <x v="0"/>
    <x v="2"/>
    <x v="2"/>
    <x v="1"/>
    <n v="3604.55"/>
    <n v="49924"/>
    <n v="2199.16"/>
    <n v="75.48"/>
    <n v="7.2200745132601551E-2"/>
  </r>
  <r>
    <s v="F041"/>
    <x v="1"/>
    <x v="1"/>
    <x v="2"/>
    <x v="1"/>
    <n v="3470.96"/>
    <n v="84721"/>
    <n v="2278.9699999999998"/>
    <n v="68.53"/>
    <n v="4.0969299229234785E-2"/>
  </r>
  <r>
    <s v="F131"/>
    <x v="4"/>
    <x v="2"/>
    <x v="1"/>
    <x v="0"/>
    <n v="3506.46"/>
    <n v="43294"/>
    <n v="3802.13"/>
    <n v="45.84"/>
    <n v="8.0991823347346059E-2"/>
  </r>
  <r>
    <s v="F004"/>
    <x v="0"/>
    <x v="1"/>
    <x v="0"/>
    <x v="2"/>
    <n v="2058.1298219999999"/>
    <n v="83923"/>
    <n v="8768.7999999999993"/>
    <n v="65.290000000000006"/>
    <n v="2.4524025857035614E-2"/>
  </r>
  <r>
    <s v="F048"/>
    <x v="0"/>
    <x v="3"/>
    <x v="2"/>
    <x v="2"/>
    <n v="1643.92"/>
    <n v="26338"/>
    <n v="578.73"/>
    <n v="72.52"/>
    <n v="6.2416280659123705E-2"/>
  </r>
  <r>
    <s v="F188"/>
    <x v="3"/>
    <x v="2"/>
    <x v="2"/>
    <x v="0"/>
    <n v="2080.0300000000002"/>
    <n v="80824"/>
    <n v="2858.92"/>
    <n v="13.97"/>
    <n v="2.5735301395625066E-2"/>
  </r>
  <r>
    <s v="F105"/>
    <x v="0"/>
    <x v="0"/>
    <x v="1"/>
    <x v="2"/>
    <n v="2465.4499999999998"/>
    <n v="27028"/>
    <n v="4617.92"/>
    <n v="57.62"/>
    <n v="9.1218366138818993E-2"/>
  </r>
  <r>
    <s v="F126"/>
    <x v="2"/>
    <x v="1"/>
    <x v="1"/>
    <x v="2"/>
    <n v="2931.16"/>
    <n v="75508"/>
    <n v="6856.22"/>
    <n v="18.2"/>
    <n v="3.8819197965778457E-2"/>
  </r>
  <r>
    <s v="F199"/>
    <x v="0"/>
    <x v="2"/>
    <x v="2"/>
    <x v="2"/>
    <n v="1925.79"/>
    <n v="89321"/>
    <n v="9836.34"/>
    <n v="16.989999999999998"/>
    <n v="2.1560327358627871E-2"/>
  </r>
  <r>
    <s v="F135"/>
    <x v="3"/>
    <x v="0"/>
    <x v="1"/>
    <x v="2"/>
    <n v="1331.9"/>
    <n v="56531"/>
    <n v="8958.07"/>
    <n v="83.44"/>
    <n v="2.3560524314093154E-2"/>
  </r>
  <r>
    <s v="F106"/>
    <x v="3"/>
    <x v="0"/>
    <x v="0"/>
    <x v="1"/>
    <n v="3932.2339569999999"/>
    <n v="98682"/>
    <n v="6220.56"/>
    <n v="70.099999999999994"/>
    <n v="3.9847530015605682E-2"/>
  </r>
  <r>
    <s v="F106"/>
    <x v="3"/>
    <x v="1"/>
    <x v="2"/>
    <x v="2"/>
    <n v="1414.52"/>
    <n v="98682"/>
    <n v="6220.56"/>
    <n v="70.099999999999994"/>
    <n v="1.433412375103869E-2"/>
  </r>
  <r>
    <s v="F057"/>
    <x v="1"/>
    <x v="1"/>
    <x v="0"/>
    <x v="2"/>
    <n v="3472.6851879999999"/>
    <n v="40226"/>
    <n v="7868.86"/>
    <n v="80.53"/>
    <n v="8.6329368766469447E-2"/>
  </r>
  <r>
    <s v="F011"/>
    <x v="4"/>
    <x v="3"/>
    <x v="2"/>
    <x v="2"/>
    <n v="1357.85"/>
    <n v="72846"/>
    <n v="5169.53"/>
    <n v="76.709999999999994"/>
    <n v="1.8640007687450236E-2"/>
  </r>
  <r>
    <s v="F085"/>
    <x v="4"/>
    <x v="0"/>
    <x v="2"/>
    <x v="0"/>
    <n v="347.5"/>
    <n v="29264"/>
    <n v="8362.7199999999993"/>
    <n v="61.93"/>
    <n v="1.1874658283214871E-2"/>
  </r>
  <r>
    <s v="F165"/>
    <x v="4"/>
    <x v="1"/>
    <x v="0"/>
    <x v="2"/>
    <n v="4534.231914"/>
    <n v="79330"/>
    <n v="6075.23"/>
    <n v="83.97"/>
    <n v="5.7156585327114581E-2"/>
  </r>
  <r>
    <s v="F122"/>
    <x v="4"/>
    <x v="3"/>
    <x v="1"/>
    <x v="0"/>
    <n v="3600.52"/>
    <n v="49620"/>
    <n v="2424.31"/>
    <n v="62.09"/>
    <n v="7.2561870213623536E-2"/>
  </r>
  <r>
    <s v="F130"/>
    <x v="3"/>
    <x v="3"/>
    <x v="2"/>
    <x v="2"/>
    <n v="4875.1000000000004"/>
    <n v="43227"/>
    <n v="5199.53"/>
    <n v="44.09"/>
    <n v="0.11277905013070536"/>
  </r>
  <r>
    <s v="F144"/>
    <x v="2"/>
    <x v="0"/>
    <x v="0"/>
    <x v="0"/>
    <n v="1708.84"/>
    <n v="16868"/>
    <n v="1378.01"/>
    <n v="47.52"/>
    <n v="0.10130661607778041"/>
  </r>
  <r>
    <s v="F183"/>
    <x v="3"/>
    <x v="3"/>
    <x v="2"/>
    <x v="0"/>
    <n v="126.6"/>
    <n v="29860"/>
    <n v="3956.23"/>
    <n v="57.5"/>
    <n v="4.2397856664434025E-3"/>
  </r>
  <r>
    <s v="F077"/>
    <x v="4"/>
    <x v="2"/>
    <x v="2"/>
    <x v="2"/>
    <n v="1749.03"/>
    <n v="52836"/>
    <n v="9330.2999999999993"/>
    <n v="87.27"/>
    <n v="3.3102997955939129E-2"/>
  </r>
  <r>
    <s v="F024"/>
    <x v="4"/>
    <x v="0"/>
    <x v="0"/>
    <x v="2"/>
    <n v="2617.5188039999998"/>
    <n v="95718"/>
    <n v="2443.12"/>
    <n v="35.49"/>
    <n v="2.7346150191186608E-2"/>
  </r>
  <r>
    <s v="F191"/>
    <x v="0"/>
    <x v="1"/>
    <x v="0"/>
    <x v="0"/>
    <n v="351.56"/>
    <n v="86557"/>
    <n v="8631.2800000000007"/>
    <n v="69.53"/>
    <n v="4.0616010259135601E-3"/>
  </r>
  <r>
    <s v="F029"/>
    <x v="4"/>
    <x v="3"/>
    <x v="2"/>
    <x v="0"/>
    <n v="1743.41"/>
    <n v="12262"/>
    <n v="7106.18"/>
    <n v="45.69"/>
    <n v="0.14217990539879302"/>
  </r>
  <r>
    <s v="F097"/>
    <x v="1"/>
    <x v="3"/>
    <x v="0"/>
    <x v="2"/>
    <n v="4857.8723879999998"/>
    <n v="69100"/>
    <n v="9356.02"/>
    <n v="16.5"/>
    <n v="7.0302060607814756E-2"/>
  </r>
  <r>
    <s v="F066"/>
    <x v="4"/>
    <x v="3"/>
    <x v="1"/>
    <x v="2"/>
    <n v="2816.93"/>
    <n v="13543"/>
    <n v="7854.96"/>
    <n v="85.57"/>
    <n v="0.20799896625563019"/>
  </r>
  <r>
    <s v="F121"/>
    <x v="3"/>
    <x v="1"/>
    <x v="1"/>
    <x v="1"/>
    <n v="2641.98"/>
    <n v="11952"/>
    <n v="4637.74"/>
    <n v="63.78"/>
    <n v="0.2210491967871486"/>
  </r>
  <r>
    <s v="F014"/>
    <x v="2"/>
    <x v="3"/>
    <x v="1"/>
    <x v="1"/>
    <n v="2924.31"/>
    <n v="17416"/>
    <n v="812.06"/>
    <n v="5.7"/>
    <n v="0.16790939366100138"/>
  </r>
  <r>
    <s v="F131"/>
    <x v="4"/>
    <x v="1"/>
    <x v="0"/>
    <x v="1"/>
    <n v="2885.090361"/>
    <n v="43294"/>
    <n v="3802.13"/>
    <n v="45.84"/>
    <n v="6.6639496489120889E-2"/>
  </r>
  <r>
    <s v="F013"/>
    <x v="2"/>
    <x v="3"/>
    <x v="2"/>
    <x v="2"/>
    <n v="4563.34"/>
    <n v="72813"/>
    <n v="8818.16"/>
    <n v="54.12"/>
    <n v="6.26720503206845E-2"/>
  </r>
  <r>
    <s v="F024"/>
    <x v="4"/>
    <x v="0"/>
    <x v="1"/>
    <x v="1"/>
    <n v="3703.75"/>
    <n v="95718"/>
    <n v="2443.12"/>
    <n v="35.49"/>
    <n v="3.8694393948891535E-2"/>
  </r>
  <r>
    <s v="F192"/>
    <x v="4"/>
    <x v="1"/>
    <x v="2"/>
    <x v="0"/>
    <n v="3328.72"/>
    <n v="21914"/>
    <n v="5897.27"/>
    <n v="49.41"/>
    <n v="0.15189924249338321"/>
  </r>
  <r>
    <s v="F151"/>
    <x v="2"/>
    <x v="2"/>
    <x v="2"/>
    <x v="0"/>
    <n v="4650.1400000000003"/>
    <n v="81057"/>
    <n v="675.41"/>
    <n v="55.44"/>
    <n v="5.7368765189928082E-2"/>
  </r>
  <r>
    <s v="F106"/>
    <x v="3"/>
    <x v="0"/>
    <x v="0"/>
    <x v="0"/>
    <n v="1410.901711"/>
    <n v="98682"/>
    <n v="6220.56"/>
    <n v="70.099999999999994"/>
    <n v="1.4297457601183599E-2"/>
  </r>
  <r>
    <s v="F016"/>
    <x v="2"/>
    <x v="1"/>
    <x v="1"/>
    <x v="0"/>
    <n v="802.15"/>
    <n v="93409"/>
    <n v="2375.83"/>
    <n v="5.83"/>
    <n v="8.587502274941386E-3"/>
  </r>
  <r>
    <s v="F179"/>
    <x v="1"/>
    <x v="3"/>
    <x v="1"/>
    <x v="1"/>
    <n v="3338.5"/>
    <n v="84524"/>
    <n v="9350.11"/>
    <n v="27.53"/>
    <n v="3.9497657470067671E-2"/>
  </r>
  <r>
    <s v="F192"/>
    <x v="4"/>
    <x v="2"/>
    <x v="2"/>
    <x v="2"/>
    <n v="1108.8800000000001"/>
    <n v="21914"/>
    <n v="5897.27"/>
    <n v="49.41"/>
    <n v="5.06014420005476E-2"/>
  </r>
  <r>
    <s v="F136"/>
    <x v="1"/>
    <x v="1"/>
    <x v="1"/>
    <x v="2"/>
    <n v="350.22"/>
    <n v="43346"/>
    <n v="5559.12"/>
    <n v="39.4"/>
    <n v="8.0796382595856604E-3"/>
  </r>
  <r>
    <s v="F110"/>
    <x v="4"/>
    <x v="1"/>
    <x v="1"/>
    <x v="1"/>
    <n v="1884.68"/>
    <n v="85868"/>
    <n v="907.72"/>
    <n v="90.36"/>
    <n v="2.1948572227139331E-2"/>
  </r>
  <r>
    <s v="F055"/>
    <x v="2"/>
    <x v="1"/>
    <x v="0"/>
    <x v="0"/>
    <n v="2634.7603020000001"/>
    <n v="41050"/>
    <n v="6025.84"/>
    <n v="53.53"/>
    <n v="6.4184173008526191E-2"/>
  </r>
  <r>
    <s v="F004"/>
    <x v="0"/>
    <x v="1"/>
    <x v="1"/>
    <x v="0"/>
    <n v="1677.52"/>
    <n v="83923"/>
    <n v="8768.7999999999993"/>
    <n v="65.290000000000006"/>
    <n v="1.9988799256461281E-2"/>
  </r>
  <r>
    <s v="F059"/>
    <x v="2"/>
    <x v="0"/>
    <x v="2"/>
    <x v="0"/>
    <n v="2395.0100000000002"/>
    <n v="30934"/>
    <n v="4175.6499999999996"/>
    <n v="77.290000000000006"/>
    <n v="7.7423223637421615E-2"/>
  </r>
  <r>
    <s v="F118"/>
    <x v="0"/>
    <x v="2"/>
    <x v="0"/>
    <x v="1"/>
    <n v="2603.0123579999999"/>
    <n v="14170"/>
    <n v="5455.23"/>
    <n v="25.46"/>
    <n v="0.18369882554693012"/>
  </r>
  <r>
    <s v="F027"/>
    <x v="4"/>
    <x v="1"/>
    <x v="0"/>
    <x v="1"/>
    <n v="1656.443522"/>
    <n v="51800"/>
    <n v="3042.95"/>
    <n v="71.87"/>
    <n v="3.1977674169884174E-2"/>
  </r>
  <r>
    <s v="F061"/>
    <x v="1"/>
    <x v="2"/>
    <x v="0"/>
    <x v="0"/>
    <n v="274.58999999999997"/>
    <n v="21386"/>
    <n v="2271.92"/>
    <n v="49.67"/>
    <n v="1.2839708220331057E-2"/>
  </r>
  <r>
    <s v="F159"/>
    <x v="0"/>
    <x v="0"/>
    <x v="0"/>
    <x v="0"/>
    <n v="1298.2818199999999"/>
    <n v="72224"/>
    <n v="1613.32"/>
    <n v="39.21"/>
    <n v="1.7975767334957909E-2"/>
  </r>
  <r>
    <s v="F070"/>
    <x v="2"/>
    <x v="3"/>
    <x v="2"/>
    <x v="1"/>
    <n v="814.66"/>
    <n v="15128"/>
    <n v="8847.09"/>
    <n v="5.25"/>
    <n v="5.3851136964569009E-2"/>
  </r>
  <r>
    <s v="F023"/>
    <x v="1"/>
    <x v="2"/>
    <x v="1"/>
    <x v="0"/>
    <n v="4037.11"/>
    <n v="47484"/>
    <n v="3396.39"/>
    <n v="19.510000000000002"/>
    <n v="8.5020427933619747E-2"/>
  </r>
  <r>
    <s v="F125"/>
    <x v="1"/>
    <x v="2"/>
    <x v="0"/>
    <x v="1"/>
    <n v="1604.8106110000001"/>
    <n v="82332"/>
    <n v="7134.86"/>
    <n v="22.44"/>
    <n v="1.9491942513239081E-2"/>
  </r>
  <r>
    <s v="F182"/>
    <x v="3"/>
    <x v="2"/>
    <x v="1"/>
    <x v="2"/>
    <n v="2667.56"/>
    <n v="41027"/>
    <n v="7285.85"/>
    <n v="59.87"/>
    <n v="6.5019621225046925E-2"/>
  </r>
  <r>
    <s v="F173"/>
    <x v="1"/>
    <x v="1"/>
    <x v="1"/>
    <x v="0"/>
    <n v="1194.52"/>
    <n v="38181"/>
    <n v="691.84"/>
    <n v="33.53"/>
    <n v="3.1285718027291062E-2"/>
  </r>
  <r>
    <s v="F147"/>
    <x v="1"/>
    <x v="0"/>
    <x v="2"/>
    <x v="0"/>
    <n v="4059.51"/>
    <n v="13333"/>
    <n v="6102.15"/>
    <n v="17.670000000000002"/>
    <n v="0.30447086177154431"/>
  </r>
  <r>
    <s v="F110"/>
    <x v="4"/>
    <x v="2"/>
    <x v="1"/>
    <x v="1"/>
    <n v="1051.4000000000001"/>
    <n v="85868"/>
    <n v="907.72"/>
    <n v="90.36"/>
    <n v="1.2244375087343365E-2"/>
  </r>
  <r>
    <s v="F097"/>
    <x v="1"/>
    <x v="1"/>
    <x v="0"/>
    <x v="2"/>
    <n v="1810.544091"/>
    <n v="69100"/>
    <n v="9356.02"/>
    <n v="16.5"/>
    <n v="2.6201795817655572E-2"/>
  </r>
  <r>
    <s v="F106"/>
    <x v="3"/>
    <x v="3"/>
    <x v="1"/>
    <x v="2"/>
    <n v="2916.42"/>
    <n v="98682"/>
    <n v="6220.56"/>
    <n v="70.099999999999994"/>
    <n v="2.9553718003283273E-2"/>
  </r>
  <r>
    <s v="F087"/>
    <x v="4"/>
    <x v="3"/>
    <x v="2"/>
    <x v="1"/>
    <n v="3852.61"/>
    <n v="44164"/>
    <n v="3869.32"/>
    <n v="13.81"/>
    <n v="8.7234172629290826E-2"/>
  </r>
  <r>
    <s v="F113"/>
    <x v="3"/>
    <x v="3"/>
    <x v="2"/>
    <x v="0"/>
    <n v="4795.1400000000003"/>
    <n v="69636"/>
    <n v="4246.55"/>
    <n v="69.290000000000006"/>
    <n v="6.8860072376357065E-2"/>
  </r>
  <r>
    <s v="F147"/>
    <x v="1"/>
    <x v="2"/>
    <x v="2"/>
    <x v="1"/>
    <n v="1445.25"/>
    <n v="13333"/>
    <n v="6102.15"/>
    <n v="17.670000000000002"/>
    <n v="0.10839645991149778"/>
  </r>
  <r>
    <s v="F071"/>
    <x v="4"/>
    <x v="1"/>
    <x v="2"/>
    <x v="1"/>
    <n v="869.01"/>
    <n v="26378"/>
    <n v="2915.44"/>
    <n v="29.84"/>
    <n v="3.2944499203882024E-2"/>
  </r>
  <r>
    <s v="F058"/>
    <x v="1"/>
    <x v="2"/>
    <x v="2"/>
    <x v="1"/>
    <n v="4077.29"/>
    <n v="66398"/>
    <n v="8713.61"/>
    <n v="83.44"/>
    <n v="6.140681948251453E-2"/>
  </r>
  <r>
    <s v="F092"/>
    <x v="4"/>
    <x v="0"/>
    <x v="1"/>
    <x v="0"/>
    <n v="2770.18"/>
    <n v="79495"/>
    <n v="7157.48"/>
    <n v="26.84"/>
    <n v="3.4847223095792183E-2"/>
  </r>
  <r>
    <s v="F009"/>
    <x v="0"/>
    <x v="3"/>
    <x v="0"/>
    <x v="0"/>
    <n v="2004.6969160000001"/>
    <n v="45644"/>
    <n v="7724.73"/>
    <n v="31"/>
    <n v="4.3920272456401718E-2"/>
  </r>
  <r>
    <s v="F147"/>
    <x v="1"/>
    <x v="3"/>
    <x v="2"/>
    <x v="1"/>
    <n v="4717.47"/>
    <n v="13333"/>
    <n v="6102.15"/>
    <n v="17.670000000000002"/>
    <n v="0.35381909547738694"/>
  </r>
  <r>
    <s v="F099"/>
    <x v="3"/>
    <x v="1"/>
    <x v="0"/>
    <x v="0"/>
    <n v="1392.4758690000001"/>
    <n v="17162"/>
    <n v="5079.95"/>
    <n v="19.239999999999998"/>
    <n v="8.1137155867614497E-2"/>
  </r>
  <r>
    <s v="F169"/>
    <x v="2"/>
    <x v="2"/>
    <x v="0"/>
    <x v="1"/>
    <n v="2563.3257619999999"/>
    <n v="44994"/>
    <n v="7305.59"/>
    <n v="91.53"/>
    <n v="5.6970390763212871E-2"/>
  </r>
  <r>
    <s v="F125"/>
    <x v="1"/>
    <x v="3"/>
    <x v="0"/>
    <x v="1"/>
    <n v="503.85614070000003"/>
    <n v="82332"/>
    <n v="7134.86"/>
    <n v="22.44"/>
    <n v="6.1198093171549338E-3"/>
  </r>
  <r>
    <s v="F113"/>
    <x v="3"/>
    <x v="0"/>
    <x v="2"/>
    <x v="2"/>
    <n v="897.2"/>
    <n v="69636"/>
    <n v="4246.55"/>
    <n v="69.290000000000006"/>
    <n v="1.288414038715607E-2"/>
  </r>
  <r>
    <s v="F192"/>
    <x v="4"/>
    <x v="2"/>
    <x v="1"/>
    <x v="1"/>
    <n v="2988.56"/>
    <n v="21914"/>
    <n v="5897.27"/>
    <n v="49.41"/>
    <n v="0.13637674545952358"/>
  </r>
  <r>
    <s v="F135"/>
    <x v="3"/>
    <x v="3"/>
    <x v="0"/>
    <x v="1"/>
    <n v="1067.2256460000001"/>
    <n v="56531"/>
    <n v="8958.07"/>
    <n v="83.44"/>
    <n v="1.8878591321575773E-2"/>
  </r>
  <r>
    <s v="F014"/>
    <x v="2"/>
    <x v="3"/>
    <x v="0"/>
    <x v="0"/>
    <n v="2128.8839579999999"/>
    <n v="17416"/>
    <n v="812.06"/>
    <n v="5.7"/>
    <n v="0.12223725068902158"/>
  </r>
  <r>
    <s v="F083"/>
    <x v="2"/>
    <x v="1"/>
    <x v="2"/>
    <x v="1"/>
    <n v="569.36"/>
    <n v="94704"/>
    <n v="6632.95"/>
    <n v="14.76"/>
    <n v="6.0119952694711945E-3"/>
  </r>
  <r>
    <s v="F010"/>
    <x v="0"/>
    <x v="0"/>
    <x v="1"/>
    <x v="1"/>
    <n v="2763.46"/>
    <n v="32991"/>
    <n v="8540.14"/>
    <n v="37.75"/>
    <n v="8.3764056863993214E-2"/>
  </r>
  <r>
    <s v="F026"/>
    <x v="2"/>
    <x v="1"/>
    <x v="0"/>
    <x v="0"/>
    <n v="889.01334210000005"/>
    <n v="32246"/>
    <n v="7903.93"/>
    <n v="42.12"/>
    <n v="2.7569724682131119E-2"/>
  </r>
  <r>
    <s v="F114"/>
    <x v="1"/>
    <x v="3"/>
    <x v="0"/>
    <x v="2"/>
    <n v="565.20370019999996"/>
    <n v="57353"/>
    <n v="2274.71"/>
    <n v="65.34"/>
    <n v="9.8548236395654965E-3"/>
  </r>
  <r>
    <s v="F159"/>
    <x v="0"/>
    <x v="3"/>
    <x v="2"/>
    <x v="1"/>
    <n v="4475.2700000000004"/>
    <n v="72224"/>
    <n v="1613.32"/>
    <n v="39.21"/>
    <n v="6.1963751661497569E-2"/>
  </r>
  <r>
    <s v="F147"/>
    <x v="1"/>
    <x v="1"/>
    <x v="1"/>
    <x v="0"/>
    <n v="3884.64"/>
    <n v="13333"/>
    <n v="6102.15"/>
    <n v="17.670000000000002"/>
    <n v="0.29135528388209703"/>
  </r>
  <r>
    <s v="F159"/>
    <x v="0"/>
    <x v="3"/>
    <x v="0"/>
    <x v="1"/>
    <n v="1548.146784"/>
    <n v="72224"/>
    <n v="1613.32"/>
    <n v="39.21"/>
    <n v="2.1435350908285335E-2"/>
  </r>
  <r>
    <s v="F119"/>
    <x v="2"/>
    <x v="2"/>
    <x v="1"/>
    <x v="0"/>
    <n v="1310.02"/>
    <n v="22525"/>
    <n v="9465.65"/>
    <n v="37.79"/>
    <n v="5.8158490566037738E-2"/>
  </r>
  <r>
    <s v="F080"/>
    <x v="3"/>
    <x v="1"/>
    <x v="1"/>
    <x v="2"/>
    <n v="1833.43"/>
    <n v="10250"/>
    <n v="4717"/>
    <n v="16.600000000000001"/>
    <n v="0.17887121951219512"/>
  </r>
  <r>
    <s v="F075"/>
    <x v="3"/>
    <x v="1"/>
    <x v="1"/>
    <x v="1"/>
    <n v="1039.8399999999999"/>
    <n v="60513"/>
    <n v="4578.16"/>
    <n v="65.53"/>
    <n v="1.7183745641432418E-2"/>
  </r>
  <r>
    <s v="F064"/>
    <x v="1"/>
    <x v="1"/>
    <x v="2"/>
    <x v="1"/>
    <n v="3297.47"/>
    <n v="70481"/>
    <n v="4452.83"/>
    <n v="91.26"/>
    <n v="4.6785232899646707E-2"/>
  </r>
  <r>
    <s v="F012"/>
    <x v="3"/>
    <x v="1"/>
    <x v="1"/>
    <x v="0"/>
    <n v="3091.2"/>
    <n v="43747"/>
    <n v="3453.48"/>
    <n v="98.78"/>
    <n v="7.0660845315107315E-2"/>
  </r>
  <r>
    <s v="F035"/>
    <x v="4"/>
    <x v="3"/>
    <x v="2"/>
    <x v="1"/>
    <n v="301.86"/>
    <n v="24913"/>
    <n v="5727.27"/>
    <n v="78.849999999999994"/>
    <n v="1.211656564845663E-2"/>
  </r>
  <r>
    <s v="F112"/>
    <x v="4"/>
    <x v="2"/>
    <x v="1"/>
    <x v="2"/>
    <n v="4171.41"/>
    <n v="88188"/>
    <n v="815.86"/>
    <n v="57.53"/>
    <n v="4.7301333514763913E-2"/>
  </r>
  <r>
    <s v="F179"/>
    <x v="1"/>
    <x v="3"/>
    <x v="1"/>
    <x v="0"/>
    <n v="4337.95"/>
    <n v="84524"/>
    <n v="9350.11"/>
    <n v="27.53"/>
    <n v="5.1322109696654204E-2"/>
  </r>
  <r>
    <s v="F171"/>
    <x v="4"/>
    <x v="3"/>
    <x v="0"/>
    <x v="2"/>
    <n v="3830.1000909999998"/>
    <n v="98356"/>
    <n v="6968.69"/>
    <n v="81.72"/>
    <n v="3.8941194141689374E-2"/>
  </r>
  <r>
    <s v="F022"/>
    <x v="4"/>
    <x v="0"/>
    <x v="2"/>
    <x v="2"/>
    <n v="3808.17"/>
    <n v="20207"/>
    <n v="5369.46"/>
    <n v="57.51"/>
    <n v="0.1884579601128322"/>
  </r>
  <r>
    <s v="F090"/>
    <x v="2"/>
    <x v="0"/>
    <x v="1"/>
    <x v="0"/>
    <n v="3167.4"/>
    <n v="29895"/>
    <n v="1631.08"/>
    <n v="39.93"/>
    <n v="0.10595082789764175"/>
  </r>
  <r>
    <s v="F139"/>
    <x v="0"/>
    <x v="1"/>
    <x v="0"/>
    <x v="1"/>
    <n v="742.10983380000005"/>
    <n v="80904"/>
    <n v="3263.09"/>
    <n v="58.37"/>
    <n v="9.1727211732423614E-3"/>
  </r>
  <r>
    <s v="F043"/>
    <x v="0"/>
    <x v="3"/>
    <x v="1"/>
    <x v="1"/>
    <n v="4632.6400000000003"/>
    <n v="14009"/>
    <n v="7528.98"/>
    <n v="77.62"/>
    <n v="0.33069027054036693"/>
  </r>
  <r>
    <s v="F158"/>
    <x v="3"/>
    <x v="1"/>
    <x v="1"/>
    <x v="0"/>
    <n v="1268.8"/>
    <n v="61157"/>
    <n v="7331.54"/>
    <n v="55.52"/>
    <n v="2.0746603005379595E-2"/>
  </r>
  <r>
    <s v="F171"/>
    <x v="4"/>
    <x v="0"/>
    <x v="2"/>
    <x v="1"/>
    <n v="3546.58"/>
    <n v="98356"/>
    <n v="6968.69"/>
    <n v="81.72"/>
    <n v="3.6058603440562852E-2"/>
  </r>
  <r>
    <s v="F153"/>
    <x v="3"/>
    <x v="2"/>
    <x v="2"/>
    <x v="0"/>
    <n v="1609.6"/>
    <n v="95306"/>
    <n v="9037.76"/>
    <n v="13.35"/>
    <n v="1.6888758315321176E-2"/>
  </r>
  <r>
    <s v="F040"/>
    <x v="0"/>
    <x v="3"/>
    <x v="0"/>
    <x v="1"/>
    <n v="3630.7097180000001"/>
    <n v="52357"/>
    <n v="5643.16"/>
    <n v="37.130000000000003"/>
    <n v="6.934525885745936E-2"/>
  </r>
  <r>
    <s v="F098"/>
    <x v="4"/>
    <x v="3"/>
    <x v="1"/>
    <x v="0"/>
    <n v="999.48"/>
    <n v="28704"/>
    <n v="6009.24"/>
    <n v="39.31"/>
    <n v="3.4820234113712378E-2"/>
  </r>
  <r>
    <s v="F014"/>
    <x v="2"/>
    <x v="1"/>
    <x v="1"/>
    <x v="1"/>
    <n v="4553.04"/>
    <n v="17416"/>
    <n v="812.06"/>
    <n v="5.7"/>
    <n v="0.2614285714285714"/>
  </r>
  <r>
    <s v="F028"/>
    <x v="4"/>
    <x v="0"/>
    <x v="0"/>
    <x v="2"/>
    <n v="1345.95"/>
    <n v="73977"/>
    <n v="1646.75"/>
    <n v="43.77"/>
    <n v="1.81941684577639E-2"/>
  </r>
  <r>
    <s v="F161"/>
    <x v="2"/>
    <x v="3"/>
    <x v="2"/>
    <x v="0"/>
    <n v="1432.5"/>
    <n v="36171"/>
    <n v="6864.38"/>
    <n v="37.03"/>
    <n v="3.9603549805092481E-2"/>
  </r>
  <r>
    <s v="F190"/>
    <x v="0"/>
    <x v="3"/>
    <x v="2"/>
    <x v="0"/>
    <n v="2537.5"/>
    <n v="70582"/>
    <n v="7517.59"/>
    <n v="95.71"/>
    <n v="3.5951092346490604E-2"/>
  </r>
  <r>
    <s v="F020"/>
    <x v="2"/>
    <x v="1"/>
    <x v="1"/>
    <x v="0"/>
    <n v="4832.05"/>
    <n v="95165"/>
    <n v="8562.76"/>
    <n v="37.54"/>
    <n v="5.0775495192560291E-2"/>
  </r>
  <r>
    <s v="F011"/>
    <x v="4"/>
    <x v="1"/>
    <x v="1"/>
    <x v="0"/>
    <n v="3935.58"/>
    <n v="72846"/>
    <n v="5169.53"/>
    <n v="76.709999999999994"/>
    <n v="5.402602751008978E-2"/>
  </r>
  <r>
    <s v="F040"/>
    <x v="0"/>
    <x v="1"/>
    <x v="0"/>
    <x v="2"/>
    <n v="3258.2856310000002"/>
    <n v="52357"/>
    <n v="5643.16"/>
    <n v="37.130000000000003"/>
    <n v="6.2232091811983123E-2"/>
  </r>
  <r>
    <s v="F052"/>
    <x v="3"/>
    <x v="3"/>
    <x v="1"/>
    <x v="1"/>
    <n v="1512.13"/>
    <n v="66163"/>
    <n v="1416.57"/>
    <n v="68.73"/>
    <n v="2.2854616628629296E-2"/>
  </r>
  <r>
    <s v="F060"/>
    <x v="4"/>
    <x v="1"/>
    <x v="1"/>
    <x v="0"/>
    <n v="245.71"/>
    <n v="41539"/>
    <n v="982.8"/>
    <n v="79.7"/>
    <n v="5.9151640626880766E-3"/>
  </r>
  <r>
    <s v="F104"/>
    <x v="4"/>
    <x v="0"/>
    <x v="1"/>
    <x v="2"/>
    <n v="3387.13"/>
    <n v="84851"/>
    <n v="560.75"/>
    <n v="80.23"/>
    <n v="3.9918563128307272E-2"/>
  </r>
  <r>
    <s v="F186"/>
    <x v="4"/>
    <x v="0"/>
    <x v="2"/>
    <x v="1"/>
    <n v="1014.2"/>
    <n v="61942"/>
    <n v="4891.32"/>
    <n v="91.59"/>
    <n v="1.6373381550482711E-2"/>
  </r>
  <r>
    <s v="F161"/>
    <x v="2"/>
    <x v="1"/>
    <x v="2"/>
    <x v="0"/>
    <n v="269.87"/>
    <n v="36171"/>
    <n v="6864.38"/>
    <n v="37.03"/>
    <n v="7.460949379337038E-3"/>
  </r>
  <r>
    <s v="F157"/>
    <x v="0"/>
    <x v="1"/>
    <x v="1"/>
    <x v="0"/>
    <n v="2444.67"/>
    <n v="15788"/>
    <n v="1824.14"/>
    <n v="52.78"/>
    <n v="0.15484355206485939"/>
  </r>
  <r>
    <s v="F087"/>
    <x v="4"/>
    <x v="2"/>
    <x v="1"/>
    <x v="0"/>
    <n v="1734.64"/>
    <n v="44164"/>
    <n v="3869.32"/>
    <n v="13.81"/>
    <n v="3.9277239380490901E-2"/>
  </r>
  <r>
    <s v="F086"/>
    <x v="4"/>
    <x v="3"/>
    <x v="1"/>
    <x v="0"/>
    <n v="4948.8500000000004"/>
    <n v="55974"/>
    <n v="7542.28"/>
    <n v="72.430000000000007"/>
    <n v="8.8413370493443388E-2"/>
  </r>
  <r>
    <s v="F146"/>
    <x v="2"/>
    <x v="0"/>
    <x v="0"/>
    <x v="1"/>
    <n v="2924.7805619999999"/>
    <n v="99115"/>
    <n v="827.26"/>
    <n v="28.88"/>
    <n v="2.950895991524996E-2"/>
  </r>
  <r>
    <s v="F168"/>
    <x v="2"/>
    <x v="0"/>
    <x v="1"/>
    <x v="0"/>
    <n v="1898.32"/>
    <n v="24095"/>
    <n v="3167.52"/>
    <n v="31.02"/>
    <n v="7.8784810126582269E-2"/>
  </r>
  <r>
    <s v="F137"/>
    <x v="0"/>
    <x v="1"/>
    <x v="2"/>
    <x v="1"/>
    <n v="1296.76"/>
    <n v="10933"/>
    <n v="9004.3700000000008"/>
    <n v="26.84"/>
    <n v="0.11860971371078387"/>
  </r>
  <r>
    <s v="F084"/>
    <x v="3"/>
    <x v="2"/>
    <x v="1"/>
    <x v="2"/>
    <n v="1414.37"/>
    <n v="54136"/>
    <n v="2775.38"/>
    <n v="75.459999999999994"/>
    <n v="2.6126237623762375E-2"/>
  </r>
  <r>
    <s v="F199"/>
    <x v="0"/>
    <x v="3"/>
    <x v="0"/>
    <x v="1"/>
    <n v="4136.0716000000002"/>
    <n v="89321"/>
    <n v="9836.34"/>
    <n v="16.989999999999998"/>
    <n v="4.630570190660651E-2"/>
  </r>
  <r>
    <s v="F068"/>
    <x v="0"/>
    <x v="2"/>
    <x v="2"/>
    <x v="2"/>
    <n v="3952.36"/>
    <n v="44825"/>
    <n v="6023.03"/>
    <n v="27.2"/>
    <n v="8.8173117679866145E-2"/>
  </r>
  <r>
    <s v="F147"/>
    <x v="1"/>
    <x v="3"/>
    <x v="1"/>
    <x v="0"/>
    <n v="4563.3599999999997"/>
    <n v="13333"/>
    <n v="6102.15"/>
    <n v="17.670000000000002"/>
    <n v="0.34226055651391285"/>
  </r>
  <r>
    <s v="F017"/>
    <x v="2"/>
    <x v="2"/>
    <x v="0"/>
    <x v="1"/>
    <n v="2084.5673750000001"/>
    <n v="71747"/>
    <n v="9838.66"/>
    <n v="7.25"/>
    <n v="2.905441865165094E-2"/>
  </r>
  <r>
    <s v="F165"/>
    <x v="4"/>
    <x v="3"/>
    <x v="1"/>
    <x v="0"/>
    <n v="4081.51"/>
    <n v="79330"/>
    <n v="6075.23"/>
    <n v="83.97"/>
    <n v="5.1449766796924243E-2"/>
  </r>
  <r>
    <s v="F029"/>
    <x v="4"/>
    <x v="1"/>
    <x v="2"/>
    <x v="1"/>
    <n v="4483.63"/>
    <n v="12262"/>
    <n v="7106.18"/>
    <n v="45.69"/>
    <n v="0.3656524221171098"/>
  </r>
  <r>
    <s v="F135"/>
    <x v="3"/>
    <x v="3"/>
    <x v="1"/>
    <x v="2"/>
    <n v="3368.54"/>
    <n v="56531"/>
    <n v="8958.07"/>
    <n v="83.44"/>
    <n v="5.9587482973943499E-2"/>
  </r>
  <r>
    <s v="F067"/>
    <x v="1"/>
    <x v="1"/>
    <x v="1"/>
    <x v="2"/>
    <n v="82.35"/>
    <n v="28400"/>
    <n v="3056.67"/>
    <n v="52.68"/>
    <n v="2.8996478873239435E-3"/>
  </r>
  <r>
    <s v="F170"/>
    <x v="2"/>
    <x v="3"/>
    <x v="2"/>
    <x v="1"/>
    <n v="4175.62"/>
    <n v="24502"/>
    <n v="7466.86"/>
    <n v="88.83"/>
    <n v="0.17041955758713573"/>
  </r>
  <r>
    <s v="F174"/>
    <x v="3"/>
    <x v="3"/>
    <x v="1"/>
    <x v="0"/>
    <n v="1796.14"/>
    <n v="95962"/>
    <n v="524.72"/>
    <n v="49.55"/>
    <n v="1.8717200558554428E-2"/>
  </r>
  <r>
    <s v="F126"/>
    <x v="2"/>
    <x v="3"/>
    <x v="2"/>
    <x v="1"/>
    <n v="3373.26"/>
    <n v="75508"/>
    <n v="6856.22"/>
    <n v="18.2"/>
    <n v="4.4674206706574141E-2"/>
  </r>
  <r>
    <s v="F068"/>
    <x v="0"/>
    <x v="1"/>
    <x v="1"/>
    <x v="2"/>
    <n v="3051.55"/>
    <n v="44825"/>
    <n v="6023.03"/>
    <n v="27.2"/>
    <n v="6.807696597880647E-2"/>
  </r>
  <r>
    <s v="F099"/>
    <x v="3"/>
    <x v="0"/>
    <x v="2"/>
    <x v="1"/>
    <n v="3770.37"/>
    <n v="17162"/>
    <n v="5079.95"/>
    <n v="19.239999999999998"/>
    <n v="0.21969292623237385"/>
  </r>
  <r>
    <s v="F171"/>
    <x v="4"/>
    <x v="3"/>
    <x v="2"/>
    <x v="1"/>
    <n v="3887.64"/>
    <n v="98356"/>
    <n v="6968.69"/>
    <n v="81.72"/>
    <n v="3.9526210907316277E-2"/>
  </r>
  <r>
    <s v="F200"/>
    <x v="1"/>
    <x v="0"/>
    <x v="1"/>
    <x v="0"/>
    <n v="4523.25"/>
    <n v="21081"/>
    <n v="9001.77"/>
    <n v="49.27"/>
    <n v="0.21456524832787818"/>
  </r>
  <r>
    <s v="F024"/>
    <x v="4"/>
    <x v="2"/>
    <x v="2"/>
    <x v="1"/>
    <n v="4229.33"/>
    <n v="95718"/>
    <n v="2443.12"/>
    <n v="35.49"/>
    <n v="4.418531519672371E-2"/>
  </r>
  <r>
    <s v="F105"/>
    <x v="0"/>
    <x v="2"/>
    <x v="1"/>
    <x v="2"/>
    <n v="1909.18"/>
    <n v="27028"/>
    <n v="4617.92"/>
    <n v="57.62"/>
    <n v="7.0637117063785712E-2"/>
  </r>
  <r>
    <s v="F142"/>
    <x v="0"/>
    <x v="1"/>
    <x v="1"/>
    <x v="2"/>
    <n v="1689.24"/>
    <n v="68278"/>
    <n v="3272.65"/>
    <n v="30.47"/>
    <n v="2.4740619233135124E-2"/>
  </r>
  <r>
    <s v="F037"/>
    <x v="3"/>
    <x v="1"/>
    <x v="1"/>
    <x v="2"/>
    <n v="1270.1199999999999"/>
    <n v="97337"/>
    <n v="3362.06"/>
    <n v="55.46"/>
    <n v="1.3048686522083072E-2"/>
  </r>
  <r>
    <s v="F077"/>
    <x v="4"/>
    <x v="0"/>
    <x v="0"/>
    <x v="1"/>
    <n v="1816.03"/>
    <n v="52836"/>
    <n v="9330.2999999999993"/>
    <n v="87.27"/>
    <n v="3.4371072753425692E-2"/>
  </r>
  <r>
    <s v="F169"/>
    <x v="2"/>
    <x v="3"/>
    <x v="1"/>
    <x v="1"/>
    <n v="1943.87"/>
    <n v="44994"/>
    <n v="7305.59"/>
    <n v="91.53"/>
    <n v="4.3202871493976974E-2"/>
  </r>
  <r>
    <s v="F195"/>
    <x v="1"/>
    <x v="0"/>
    <x v="2"/>
    <x v="1"/>
    <n v="2832.16"/>
    <n v="87012"/>
    <n v="7478.13"/>
    <n v="27.22"/>
    <n v="3.2549073690985149E-2"/>
  </r>
  <r>
    <s v="F179"/>
    <x v="1"/>
    <x v="1"/>
    <x v="2"/>
    <x v="0"/>
    <n v="4684.57"/>
    <n v="84524"/>
    <n v="9350.11"/>
    <n v="27.53"/>
    <n v="5.5422956793336801E-2"/>
  </r>
  <r>
    <s v="F153"/>
    <x v="3"/>
    <x v="0"/>
    <x v="0"/>
    <x v="0"/>
    <n v="785.4165941"/>
    <n v="95306"/>
    <n v="9037.76"/>
    <n v="13.35"/>
    <n v="8.2409984061863895E-3"/>
  </r>
  <r>
    <s v="F050"/>
    <x v="0"/>
    <x v="0"/>
    <x v="0"/>
    <x v="2"/>
    <n v="828.30804790000002"/>
    <n v="10067"/>
    <n v="1953.33"/>
    <n v="25.15"/>
    <n v="8.2279531926095162E-2"/>
  </r>
  <r>
    <s v="F179"/>
    <x v="1"/>
    <x v="0"/>
    <x v="1"/>
    <x v="0"/>
    <n v="4960.6099999999997"/>
    <n v="84524"/>
    <n v="9350.11"/>
    <n v="27.53"/>
    <n v="5.8688774785859633E-2"/>
  </r>
  <r>
    <s v="F076"/>
    <x v="2"/>
    <x v="1"/>
    <x v="2"/>
    <x v="0"/>
    <n v="4377.79"/>
    <n v="41953"/>
    <n v="2379.14"/>
    <n v="65.67"/>
    <n v="0.10434986770910304"/>
  </r>
  <r>
    <s v="F022"/>
    <x v="4"/>
    <x v="1"/>
    <x v="0"/>
    <x v="1"/>
    <n v="2535.300616"/>
    <n v="20207"/>
    <n v="5369.46"/>
    <n v="57.51"/>
    <n v="0.12546645301133272"/>
  </r>
  <r>
    <s v="F063"/>
    <x v="4"/>
    <x v="2"/>
    <x v="1"/>
    <x v="0"/>
    <n v="2251.6"/>
    <n v="45519"/>
    <n v="7987.69"/>
    <n v="10.86"/>
    <n v="4.9465058546980377E-2"/>
  </r>
  <r>
    <s v="F004"/>
    <x v="0"/>
    <x v="0"/>
    <x v="0"/>
    <x v="2"/>
    <n v="733.12507359999995"/>
    <n v="83923"/>
    <n v="8768.7999999999993"/>
    <n v="65.290000000000006"/>
    <n v="8.7356871608498254E-3"/>
  </r>
  <r>
    <s v="F189"/>
    <x v="0"/>
    <x v="0"/>
    <x v="2"/>
    <x v="1"/>
    <n v="1054.48"/>
    <n v="67820"/>
    <n v="8177.95"/>
    <n v="40.69"/>
    <n v="1.5548215865526394E-2"/>
  </r>
  <r>
    <s v="F175"/>
    <x v="3"/>
    <x v="1"/>
    <x v="1"/>
    <x v="1"/>
    <n v="4429.91"/>
    <n v="94949"/>
    <n v="9714.76"/>
    <n v="64.900000000000006"/>
    <n v="4.6655678311514598E-2"/>
  </r>
  <r>
    <s v="F104"/>
    <x v="4"/>
    <x v="2"/>
    <x v="0"/>
    <x v="2"/>
    <n v="3923.1479300000001"/>
    <n v="84851"/>
    <n v="560.75"/>
    <n v="80.23"/>
    <n v="4.623573004443083E-2"/>
  </r>
  <r>
    <s v="F062"/>
    <x v="2"/>
    <x v="1"/>
    <x v="0"/>
    <x v="0"/>
    <n v="767.46223359999999"/>
    <n v="19265"/>
    <n v="776.6"/>
    <n v="39.75"/>
    <n v="3.9837126062808204E-2"/>
  </r>
  <r>
    <s v="F173"/>
    <x v="1"/>
    <x v="3"/>
    <x v="0"/>
    <x v="2"/>
    <n v="592.72258729999999"/>
    <n v="38181"/>
    <n v="691.84"/>
    <n v="33.53"/>
    <n v="1.552401946779812E-2"/>
  </r>
  <r>
    <s v="F017"/>
    <x v="2"/>
    <x v="0"/>
    <x v="1"/>
    <x v="0"/>
    <n v="3539.99"/>
    <n v="71747"/>
    <n v="9838.66"/>
    <n v="7.25"/>
    <n v="4.9339902713702311E-2"/>
  </r>
  <r>
    <s v="F024"/>
    <x v="4"/>
    <x v="0"/>
    <x v="0"/>
    <x v="2"/>
    <n v="2579.1888560000002"/>
    <n v="95718"/>
    <n v="2443.12"/>
    <n v="35.49"/>
    <n v="2.6945703587621977E-2"/>
  </r>
  <r>
    <s v="F160"/>
    <x v="4"/>
    <x v="3"/>
    <x v="2"/>
    <x v="2"/>
    <n v="4158.7700000000004"/>
    <n v="36423"/>
    <n v="589.96"/>
    <n v="30.9"/>
    <n v="0.11417977651483954"/>
  </r>
  <r>
    <s v="F165"/>
    <x v="4"/>
    <x v="1"/>
    <x v="0"/>
    <x v="1"/>
    <n v="687.46053629999994"/>
    <n v="79330"/>
    <n v="6075.23"/>
    <n v="83.97"/>
    <n v="8.6658330555905699E-3"/>
  </r>
  <r>
    <s v="F135"/>
    <x v="3"/>
    <x v="2"/>
    <x v="1"/>
    <x v="2"/>
    <n v="2922.31"/>
    <n v="56531"/>
    <n v="8958.07"/>
    <n v="83.44"/>
    <n v="5.1693937839415539E-2"/>
  </r>
  <r>
    <s v="F137"/>
    <x v="0"/>
    <x v="3"/>
    <x v="1"/>
    <x v="1"/>
    <n v="584.58000000000004"/>
    <n v="10933"/>
    <n v="9004.3700000000008"/>
    <n v="26.84"/>
    <n v="5.346931308881369E-2"/>
  </r>
  <r>
    <s v="F001"/>
    <x v="1"/>
    <x v="1"/>
    <x v="1"/>
    <x v="1"/>
    <n v="87.51"/>
    <n v="54133"/>
    <n v="8543.68"/>
    <n v="24"/>
    <n v="1.6165739936822273E-3"/>
  </r>
  <r>
    <s v="F183"/>
    <x v="3"/>
    <x v="2"/>
    <x v="1"/>
    <x v="2"/>
    <n v="3948.45"/>
    <n v="29860"/>
    <n v="3956.23"/>
    <n v="57.5"/>
    <n v="0.13223208305425319"/>
  </r>
  <r>
    <s v="F172"/>
    <x v="4"/>
    <x v="3"/>
    <x v="0"/>
    <x v="1"/>
    <n v="3846.6288559999998"/>
    <n v="98396"/>
    <n v="5174.07"/>
    <n v="63.38"/>
    <n v="3.9093345827066139E-2"/>
  </r>
  <r>
    <s v="F141"/>
    <x v="1"/>
    <x v="0"/>
    <x v="0"/>
    <x v="2"/>
    <n v="4673.8026419999997"/>
    <n v="58622"/>
    <n v="7795.36"/>
    <n v="59.81"/>
    <n v="7.9727792330524377E-2"/>
  </r>
  <r>
    <s v="F170"/>
    <x v="2"/>
    <x v="3"/>
    <x v="2"/>
    <x v="2"/>
    <n v="4711.6899999999996"/>
    <n v="24502"/>
    <n v="7466.86"/>
    <n v="88.83"/>
    <n v="0.19229817974042934"/>
  </r>
  <r>
    <s v="F017"/>
    <x v="2"/>
    <x v="1"/>
    <x v="0"/>
    <x v="1"/>
    <n v="2670.5212799999999"/>
    <n v="71747"/>
    <n v="9838.66"/>
    <n v="7.25"/>
    <n v="3.7221365074497886E-2"/>
  </r>
  <r>
    <s v="F166"/>
    <x v="3"/>
    <x v="3"/>
    <x v="0"/>
    <x v="1"/>
    <n v="919.40386920000003"/>
    <n v="96474"/>
    <n v="7574.39"/>
    <n v="95.54"/>
    <n v="9.530068922196655E-3"/>
  </r>
  <r>
    <s v="F153"/>
    <x v="3"/>
    <x v="2"/>
    <x v="1"/>
    <x v="2"/>
    <n v="4514.75"/>
    <n v="95306"/>
    <n v="9037.76"/>
    <n v="13.35"/>
    <n v="4.7371099406123433E-2"/>
  </r>
  <r>
    <s v="F161"/>
    <x v="2"/>
    <x v="3"/>
    <x v="0"/>
    <x v="1"/>
    <n v="3766.601905"/>
    <n v="36171"/>
    <n v="6864.38"/>
    <n v="37.03"/>
    <n v="0.1041331980039258"/>
  </r>
  <r>
    <s v="F130"/>
    <x v="3"/>
    <x v="2"/>
    <x v="2"/>
    <x v="0"/>
    <n v="730.13"/>
    <n v="43227"/>
    <n v="5199.53"/>
    <n v="44.09"/>
    <n v="1.6890600781918709E-2"/>
  </r>
  <r>
    <s v="F141"/>
    <x v="1"/>
    <x v="1"/>
    <x v="1"/>
    <x v="2"/>
    <n v="2811.95"/>
    <n v="58622"/>
    <n v="7795.36"/>
    <n v="59.81"/>
    <n v="4.7967486609122853E-2"/>
  </r>
  <r>
    <s v="F017"/>
    <x v="2"/>
    <x v="1"/>
    <x v="0"/>
    <x v="1"/>
    <n v="5044.2036189999999"/>
    <n v="71747"/>
    <n v="9838.66"/>
    <n v="7.25"/>
    <n v="7.0305429063236086E-2"/>
  </r>
  <r>
    <s v="F190"/>
    <x v="0"/>
    <x v="0"/>
    <x v="2"/>
    <x v="1"/>
    <n v="4074.33"/>
    <n v="70582"/>
    <n v="7517.59"/>
    <n v="95.71"/>
    <n v="5.7724774021705248E-2"/>
  </r>
  <r>
    <s v="F117"/>
    <x v="2"/>
    <x v="0"/>
    <x v="2"/>
    <x v="1"/>
    <n v="1048.08"/>
    <n v="52594"/>
    <n v="8715.0400000000009"/>
    <n v="90.54"/>
    <n v="1.9927748412366428E-2"/>
  </r>
  <r>
    <s v="F038"/>
    <x v="4"/>
    <x v="3"/>
    <x v="0"/>
    <x v="1"/>
    <n v="3290.44"/>
    <n v="18341"/>
    <n v="8465.57"/>
    <n v="38.39"/>
    <n v="0.17940352216345892"/>
  </r>
  <r>
    <s v="F006"/>
    <x v="4"/>
    <x v="1"/>
    <x v="0"/>
    <x v="0"/>
    <n v="1966.43"/>
    <n v="11426"/>
    <n v="4439.5600000000004"/>
    <n v="52.71"/>
    <n v="0.17210134780325573"/>
  </r>
  <r>
    <s v="F078"/>
    <x v="0"/>
    <x v="0"/>
    <x v="2"/>
    <x v="1"/>
    <n v="2842.86"/>
    <n v="78624"/>
    <n v="2373.27"/>
    <n v="25.07"/>
    <n v="3.6157661782661783E-2"/>
  </r>
  <r>
    <s v="F003"/>
    <x v="3"/>
    <x v="1"/>
    <x v="1"/>
    <x v="1"/>
    <n v="2556.0500000000002"/>
    <n v="27681"/>
    <n v="928.26"/>
    <n v="44.97"/>
    <n v="9.2339510855821691E-2"/>
  </r>
  <r>
    <s v="F118"/>
    <x v="0"/>
    <x v="2"/>
    <x v="2"/>
    <x v="1"/>
    <n v="3688.09"/>
    <n v="14170"/>
    <n v="5455.23"/>
    <n v="25.46"/>
    <n v="0.26027452364149611"/>
  </r>
  <r>
    <s v="F012"/>
    <x v="3"/>
    <x v="0"/>
    <x v="0"/>
    <x v="0"/>
    <n v="3222.3519350000001"/>
    <n v="43747"/>
    <n v="3453.48"/>
    <n v="98.78"/>
    <n v="7.3658809404073419E-2"/>
  </r>
  <r>
    <s v="F063"/>
    <x v="4"/>
    <x v="2"/>
    <x v="1"/>
    <x v="2"/>
    <n v="475.84"/>
    <n v="45519"/>
    <n v="7987.69"/>
    <n v="10.86"/>
    <n v="1.0453656714778443E-2"/>
  </r>
  <r>
    <s v="F150"/>
    <x v="4"/>
    <x v="0"/>
    <x v="1"/>
    <x v="1"/>
    <n v="258.93"/>
    <n v="46863"/>
    <n v="6762.98"/>
    <n v="23.45"/>
    <n v="5.5252544651430771E-3"/>
  </r>
  <r>
    <s v="F028"/>
    <x v="4"/>
    <x v="0"/>
    <x v="0"/>
    <x v="2"/>
    <n v="850.45"/>
    <n v="73977"/>
    <n v="1646.75"/>
    <n v="43.77"/>
    <n v="1.149614069237736E-2"/>
  </r>
  <r>
    <s v="F171"/>
    <x v="4"/>
    <x v="3"/>
    <x v="1"/>
    <x v="2"/>
    <n v="1887.87"/>
    <n v="98356"/>
    <n v="6968.69"/>
    <n v="81.72"/>
    <n v="1.9194253528000325E-2"/>
  </r>
  <r>
    <s v="F082"/>
    <x v="0"/>
    <x v="3"/>
    <x v="2"/>
    <x v="2"/>
    <n v="533.01"/>
    <n v="17468"/>
    <n v="6359.73"/>
    <n v="5.22"/>
    <n v="3.0513510419051981E-2"/>
  </r>
  <r>
    <s v="F183"/>
    <x v="3"/>
    <x v="0"/>
    <x v="2"/>
    <x v="0"/>
    <n v="572.46"/>
    <n v="29860"/>
    <n v="3956.23"/>
    <n v="57.5"/>
    <n v="1.9171466845277964E-2"/>
  </r>
  <r>
    <s v="F090"/>
    <x v="2"/>
    <x v="1"/>
    <x v="2"/>
    <x v="2"/>
    <n v="4635.99"/>
    <n v="29895"/>
    <n v="1631.08"/>
    <n v="39.93"/>
    <n v="0.15507576517812344"/>
  </r>
  <r>
    <s v="F131"/>
    <x v="4"/>
    <x v="3"/>
    <x v="1"/>
    <x v="2"/>
    <n v="4891.97"/>
    <n v="43294"/>
    <n v="3802.13"/>
    <n v="45.84"/>
    <n v="0.11299417933200906"/>
  </r>
  <r>
    <s v="F200"/>
    <x v="1"/>
    <x v="2"/>
    <x v="2"/>
    <x v="0"/>
    <n v="1184.1400000000001"/>
    <n v="21081"/>
    <n v="9001.77"/>
    <n v="49.27"/>
    <n v="5.6170959631896028E-2"/>
  </r>
  <r>
    <s v="F028"/>
    <x v="4"/>
    <x v="1"/>
    <x v="1"/>
    <x v="1"/>
    <n v="802.03"/>
    <n v="73977"/>
    <n v="1646.75"/>
    <n v="43.77"/>
    <n v="1.0841612933749679E-2"/>
  </r>
  <r>
    <s v="F042"/>
    <x v="1"/>
    <x v="1"/>
    <x v="0"/>
    <x v="0"/>
    <n v="2408.4791700000001"/>
    <n v="58111"/>
    <n v="4610.8999999999996"/>
    <n v="21.53"/>
    <n v="4.1446183510867138E-2"/>
  </r>
  <r>
    <s v="F157"/>
    <x v="0"/>
    <x v="1"/>
    <x v="0"/>
    <x v="1"/>
    <n v="3733.1564819999999"/>
    <n v="15788"/>
    <n v="1824.14"/>
    <n v="52.78"/>
    <n v="0.23645531302254877"/>
  </r>
  <r>
    <s v="F010"/>
    <x v="0"/>
    <x v="2"/>
    <x v="0"/>
    <x v="2"/>
    <n v="163.45412289999999"/>
    <n v="32991"/>
    <n v="8540.14"/>
    <n v="37.75"/>
    <n v="4.9545064684307838E-3"/>
  </r>
  <r>
    <s v="F053"/>
    <x v="0"/>
    <x v="2"/>
    <x v="1"/>
    <x v="1"/>
    <n v="106.8"/>
    <n v="56392"/>
    <n v="5703.76"/>
    <n v="23.04"/>
    <n v="1.8938856575400765E-3"/>
  </r>
  <r>
    <s v="F174"/>
    <x v="3"/>
    <x v="3"/>
    <x v="1"/>
    <x v="1"/>
    <n v="2626.92"/>
    <n v="95962"/>
    <n v="524.72"/>
    <n v="49.55"/>
    <n v="2.7374585773535357E-2"/>
  </r>
  <r>
    <s v="F139"/>
    <x v="0"/>
    <x v="0"/>
    <x v="1"/>
    <x v="1"/>
    <n v="4932.7299999999996"/>
    <n v="80904"/>
    <n v="3263.09"/>
    <n v="58.37"/>
    <n v="6.0970162167507162E-2"/>
  </r>
  <r>
    <s v="F123"/>
    <x v="1"/>
    <x v="0"/>
    <x v="2"/>
    <x v="2"/>
    <n v="2097.4"/>
    <n v="58113"/>
    <n v="6382.12"/>
    <n v="56.66"/>
    <n v="3.6091752275738652E-2"/>
  </r>
  <r>
    <s v="F003"/>
    <x v="3"/>
    <x v="1"/>
    <x v="0"/>
    <x v="1"/>
    <n v="3185.28"/>
    <n v="27681"/>
    <n v="928.26"/>
    <n v="44.97"/>
    <n v="0.11507098731982227"/>
  </r>
  <r>
    <s v="F148"/>
    <x v="1"/>
    <x v="3"/>
    <x v="1"/>
    <x v="0"/>
    <n v="3081.68"/>
    <n v="47491"/>
    <n v="5781.05"/>
    <n v="92.18"/>
    <n v="6.4889768587732405E-2"/>
  </r>
  <r>
    <s v="F040"/>
    <x v="0"/>
    <x v="1"/>
    <x v="2"/>
    <x v="1"/>
    <n v="1531.36"/>
    <n v="52357"/>
    <n v="5643.16"/>
    <n v="37.130000000000003"/>
    <n v="2.924842905437668E-2"/>
  </r>
  <r>
    <s v="F067"/>
    <x v="1"/>
    <x v="3"/>
    <x v="1"/>
    <x v="0"/>
    <n v="1564.12"/>
    <n v="28400"/>
    <n v="3056.67"/>
    <n v="52.68"/>
    <n v="5.5074647887323941E-2"/>
  </r>
  <r>
    <s v="F108"/>
    <x v="3"/>
    <x v="2"/>
    <x v="2"/>
    <x v="0"/>
    <n v="3016.94"/>
    <n v="39050"/>
    <n v="5885.73"/>
    <n v="93.04"/>
    <n v="7.72583866837388E-2"/>
  </r>
  <r>
    <s v="F012"/>
    <x v="3"/>
    <x v="3"/>
    <x v="0"/>
    <x v="1"/>
    <n v="3853.1870269999999"/>
    <n v="43747"/>
    <n v="3453.48"/>
    <n v="98.78"/>
    <n v="8.807888602647039E-2"/>
  </r>
  <r>
    <s v="F170"/>
    <x v="2"/>
    <x v="2"/>
    <x v="2"/>
    <x v="0"/>
    <n v="459.36"/>
    <n v="24502"/>
    <n v="7466.86"/>
    <n v="88.83"/>
    <n v="1.874785731776998E-2"/>
  </r>
  <r>
    <s v="F180"/>
    <x v="2"/>
    <x v="2"/>
    <x v="1"/>
    <x v="1"/>
    <n v="2792.22"/>
    <n v="13302"/>
    <n v="821.51"/>
    <n v="69.599999999999994"/>
    <n v="0.20990978800180424"/>
  </r>
  <r>
    <s v="F100"/>
    <x v="0"/>
    <x v="3"/>
    <x v="2"/>
    <x v="1"/>
    <n v="4129.93"/>
    <n v="90632"/>
    <n v="5292.17"/>
    <n v="78.45"/>
    <n v="4.5568121634742699E-2"/>
  </r>
  <r>
    <s v="F130"/>
    <x v="3"/>
    <x v="3"/>
    <x v="2"/>
    <x v="1"/>
    <n v="2515.67"/>
    <n v="43227"/>
    <n v="5199.53"/>
    <n v="44.09"/>
    <n v="5.8196728896291669E-2"/>
  </r>
  <r>
    <s v="F017"/>
    <x v="2"/>
    <x v="1"/>
    <x v="0"/>
    <x v="0"/>
    <n v="1577.952059"/>
    <n v="71747"/>
    <n v="9838.66"/>
    <n v="7.25"/>
    <n v="2.1993282771405075E-2"/>
  </r>
  <r>
    <s v="F031"/>
    <x v="3"/>
    <x v="1"/>
    <x v="0"/>
    <x v="2"/>
    <n v="4224.2000390000003"/>
    <n v="86263"/>
    <n v="3213.71"/>
    <n v="98.39"/>
    <n v="4.8968851523828294E-2"/>
  </r>
  <r>
    <s v="F108"/>
    <x v="3"/>
    <x v="2"/>
    <x v="0"/>
    <x v="2"/>
    <n v="4932.401664"/>
    <n v="39050"/>
    <n v="5885.73"/>
    <n v="93.04"/>
    <n v="0.12630990176696544"/>
  </r>
  <r>
    <s v="F189"/>
    <x v="0"/>
    <x v="1"/>
    <x v="2"/>
    <x v="0"/>
    <n v="1505.22"/>
    <n v="67820"/>
    <n v="8177.95"/>
    <n v="40.69"/>
    <n v="2.2194337953406074E-2"/>
  </r>
  <r>
    <s v="F009"/>
    <x v="0"/>
    <x v="2"/>
    <x v="0"/>
    <x v="1"/>
    <n v="2186.8441339999999"/>
    <n v="45644"/>
    <n v="7724.73"/>
    <n v="31"/>
    <n v="4.7910878406800451E-2"/>
  </r>
  <r>
    <s v="F010"/>
    <x v="0"/>
    <x v="1"/>
    <x v="1"/>
    <x v="0"/>
    <n v="1236.5999999999999"/>
    <n v="32991"/>
    <n v="8540.14"/>
    <n v="37.75"/>
    <n v="3.748294989542602E-2"/>
  </r>
  <r>
    <s v="F102"/>
    <x v="1"/>
    <x v="3"/>
    <x v="1"/>
    <x v="0"/>
    <n v="950.62"/>
    <n v="82377"/>
    <n v="7974.74"/>
    <n v="9.17"/>
    <n v="1.1539871566092477E-2"/>
  </r>
  <r>
    <s v="F189"/>
    <x v="0"/>
    <x v="3"/>
    <x v="0"/>
    <x v="0"/>
    <n v="1417.732332"/>
    <n v="67820"/>
    <n v="8177.95"/>
    <n v="40.69"/>
    <n v="2.0904339899734593E-2"/>
  </r>
  <r>
    <s v="F096"/>
    <x v="0"/>
    <x v="0"/>
    <x v="1"/>
    <x v="0"/>
    <n v="1840.6"/>
    <n v="21388"/>
    <n v="5249.39"/>
    <n v="64.2"/>
    <n v="8.6057602393865715E-2"/>
  </r>
  <r>
    <s v="F022"/>
    <x v="4"/>
    <x v="3"/>
    <x v="2"/>
    <x v="1"/>
    <n v="136.41"/>
    <n v="20207"/>
    <n v="5369.46"/>
    <n v="57.51"/>
    <n v="6.7506309694660262E-3"/>
  </r>
  <r>
    <s v="F139"/>
    <x v="0"/>
    <x v="2"/>
    <x v="1"/>
    <x v="2"/>
    <n v="2167.6999999999998"/>
    <n v="80904"/>
    <n v="3263.09"/>
    <n v="58.37"/>
    <n v="2.6793483634925341E-2"/>
  </r>
  <r>
    <s v="F097"/>
    <x v="1"/>
    <x v="1"/>
    <x v="2"/>
    <x v="2"/>
    <n v="3755.45"/>
    <n v="69100"/>
    <n v="9356.02"/>
    <n v="16.5"/>
    <n v="5.4348046309696092E-2"/>
  </r>
  <r>
    <s v="F064"/>
    <x v="1"/>
    <x v="1"/>
    <x v="2"/>
    <x v="0"/>
    <n v="1313.84"/>
    <n v="70481"/>
    <n v="4452.83"/>
    <n v="91.26"/>
    <n v="1.8641052198464833E-2"/>
  </r>
  <r>
    <s v="F155"/>
    <x v="2"/>
    <x v="1"/>
    <x v="0"/>
    <x v="0"/>
    <n v="460.07946659999999"/>
    <n v="75736"/>
    <n v="6287.07"/>
    <n v="63.11"/>
    <n v="6.0747790561952045E-3"/>
  </r>
  <r>
    <s v="F098"/>
    <x v="4"/>
    <x v="1"/>
    <x v="0"/>
    <x v="2"/>
    <n v="2230.0799240000001"/>
    <n v="28704"/>
    <n v="6009.24"/>
    <n v="39.31"/>
    <n v="7.7692305044593096E-2"/>
  </r>
  <r>
    <s v="F158"/>
    <x v="3"/>
    <x v="0"/>
    <x v="1"/>
    <x v="2"/>
    <n v="324.83"/>
    <n v="61157"/>
    <n v="7331.54"/>
    <n v="55.52"/>
    <n v="5.3114116127344372E-3"/>
  </r>
  <r>
    <s v="F119"/>
    <x v="2"/>
    <x v="2"/>
    <x v="0"/>
    <x v="0"/>
    <n v="621.26902540000003"/>
    <n v="22525"/>
    <n v="9465.65"/>
    <n v="37.79"/>
    <n v="2.7581310783573808E-2"/>
  </r>
  <r>
    <s v="F178"/>
    <x v="3"/>
    <x v="2"/>
    <x v="2"/>
    <x v="0"/>
    <n v="1054.75"/>
    <n v="94861"/>
    <n v="8363.57"/>
    <n v="90.29"/>
    <n v="1.1118900285681155E-2"/>
  </r>
  <r>
    <s v="F082"/>
    <x v="0"/>
    <x v="1"/>
    <x v="0"/>
    <x v="1"/>
    <n v="5086.7290380000004"/>
    <n v="17468"/>
    <n v="6359.73"/>
    <n v="5.22"/>
    <n v="0.29120271570872452"/>
  </r>
  <r>
    <s v="F080"/>
    <x v="3"/>
    <x v="2"/>
    <x v="2"/>
    <x v="2"/>
    <n v="733.07"/>
    <n v="10250"/>
    <n v="4717"/>
    <n v="16.600000000000001"/>
    <n v="7.1519024390243907E-2"/>
  </r>
  <r>
    <s v="F184"/>
    <x v="0"/>
    <x v="1"/>
    <x v="1"/>
    <x v="2"/>
    <n v="4608.12"/>
    <n v="22201"/>
    <n v="2853.66"/>
    <n v="71.94"/>
    <n v="0.20756362326021349"/>
  </r>
  <r>
    <s v="F134"/>
    <x v="3"/>
    <x v="2"/>
    <x v="2"/>
    <x v="0"/>
    <n v="3092.45"/>
    <n v="16256"/>
    <n v="2127.1799999999998"/>
    <n v="38.94"/>
    <n v="0.19023437499999998"/>
  </r>
  <r>
    <s v="F024"/>
    <x v="4"/>
    <x v="3"/>
    <x v="1"/>
    <x v="1"/>
    <n v="824.2"/>
    <n v="95718"/>
    <n v="2443.12"/>
    <n v="35.49"/>
    <n v="8.6107106291397652E-3"/>
  </r>
  <r>
    <s v="F026"/>
    <x v="2"/>
    <x v="0"/>
    <x v="2"/>
    <x v="0"/>
    <n v="1816.62"/>
    <n v="32246"/>
    <n v="7903.93"/>
    <n v="42.12"/>
    <n v="5.6336289772374863E-2"/>
  </r>
  <r>
    <s v="F155"/>
    <x v="2"/>
    <x v="1"/>
    <x v="0"/>
    <x v="1"/>
    <n v="1750.321625"/>
    <n v="75736"/>
    <n v="6287.07"/>
    <n v="63.11"/>
    <n v="2.3110827413647408E-2"/>
  </r>
  <r>
    <s v="F043"/>
    <x v="0"/>
    <x v="1"/>
    <x v="0"/>
    <x v="0"/>
    <n v="4387.1743159999996"/>
    <n v="14009"/>
    <n v="7528.98"/>
    <n v="77.62"/>
    <n v="0.31316827153972443"/>
  </r>
  <r>
    <s v="F179"/>
    <x v="1"/>
    <x v="2"/>
    <x v="2"/>
    <x v="2"/>
    <n v="3959.46"/>
    <n v="84524"/>
    <n v="9350.11"/>
    <n v="27.53"/>
    <n v="4.6844209928541006E-2"/>
  </r>
  <r>
    <s v="F120"/>
    <x v="4"/>
    <x v="2"/>
    <x v="2"/>
    <x v="2"/>
    <n v="976.87"/>
    <n v="57215"/>
    <n v="3227.1"/>
    <n v="32.909999999999997"/>
    <n v="1.7073669492266016E-2"/>
  </r>
  <r>
    <s v="F037"/>
    <x v="3"/>
    <x v="0"/>
    <x v="1"/>
    <x v="2"/>
    <n v="836.5"/>
    <n v="97337"/>
    <n v="3362.06"/>
    <n v="55.46"/>
    <n v="8.5938543411035878E-3"/>
  </r>
  <r>
    <s v="F066"/>
    <x v="4"/>
    <x v="3"/>
    <x v="1"/>
    <x v="1"/>
    <n v="4095.46"/>
    <n v="13543"/>
    <n v="7854.96"/>
    <n v="85.57"/>
    <n v="0.30240419404858598"/>
  </r>
  <r>
    <s v="F041"/>
    <x v="1"/>
    <x v="2"/>
    <x v="2"/>
    <x v="1"/>
    <n v="3574.84"/>
    <n v="84721"/>
    <n v="2278.9699999999998"/>
    <n v="68.53"/>
    <n v="4.2195441508008642E-2"/>
  </r>
  <r>
    <s v="F110"/>
    <x v="4"/>
    <x v="3"/>
    <x v="2"/>
    <x v="2"/>
    <n v="4705.34"/>
    <n v="85868"/>
    <n v="907.72"/>
    <n v="90.36"/>
    <n v="5.4797363394978343E-2"/>
  </r>
  <r>
    <s v="F154"/>
    <x v="0"/>
    <x v="1"/>
    <x v="1"/>
    <x v="2"/>
    <n v="4617.59"/>
    <n v="17097"/>
    <n v="9061.7800000000007"/>
    <n v="95.92"/>
    <n v="0.27008188571094344"/>
  </r>
  <r>
    <s v="F117"/>
    <x v="2"/>
    <x v="0"/>
    <x v="1"/>
    <x v="0"/>
    <n v="3378.57"/>
    <n v="52594"/>
    <n v="8715.0400000000009"/>
    <n v="90.54"/>
    <n v="6.4238696429250494E-2"/>
  </r>
  <r>
    <s v="F106"/>
    <x v="3"/>
    <x v="2"/>
    <x v="2"/>
    <x v="0"/>
    <n v="1071.83"/>
    <n v="98682"/>
    <n v="6220.56"/>
    <n v="70.099999999999994"/>
    <n v="1.0861453963235443E-2"/>
  </r>
  <r>
    <s v="F140"/>
    <x v="4"/>
    <x v="1"/>
    <x v="0"/>
    <x v="2"/>
    <n v="958.6543772"/>
    <n v="94347"/>
    <n v="2272.58"/>
    <n v="34.75"/>
    <n v="1.0160941812670249E-2"/>
  </r>
  <r>
    <s v="F017"/>
    <x v="2"/>
    <x v="2"/>
    <x v="0"/>
    <x v="2"/>
    <n v="1194.635671"/>
    <n v="71747"/>
    <n v="9838.66"/>
    <n v="7.25"/>
    <n v="1.6650670704001561E-2"/>
  </r>
  <r>
    <s v="F151"/>
    <x v="2"/>
    <x v="3"/>
    <x v="0"/>
    <x v="2"/>
    <n v="1366.7456500000001"/>
    <n v="81057"/>
    <n v="675.41"/>
    <n v="55.44"/>
    <n v="1.6861537559988652E-2"/>
  </r>
  <r>
    <s v="F056"/>
    <x v="4"/>
    <x v="2"/>
    <x v="1"/>
    <x v="1"/>
    <n v="1936.56"/>
    <n v="99026"/>
    <n v="5453.2"/>
    <n v="57.49"/>
    <n v="1.9556076182012803E-2"/>
  </r>
  <r>
    <s v="F065"/>
    <x v="1"/>
    <x v="1"/>
    <x v="0"/>
    <x v="0"/>
    <n v="872.02317370000003"/>
    <n v="91031"/>
    <n v="1783.57"/>
    <n v="32.049999999999997"/>
    <n v="9.5794089233338098E-3"/>
  </r>
  <r>
    <s v="F026"/>
    <x v="2"/>
    <x v="3"/>
    <x v="2"/>
    <x v="1"/>
    <n v="4730.6899999999996"/>
    <n v="32246"/>
    <n v="7903.93"/>
    <n v="42.12"/>
    <n v="0.14670625814054455"/>
  </r>
  <r>
    <s v="F036"/>
    <x v="3"/>
    <x v="1"/>
    <x v="0"/>
    <x v="0"/>
    <n v="3135.117119"/>
    <n v="53942"/>
    <n v="5904.31"/>
    <n v="32.78"/>
    <n v="5.8120149771977311E-2"/>
  </r>
  <r>
    <s v="F076"/>
    <x v="2"/>
    <x v="2"/>
    <x v="0"/>
    <x v="1"/>
    <n v="1288.693927"/>
    <n v="41953"/>
    <n v="2379.14"/>
    <n v="65.67"/>
    <n v="3.0717563154005673E-2"/>
  </r>
  <r>
    <s v="F172"/>
    <x v="4"/>
    <x v="0"/>
    <x v="1"/>
    <x v="0"/>
    <n v="3302.89"/>
    <n v="98396"/>
    <n v="5174.07"/>
    <n v="63.38"/>
    <n v="3.3567319809748364E-2"/>
  </r>
  <r>
    <s v="F136"/>
    <x v="1"/>
    <x v="1"/>
    <x v="2"/>
    <x v="1"/>
    <n v="1167.23"/>
    <n v="43346"/>
    <n v="5559.12"/>
    <n v="39.4"/>
    <n v="2.6928205601439579E-2"/>
  </r>
  <r>
    <s v="F101"/>
    <x v="3"/>
    <x v="3"/>
    <x v="0"/>
    <x v="0"/>
    <n v="1716.9930870000001"/>
    <n v="65719"/>
    <n v="9362.41"/>
    <n v="86.55"/>
    <n v="2.6126281395030357E-2"/>
  </r>
  <r>
    <s v="F133"/>
    <x v="2"/>
    <x v="1"/>
    <x v="2"/>
    <x v="2"/>
    <n v="2018.44"/>
    <n v="41168"/>
    <n v="8226.77"/>
    <n v="42.55"/>
    <n v="4.9029343179168287E-2"/>
  </r>
  <r>
    <s v="F174"/>
    <x v="3"/>
    <x v="2"/>
    <x v="0"/>
    <x v="0"/>
    <n v="5025.5408010000001"/>
    <n v="95962"/>
    <n v="524.72"/>
    <n v="49.55"/>
    <n v="5.237011318021717E-2"/>
  </r>
  <r>
    <s v="F062"/>
    <x v="2"/>
    <x v="3"/>
    <x v="0"/>
    <x v="1"/>
    <n v="2513.2965159999999"/>
    <n v="19265"/>
    <n v="776.6"/>
    <n v="39.75"/>
    <n v="0.13045920145341292"/>
  </r>
  <r>
    <s v="F109"/>
    <x v="0"/>
    <x v="0"/>
    <x v="1"/>
    <x v="1"/>
    <n v="2145.48"/>
    <n v="34318"/>
    <n v="675.67"/>
    <n v="41.05"/>
    <n v="6.2517629232472754E-2"/>
  </r>
  <r>
    <s v="F025"/>
    <x v="4"/>
    <x v="1"/>
    <x v="1"/>
    <x v="0"/>
    <n v="1701.79"/>
    <n v="32131"/>
    <n v="1474.23"/>
    <n v="45.47"/>
    <n v="5.2964115651551458E-2"/>
  </r>
  <r>
    <s v="F127"/>
    <x v="3"/>
    <x v="3"/>
    <x v="2"/>
    <x v="1"/>
    <n v="1017.33"/>
    <n v="77400"/>
    <n v="7504.8"/>
    <n v="68.819999999999993"/>
    <n v="1.3143798449612403E-2"/>
  </r>
  <r>
    <s v="F062"/>
    <x v="2"/>
    <x v="0"/>
    <x v="2"/>
    <x v="1"/>
    <n v="4417.58"/>
    <n v="19265"/>
    <n v="776.6"/>
    <n v="39.75"/>
    <n v="0.22930599532831558"/>
  </r>
  <r>
    <s v="F153"/>
    <x v="3"/>
    <x v="0"/>
    <x v="1"/>
    <x v="0"/>
    <n v="2948.39"/>
    <n v="95306"/>
    <n v="9037.76"/>
    <n v="13.35"/>
    <n v="3.09360376051875E-2"/>
  </r>
  <r>
    <s v="F029"/>
    <x v="4"/>
    <x v="2"/>
    <x v="2"/>
    <x v="2"/>
    <n v="2543.38"/>
    <n v="12262"/>
    <n v="7106.18"/>
    <n v="45.69"/>
    <n v="0.20741967052683086"/>
  </r>
  <r>
    <s v="F038"/>
    <x v="4"/>
    <x v="1"/>
    <x v="0"/>
    <x v="1"/>
    <n v="3031.49"/>
    <n v="18341"/>
    <n v="8465.57"/>
    <n v="38.39"/>
    <n v="0.16528488086800064"/>
  </r>
  <r>
    <s v="F128"/>
    <x v="2"/>
    <x v="3"/>
    <x v="0"/>
    <x v="1"/>
    <n v="4209.3514340000002"/>
    <n v="68216"/>
    <n v="9562.33"/>
    <n v="63.59"/>
    <n v="6.1706218980884249E-2"/>
  </r>
  <r>
    <s v="F015"/>
    <x v="4"/>
    <x v="0"/>
    <x v="1"/>
    <x v="2"/>
    <n v="3571.08"/>
    <n v="80488"/>
    <n v="7629.95"/>
    <n v="63.83"/>
    <n v="4.4367856077924657E-2"/>
  </r>
  <r>
    <s v="F005"/>
    <x v="4"/>
    <x v="0"/>
    <x v="2"/>
    <x v="1"/>
    <n v="887.49"/>
    <n v="61743"/>
    <n v="7426.75"/>
    <n v="26.39"/>
    <n v="1.4373937126475876E-2"/>
  </r>
  <r>
    <s v="F147"/>
    <x v="1"/>
    <x v="0"/>
    <x v="2"/>
    <x v="0"/>
    <n v="1618.49"/>
    <n v="13333"/>
    <n v="6102.15"/>
    <n v="17.670000000000002"/>
    <n v="0.12138978474461862"/>
  </r>
  <r>
    <s v="F192"/>
    <x v="4"/>
    <x v="0"/>
    <x v="0"/>
    <x v="0"/>
    <n v="4625.4638729999997"/>
    <n v="21914"/>
    <n v="5897.27"/>
    <n v="49.41"/>
    <n v="0.21107346321985943"/>
  </r>
  <r>
    <s v="F153"/>
    <x v="3"/>
    <x v="3"/>
    <x v="2"/>
    <x v="0"/>
    <n v="968.64"/>
    <n v="95306"/>
    <n v="9037.76"/>
    <n v="13.35"/>
    <n v="1.0163473443434832E-2"/>
  </r>
  <r>
    <s v="F095"/>
    <x v="2"/>
    <x v="2"/>
    <x v="0"/>
    <x v="1"/>
    <n v="2182.0643799999998"/>
    <n v="49885"/>
    <n v="6845.46"/>
    <n v="58.4"/>
    <n v="4.3741893956099023E-2"/>
  </r>
  <r>
    <s v="F054"/>
    <x v="3"/>
    <x v="2"/>
    <x v="0"/>
    <x v="2"/>
    <n v="2401.339125"/>
    <n v="38869"/>
    <n v="5109.76"/>
    <n v="35.270000000000003"/>
    <n v="6.1780316576191825E-2"/>
  </r>
  <r>
    <s v="F045"/>
    <x v="0"/>
    <x v="3"/>
    <x v="0"/>
    <x v="0"/>
    <n v="1887.9748999999999"/>
    <n v="34725"/>
    <n v="3269.89"/>
    <n v="78.86"/>
    <n v="5.4369327573794098E-2"/>
  </r>
  <r>
    <s v="F046"/>
    <x v="4"/>
    <x v="3"/>
    <x v="1"/>
    <x v="1"/>
    <n v="1740.85"/>
    <n v="87337"/>
    <n v="3603.06"/>
    <n v="67.13"/>
    <n v="1.9932560083355279E-2"/>
  </r>
  <r>
    <s v="F176"/>
    <x v="4"/>
    <x v="0"/>
    <x v="0"/>
    <x v="2"/>
    <n v="4524.0168549999999"/>
    <n v="18726"/>
    <n v="5099.54"/>
    <n v="71.05"/>
    <n v="0.24159013430524404"/>
  </r>
  <r>
    <s v="F175"/>
    <x v="3"/>
    <x v="3"/>
    <x v="0"/>
    <x v="0"/>
    <n v="4975.538391"/>
    <n v="94949"/>
    <n v="9714.76"/>
    <n v="64.900000000000006"/>
    <n v="5.2402220044444912E-2"/>
  </r>
  <r>
    <s v="F168"/>
    <x v="2"/>
    <x v="1"/>
    <x v="2"/>
    <x v="0"/>
    <n v="1573"/>
    <n v="24095"/>
    <n v="3167.52"/>
    <n v="31.02"/>
    <n v="6.5283253787092752E-2"/>
  </r>
  <r>
    <s v="F141"/>
    <x v="1"/>
    <x v="3"/>
    <x v="2"/>
    <x v="0"/>
    <n v="1578.72"/>
    <n v="58622"/>
    <n v="7795.36"/>
    <n v="59.81"/>
    <n v="2.6930503906383269E-2"/>
  </r>
  <r>
    <s v="F196"/>
    <x v="4"/>
    <x v="3"/>
    <x v="0"/>
    <x v="2"/>
    <n v="3818.4985240000001"/>
    <n v="85444"/>
    <n v="852.57"/>
    <n v="72.650000000000006"/>
    <n v="4.4690072140817376E-2"/>
  </r>
  <r>
    <s v="F197"/>
    <x v="2"/>
    <x v="2"/>
    <x v="2"/>
    <x v="2"/>
    <n v="2731.54"/>
    <n v="59617"/>
    <n v="5000.95"/>
    <n v="80.36"/>
    <n v="4.581813912139155E-2"/>
  </r>
  <r>
    <s v="F156"/>
    <x v="2"/>
    <x v="0"/>
    <x v="1"/>
    <x v="2"/>
    <n v="156.84"/>
    <n v="88308"/>
    <n v="7802.07"/>
    <n v="36.130000000000003"/>
    <n v="1.7760565294197581E-3"/>
  </r>
  <r>
    <s v="F063"/>
    <x v="4"/>
    <x v="2"/>
    <x v="2"/>
    <x v="0"/>
    <n v="300.70999999999998"/>
    <n v="45519"/>
    <n v="7987.69"/>
    <n v="10.86"/>
    <n v="6.6062523341901182E-3"/>
  </r>
  <r>
    <s v="F162"/>
    <x v="3"/>
    <x v="3"/>
    <x v="2"/>
    <x v="0"/>
    <n v="4929.3599999999997"/>
    <n v="18175"/>
    <n v="8349.49"/>
    <n v="39.97"/>
    <n v="0.27121650618982118"/>
  </r>
  <r>
    <s v="F184"/>
    <x v="0"/>
    <x v="1"/>
    <x v="0"/>
    <x v="0"/>
    <n v="2623.4664130000001"/>
    <n v="22201"/>
    <n v="2853.66"/>
    <n v="71.94"/>
    <n v="0.11816883982703483"/>
  </r>
  <r>
    <s v="F144"/>
    <x v="2"/>
    <x v="2"/>
    <x v="0"/>
    <x v="0"/>
    <n v="3247.07"/>
    <n v="16868"/>
    <n v="1378.01"/>
    <n v="47.52"/>
    <n v="0.19249881432297844"/>
  </r>
  <r>
    <s v="F151"/>
    <x v="2"/>
    <x v="2"/>
    <x v="2"/>
    <x v="2"/>
    <n v="1917.71"/>
    <n v="81057"/>
    <n v="675.41"/>
    <n v="55.44"/>
    <n v="2.3658783325314285E-2"/>
  </r>
  <r>
    <s v="F159"/>
    <x v="0"/>
    <x v="1"/>
    <x v="2"/>
    <x v="2"/>
    <n v="3841.45"/>
    <n v="72224"/>
    <n v="1613.32"/>
    <n v="39.21"/>
    <n v="5.3187998449268942E-2"/>
  </r>
  <r>
    <s v="F089"/>
    <x v="4"/>
    <x v="3"/>
    <x v="2"/>
    <x v="0"/>
    <n v="4035.07"/>
    <n v="58895"/>
    <n v="3039.17"/>
    <n v="59.82"/>
    <n v="6.8512946769674843E-2"/>
  </r>
  <r>
    <s v="F004"/>
    <x v="0"/>
    <x v="3"/>
    <x v="1"/>
    <x v="1"/>
    <n v="3477.6"/>
    <n v="83923"/>
    <n v="8768.7999999999993"/>
    <n v="65.290000000000006"/>
    <n v="4.1437984819417802E-2"/>
  </r>
  <r>
    <s v="F110"/>
    <x v="4"/>
    <x v="0"/>
    <x v="1"/>
    <x v="2"/>
    <n v="1743.67"/>
    <n v="85868"/>
    <n v="907.72"/>
    <n v="90.36"/>
    <n v="2.0306400521731029E-2"/>
  </r>
  <r>
    <s v="F124"/>
    <x v="3"/>
    <x v="0"/>
    <x v="0"/>
    <x v="2"/>
    <n v="2351.4377829999999"/>
    <n v="37309"/>
    <n v="4508.54"/>
    <n v="47.15"/>
    <n v="6.3026020075584971E-2"/>
  </r>
  <r>
    <s v="F105"/>
    <x v="0"/>
    <x v="0"/>
    <x v="1"/>
    <x v="0"/>
    <n v="4335.1400000000003"/>
    <n v="27028"/>
    <n v="4617.92"/>
    <n v="57.62"/>
    <n v="0.16039440580139117"/>
  </r>
  <r>
    <s v="F197"/>
    <x v="2"/>
    <x v="0"/>
    <x v="2"/>
    <x v="1"/>
    <n v="4697.66"/>
    <n v="59617"/>
    <n v="5000.95"/>
    <n v="80.36"/>
    <n v="7.8797322911250148E-2"/>
  </r>
  <r>
    <s v="F085"/>
    <x v="4"/>
    <x v="2"/>
    <x v="2"/>
    <x v="1"/>
    <n v="3378.49"/>
    <n v="29264"/>
    <n v="8362.7199999999993"/>
    <n v="61.93"/>
    <n v="0.11544867413887369"/>
  </r>
  <r>
    <s v="F191"/>
    <x v="0"/>
    <x v="3"/>
    <x v="1"/>
    <x v="0"/>
    <n v="4068.86"/>
    <n v="86557"/>
    <n v="8631.2800000000007"/>
    <n v="69.53"/>
    <n v="4.7007867647908319E-2"/>
  </r>
  <r>
    <s v="F134"/>
    <x v="3"/>
    <x v="3"/>
    <x v="0"/>
    <x v="0"/>
    <n v="4658.5376130000004"/>
    <n v="16256"/>
    <n v="2127.1799999999998"/>
    <n v="38.94"/>
    <n v="0.28657342599655516"/>
  </r>
  <r>
    <s v="F126"/>
    <x v="2"/>
    <x v="0"/>
    <x v="0"/>
    <x v="0"/>
    <n v="3516.4541060000001"/>
    <n v="75508"/>
    <n v="6856.22"/>
    <n v="18.2"/>
    <n v="4.6570616437993324E-2"/>
  </r>
  <r>
    <s v="F044"/>
    <x v="1"/>
    <x v="3"/>
    <x v="0"/>
    <x v="1"/>
    <n v="3133.8255669999999"/>
    <n v="93661"/>
    <n v="7324.58"/>
    <n v="23.55"/>
    <n v="3.3459236683358068E-2"/>
  </r>
  <r>
    <s v="F025"/>
    <x v="4"/>
    <x v="1"/>
    <x v="2"/>
    <x v="1"/>
    <n v="1951.82"/>
    <n v="32131"/>
    <n v="1474.23"/>
    <n v="45.47"/>
    <n v="6.074569730167128E-2"/>
  </r>
  <r>
    <s v="F028"/>
    <x v="4"/>
    <x v="3"/>
    <x v="0"/>
    <x v="0"/>
    <n v="2056.02"/>
    <n v="73977"/>
    <n v="1646.75"/>
    <n v="43.77"/>
    <n v="2.779269232328967E-2"/>
  </r>
  <r>
    <s v="F103"/>
    <x v="4"/>
    <x v="2"/>
    <x v="1"/>
    <x v="0"/>
    <n v="377.76"/>
    <n v="22309"/>
    <n v="3656.29"/>
    <n v="75.25"/>
    <n v="1.6933076336904388E-2"/>
  </r>
  <r>
    <s v="F043"/>
    <x v="0"/>
    <x v="0"/>
    <x v="1"/>
    <x v="2"/>
    <n v="4676.8"/>
    <n v="14009"/>
    <n v="7528.98"/>
    <n v="77.62"/>
    <n v="0.33384252980226997"/>
  </r>
  <r>
    <s v="F123"/>
    <x v="1"/>
    <x v="2"/>
    <x v="0"/>
    <x v="1"/>
    <n v="3984.4592120000002"/>
    <n v="58113"/>
    <n v="6382.12"/>
    <n v="56.66"/>
    <n v="6.8563991051916101E-2"/>
  </r>
  <r>
    <s v="F117"/>
    <x v="2"/>
    <x v="1"/>
    <x v="0"/>
    <x v="1"/>
    <n v="1346.6818989999999"/>
    <n v="52594"/>
    <n v="8715.0400000000009"/>
    <n v="90.54"/>
    <n v="2.5605238221089857E-2"/>
  </r>
  <r>
    <s v="F007"/>
    <x v="4"/>
    <x v="1"/>
    <x v="0"/>
    <x v="2"/>
    <n v="4869.82"/>
    <n v="35506"/>
    <n v="1892.04"/>
    <n v="61.53"/>
    <n v="0.13715484706810116"/>
  </r>
  <r>
    <s v="F043"/>
    <x v="0"/>
    <x v="3"/>
    <x v="0"/>
    <x v="1"/>
    <n v="2329.0853659999998"/>
    <n v="14009"/>
    <n v="7528.98"/>
    <n v="77.62"/>
    <n v="0.1662563613391391"/>
  </r>
  <r>
    <s v="F188"/>
    <x v="3"/>
    <x v="0"/>
    <x v="0"/>
    <x v="1"/>
    <n v="4828.6000519999998"/>
    <n v="80824"/>
    <n v="2858.92"/>
    <n v="13.97"/>
    <n v="5.9742156438681575E-2"/>
  </r>
  <r>
    <s v="F125"/>
    <x v="1"/>
    <x v="0"/>
    <x v="2"/>
    <x v="0"/>
    <n v="3423.67"/>
    <n v="82332"/>
    <n v="7134.86"/>
    <n v="22.44"/>
    <n v="4.1583709857649517E-2"/>
  </r>
  <r>
    <s v="F123"/>
    <x v="1"/>
    <x v="3"/>
    <x v="1"/>
    <x v="0"/>
    <n v="2957.49"/>
    <n v="58113"/>
    <n v="6382.12"/>
    <n v="56.66"/>
    <n v="5.0892055133963138E-2"/>
  </r>
  <r>
    <s v="F051"/>
    <x v="4"/>
    <x v="1"/>
    <x v="1"/>
    <x v="1"/>
    <n v="3128.34"/>
    <n v="56752"/>
    <n v="4177.68"/>
    <n v="10.96"/>
    <n v="5.5122991260219904E-2"/>
  </r>
  <r>
    <s v="F174"/>
    <x v="3"/>
    <x v="3"/>
    <x v="0"/>
    <x v="2"/>
    <n v="4548.0730679999997"/>
    <n v="95962"/>
    <n v="524.72"/>
    <n v="49.55"/>
    <n v="4.7394521456409829E-2"/>
  </r>
  <r>
    <s v="F010"/>
    <x v="0"/>
    <x v="2"/>
    <x v="1"/>
    <x v="1"/>
    <n v="3929.66"/>
    <n v="32991"/>
    <n v="8540.14"/>
    <n v="37.75"/>
    <n v="0.11911309144918311"/>
  </r>
  <r>
    <s v="F028"/>
    <x v="4"/>
    <x v="1"/>
    <x v="0"/>
    <x v="0"/>
    <n v="3790.62"/>
    <n v="73977"/>
    <n v="1646.75"/>
    <n v="43.77"/>
    <n v="5.1240520702380471E-2"/>
  </r>
  <r>
    <s v="F155"/>
    <x v="2"/>
    <x v="1"/>
    <x v="2"/>
    <x v="2"/>
    <n v="4480.07"/>
    <n v="75736"/>
    <n v="6287.07"/>
    <n v="63.11"/>
    <n v="5.9153770993979081E-2"/>
  </r>
  <r>
    <s v="F103"/>
    <x v="4"/>
    <x v="2"/>
    <x v="2"/>
    <x v="0"/>
    <n v="4123.79"/>
    <n v="22309"/>
    <n v="3656.29"/>
    <n v="75.25"/>
    <n v="0.18484871576493792"/>
  </r>
  <r>
    <s v="F037"/>
    <x v="3"/>
    <x v="1"/>
    <x v="1"/>
    <x v="0"/>
    <n v="100.8"/>
    <n v="97337"/>
    <n v="3362.06"/>
    <n v="55.46"/>
    <n v="1.0355774268777545E-3"/>
  </r>
  <r>
    <s v="F082"/>
    <x v="0"/>
    <x v="2"/>
    <x v="2"/>
    <x v="0"/>
    <n v="4783.3999999999996"/>
    <n v="17468"/>
    <n v="6359.73"/>
    <n v="5.22"/>
    <n v="0.27383787497137618"/>
  </r>
  <r>
    <s v="F167"/>
    <x v="2"/>
    <x v="2"/>
    <x v="0"/>
    <x v="0"/>
    <n v="2568.5214700000001"/>
    <n v="94128"/>
    <n v="8117.82"/>
    <n v="73.83"/>
    <n v="2.7287538989461162E-2"/>
  </r>
  <r>
    <s v="F008"/>
    <x v="3"/>
    <x v="1"/>
    <x v="2"/>
    <x v="1"/>
    <n v="246.64"/>
    <n v="50306"/>
    <n v="7031.37"/>
    <n v="13.27"/>
    <n v="4.9027948952411237E-3"/>
  </r>
  <r>
    <s v="F019"/>
    <x v="0"/>
    <x v="0"/>
    <x v="1"/>
    <x v="1"/>
    <n v="498.61"/>
    <n v="68018"/>
    <n v="3523.4"/>
    <n v="92.26"/>
    <n v="7.3305595577641217E-3"/>
  </r>
  <r>
    <s v="F050"/>
    <x v="0"/>
    <x v="0"/>
    <x v="1"/>
    <x v="0"/>
    <n v="3705.73"/>
    <n v="10067"/>
    <n v="1953.33"/>
    <n v="25.15"/>
    <n v="0.36810668520909906"/>
  </r>
  <r>
    <s v="F001"/>
    <x v="1"/>
    <x v="2"/>
    <x v="2"/>
    <x v="2"/>
    <n v="470.38"/>
    <n v="54133"/>
    <n v="8543.68"/>
    <n v="24"/>
    <n v="8.6893392200690887E-3"/>
  </r>
  <r>
    <s v="F132"/>
    <x v="4"/>
    <x v="2"/>
    <x v="2"/>
    <x v="0"/>
    <n v="2355.87"/>
    <n v="76544"/>
    <n v="8632.77"/>
    <n v="12.87"/>
    <n v="3.0777983904682272E-2"/>
  </r>
  <r>
    <s v="F138"/>
    <x v="0"/>
    <x v="1"/>
    <x v="1"/>
    <x v="0"/>
    <n v="484.51"/>
    <n v="94393"/>
    <n v="6691.7"/>
    <n v="74.790000000000006"/>
    <n v="5.1329018041592067E-3"/>
  </r>
  <r>
    <s v="F106"/>
    <x v="3"/>
    <x v="2"/>
    <x v="1"/>
    <x v="1"/>
    <n v="3299.33"/>
    <n v="98682"/>
    <n v="6220.56"/>
    <n v="70.099999999999994"/>
    <n v="3.3433959587361423E-2"/>
  </r>
  <r>
    <s v="F064"/>
    <x v="1"/>
    <x v="3"/>
    <x v="2"/>
    <x v="0"/>
    <n v="3312.29"/>
    <n v="70481"/>
    <n v="4452.83"/>
    <n v="91.26"/>
    <n v="4.6995502333962345E-2"/>
  </r>
  <r>
    <s v="F071"/>
    <x v="4"/>
    <x v="0"/>
    <x v="2"/>
    <x v="1"/>
    <n v="2017.59"/>
    <n v="26378"/>
    <n v="2915.44"/>
    <n v="29.84"/>
    <n v="7.6487603305785121E-2"/>
  </r>
  <r>
    <s v="F027"/>
    <x v="4"/>
    <x v="3"/>
    <x v="0"/>
    <x v="0"/>
    <n v="3564.2129300000001"/>
    <n v="51800"/>
    <n v="3042.95"/>
    <n v="71.87"/>
    <n v="6.8807199420849424E-2"/>
  </r>
  <r>
    <s v="F174"/>
    <x v="3"/>
    <x v="1"/>
    <x v="0"/>
    <x v="2"/>
    <n v="4913.537131"/>
    <n v="95962"/>
    <n v="524.72"/>
    <n v="49.55"/>
    <n v="5.1202946280819492E-2"/>
  </r>
  <r>
    <s v="F066"/>
    <x v="4"/>
    <x v="3"/>
    <x v="0"/>
    <x v="0"/>
    <n v="1184.85844"/>
    <n v="13543"/>
    <n v="7854.96"/>
    <n v="85.57"/>
    <n v="8.748862438159935E-2"/>
  </r>
  <r>
    <s v="F088"/>
    <x v="0"/>
    <x v="3"/>
    <x v="1"/>
    <x v="2"/>
    <n v="3845.16"/>
    <n v="77330"/>
    <n v="6936.58"/>
    <n v="82.3"/>
    <n v="4.9724039829302985E-2"/>
  </r>
  <r>
    <s v="F173"/>
    <x v="1"/>
    <x v="3"/>
    <x v="2"/>
    <x v="0"/>
    <n v="2288.2800000000002"/>
    <n v="38181"/>
    <n v="691.84"/>
    <n v="33.53"/>
    <n v="5.9932427123438367E-2"/>
  </r>
  <r>
    <s v="F182"/>
    <x v="3"/>
    <x v="3"/>
    <x v="2"/>
    <x v="1"/>
    <n v="751.28"/>
    <n v="41027"/>
    <n v="7285.85"/>
    <n v="59.87"/>
    <n v="1.8311843420186706E-2"/>
  </r>
  <r>
    <s v="F116"/>
    <x v="2"/>
    <x v="3"/>
    <x v="2"/>
    <x v="2"/>
    <n v="2159.65"/>
    <n v="48501"/>
    <n v="7209.77"/>
    <n v="92.51"/>
    <n v="4.4527947877363354E-2"/>
  </r>
  <r>
    <s v="F099"/>
    <x v="3"/>
    <x v="3"/>
    <x v="2"/>
    <x v="1"/>
    <n v="3251.65"/>
    <n v="17162"/>
    <n v="5079.95"/>
    <n v="19.239999999999998"/>
    <n v="0.18946801072136116"/>
  </r>
  <r>
    <s v="F156"/>
    <x v="2"/>
    <x v="2"/>
    <x v="0"/>
    <x v="2"/>
    <n v="4889.7534070000002"/>
    <n v="88308"/>
    <n v="7802.07"/>
    <n v="36.130000000000003"/>
    <n v="5.5371579098156452E-2"/>
  </r>
  <r>
    <s v="F052"/>
    <x v="3"/>
    <x v="2"/>
    <x v="2"/>
    <x v="0"/>
    <n v="608.37"/>
    <n v="66163"/>
    <n v="1416.57"/>
    <n v="68.73"/>
    <n v="9.1950183637380407E-3"/>
  </r>
  <r>
    <s v="F173"/>
    <x v="1"/>
    <x v="1"/>
    <x v="0"/>
    <x v="0"/>
    <n v="3246.9869779999999"/>
    <n v="38181"/>
    <n v="691.84"/>
    <n v="33.53"/>
    <n v="8.5041957465755214E-2"/>
  </r>
  <r>
    <s v="F017"/>
    <x v="2"/>
    <x v="3"/>
    <x v="1"/>
    <x v="0"/>
    <n v="4214.38"/>
    <n v="71747"/>
    <n v="9838.66"/>
    <n v="7.25"/>
    <n v="5.8739459489595386E-2"/>
  </r>
  <r>
    <s v="F065"/>
    <x v="1"/>
    <x v="1"/>
    <x v="2"/>
    <x v="0"/>
    <n v="2178.11"/>
    <n v="91031"/>
    <n v="1783.57"/>
    <n v="32.049999999999997"/>
    <n v="2.3927123727081983E-2"/>
  </r>
  <r>
    <s v="F026"/>
    <x v="2"/>
    <x v="2"/>
    <x v="2"/>
    <x v="0"/>
    <n v="4250.24"/>
    <n v="32246"/>
    <n v="7903.93"/>
    <n v="42.12"/>
    <n v="0.13180673571915896"/>
  </r>
  <r>
    <s v="F132"/>
    <x v="4"/>
    <x v="3"/>
    <x v="1"/>
    <x v="0"/>
    <n v="1294.92"/>
    <n v="76544"/>
    <n v="8632.77"/>
    <n v="12.87"/>
    <n v="1.6917328595317728E-2"/>
  </r>
  <r>
    <s v="F156"/>
    <x v="2"/>
    <x v="1"/>
    <x v="1"/>
    <x v="2"/>
    <n v="498.85"/>
    <n v="88308"/>
    <n v="7802.07"/>
    <n v="36.130000000000003"/>
    <n v="5.6489785749875435E-3"/>
  </r>
  <r>
    <s v="F032"/>
    <x v="1"/>
    <x v="2"/>
    <x v="2"/>
    <x v="1"/>
    <n v="4605.3599999999997"/>
    <n v="33688"/>
    <n v="9495.48"/>
    <n v="55.55"/>
    <n v="0.1367062455473759"/>
  </r>
  <r>
    <s v="F155"/>
    <x v="2"/>
    <x v="2"/>
    <x v="1"/>
    <x v="2"/>
    <n v="4590.9799999999996"/>
    <n v="75736"/>
    <n v="6287.07"/>
    <n v="63.11"/>
    <n v="6.0618200063378043E-2"/>
  </r>
  <r>
    <s v="F001"/>
    <x v="1"/>
    <x v="1"/>
    <x v="2"/>
    <x v="1"/>
    <n v="2454.27"/>
    <n v="54133"/>
    <n v="8543.68"/>
    <n v="24"/>
    <n v="4.5337779173517077E-2"/>
  </r>
  <r>
    <s v="F127"/>
    <x v="3"/>
    <x v="1"/>
    <x v="0"/>
    <x v="2"/>
    <n v="2083"/>
    <n v="77400"/>
    <n v="7504.8"/>
    <n v="68.819999999999993"/>
    <n v="2.6912144702842377E-2"/>
  </r>
  <r>
    <s v="F035"/>
    <x v="4"/>
    <x v="0"/>
    <x v="0"/>
    <x v="2"/>
    <n v="3207.76"/>
    <n v="24913"/>
    <n v="5727.27"/>
    <n v="78.849999999999994"/>
    <n v="0.12875847950869024"/>
  </r>
  <r>
    <s v="F055"/>
    <x v="2"/>
    <x v="0"/>
    <x v="0"/>
    <x v="0"/>
    <n v="4200.4249920000002"/>
    <n v="41050"/>
    <n v="6025.84"/>
    <n v="53.53"/>
    <n v="0.10232460394640683"/>
  </r>
  <r>
    <s v="F097"/>
    <x v="1"/>
    <x v="2"/>
    <x v="0"/>
    <x v="0"/>
    <n v="4705.2145979999996"/>
    <n v="69100"/>
    <n v="9356.02"/>
    <n v="16.5"/>
    <n v="6.8092830651230091E-2"/>
  </r>
  <r>
    <s v="F194"/>
    <x v="3"/>
    <x v="1"/>
    <x v="1"/>
    <x v="2"/>
    <n v="171.51"/>
    <n v="42382"/>
    <n v="5116.6899999999996"/>
    <n v="80.42"/>
    <n v="4.0467651361427021E-3"/>
  </r>
  <r>
    <s v="F001"/>
    <x v="1"/>
    <x v="3"/>
    <x v="0"/>
    <x v="2"/>
    <n v="2210.630854"/>
    <n v="54133"/>
    <n v="8543.68"/>
    <n v="24"/>
    <n v="4.0837028319139899E-2"/>
  </r>
  <r>
    <s v="F021"/>
    <x v="1"/>
    <x v="2"/>
    <x v="0"/>
    <x v="2"/>
    <n v="4978.9324690000003"/>
    <n v="44657"/>
    <n v="7867.98"/>
    <n v="96.01"/>
    <n v="0.11149276639720537"/>
  </r>
  <r>
    <s v="F199"/>
    <x v="0"/>
    <x v="0"/>
    <x v="2"/>
    <x v="1"/>
    <n v="3657.98"/>
    <n v="89321"/>
    <n v="9836.34"/>
    <n v="16.989999999999998"/>
    <n v="4.0953191298798715E-2"/>
  </r>
  <r>
    <s v="F090"/>
    <x v="2"/>
    <x v="2"/>
    <x v="2"/>
    <x v="2"/>
    <n v="1516.4"/>
    <n v="29895"/>
    <n v="1631.08"/>
    <n v="39.93"/>
    <n v="5.0724201371466805E-2"/>
  </r>
  <r>
    <s v="F008"/>
    <x v="3"/>
    <x v="2"/>
    <x v="2"/>
    <x v="0"/>
    <n v="1707.15"/>
    <n v="50306"/>
    <n v="7031.37"/>
    <n v="13.27"/>
    <n v="3.3935315866894605E-2"/>
  </r>
  <r>
    <s v="F073"/>
    <x v="3"/>
    <x v="3"/>
    <x v="1"/>
    <x v="2"/>
    <n v="526.19000000000005"/>
    <n v="26170"/>
    <n v="8057.54"/>
    <n v="63.71"/>
    <n v="2.0106610622850594E-2"/>
  </r>
  <r>
    <s v="F119"/>
    <x v="2"/>
    <x v="0"/>
    <x v="0"/>
    <x v="2"/>
    <n v="5253.4060950000003"/>
    <n v="22525"/>
    <n v="9465.65"/>
    <n v="37.79"/>
    <n v="0.23322557580466149"/>
  </r>
  <r>
    <s v="F028"/>
    <x v="4"/>
    <x v="0"/>
    <x v="0"/>
    <x v="1"/>
    <n v="3617.9"/>
    <n v="73977"/>
    <n v="1646.75"/>
    <n v="43.77"/>
    <n v="4.890574097354583E-2"/>
  </r>
  <r>
    <s v="F004"/>
    <x v="0"/>
    <x v="1"/>
    <x v="2"/>
    <x v="0"/>
    <n v="698.65"/>
    <n v="83923"/>
    <n v="8768.7999999999993"/>
    <n v="65.290000000000006"/>
    <n v="8.324893056730575E-3"/>
  </r>
  <r>
    <s v="F021"/>
    <x v="1"/>
    <x v="2"/>
    <x v="0"/>
    <x v="2"/>
    <n v="4671.9711859999998"/>
    <n v="44657"/>
    <n v="7867.98"/>
    <n v="96.01"/>
    <n v="0.10461901126363167"/>
  </r>
  <r>
    <s v="F122"/>
    <x v="4"/>
    <x v="2"/>
    <x v="1"/>
    <x v="1"/>
    <n v="4339.82"/>
    <n v="49620"/>
    <n v="2424.31"/>
    <n v="62.09"/>
    <n v="8.7461104393389763E-2"/>
  </r>
  <r>
    <s v="F127"/>
    <x v="3"/>
    <x v="1"/>
    <x v="0"/>
    <x v="2"/>
    <n v="132.41999999999999"/>
    <n v="77400"/>
    <n v="7504.8"/>
    <n v="68.819999999999993"/>
    <n v="1.7108527131782943E-3"/>
  </r>
  <r>
    <s v="F101"/>
    <x v="3"/>
    <x v="3"/>
    <x v="1"/>
    <x v="0"/>
    <n v="1388.99"/>
    <n v="65719"/>
    <n v="9362.41"/>
    <n v="86.55"/>
    <n v="2.1135288120634824E-2"/>
  </r>
  <r>
    <s v="F177"/>
    <x v="3"/>
    <x v="2"/>
    <x v="1"/>
    <x v="0"/>
    <n v="3966.31"/>
    <n v="87482"/>
    <n v="2231.7399999999998"/>
    <n v="45.43"/>
    <n v="4.5338583937267092E-2"/>
  </r>
  <r>
    <s v="F039"/>
    <x v="2"/>
    <x v="1"/>
    <x v="2"/>
    <x v="1"/>
    <n v="2647.7"/>
    <n v="40503"/>
    <n v="7447.46"/>
    <n v="98.27"/>
    <n v="6.5370466385206036E-2"/>
  </r>
  <r>
    <s v="F004"/>
    <x v="0"/>
    <x v="1"/>
    <x v="2"/>
    <x v="2"/>
    <n v="3541.47"/>
    <n v="83923"/>
    <n v="8768.7999999999993"/>
    <n v="65.290000000000006"/>
    <n v="4.2199039595819977E-2"/>
  </r>
  <r>
    <s v="F166"/>
    <x v="3"/>
    <x v="2"/>
    <x v="2"/>
    <x v="0"/>
    <n v="2083.98"/>
    <n v="96474"/>
    <n v="7574.39"/>
    <n v="95.54"/>
    <n v="2.1601467752969714E-2"/>
  </r>
  <r>
    <s v="F031"/>
    <x v="3"/>
    <x v="2"/>
    <x v="0"/>
    <x v="1"/>
    <n v="3597.2222860000002"/>
    <n v="86263"/>
    <n v="3213.71"/>
    <n v="98.39"/>
    <n v="4.1700639741256394E-2"/>
  </r>
  <r>
    <s v="F075"/>
    <x v="3"/>
    <x v="0"/>
    <x v="2"/>
    <x v="2"/>
    <n v="3828.14"/>
    <n v="60513"/>
    <n v="4578.16"/>
    <n v="65.53"/>
    <n v="6.3261447953332342E-2"/>
  </r>
  <r>
    <s v="F115"/>
    <x v="3"/>
    <x v="2"/>
    <x v="0"/>
    <x v="0"/>
    <n v="3705.619533"/>
    <n v="29318"/>
    <n v="9860.6200000000008"/>
    <n v="14.58"/>
    <n v="0.12639400822020602"/>
  </r>
  <r>
    <s v="F034"/>
    <x v="4"/>
    <x v="0"/>
    <x v="0"/>
    <x v="1"/>
    <n v="2912.2502679999998"/>
    <n v="67213"/>
    <n v="5533.81"/>
    <n v="90.88"/>
    <n v="4.3328675524080158E-2"/>
  </r>
  <r>
    <s v="F175"/>
    <x v="3"/>
    <x v="3"/>
    <x v="2"/>
    <x v="2"/>
    <n v="1004.91"/>
    <n v="94949"/>
    <n v="9714.76"/>
    <n v="64.900000000000006"/>
    <n v="1.0583681766000694E-2"/>
  </r>
  <r>
    <s v="F082"/>
    <x v="0"/>
    <x v="3"/>
    <x v="1"/>
    <x v="0"/>
    <n v="4429.63"/>
    <n v="17468"/>
    <n v="6359.73"/>
    <n v="5.22"/>
    <n v="0.25358541332722695"/>
  </r>
  <r>
    <s v="F184"/>
    <x v="0"/>
    <x v="1"/>
    <x v="0"/>
    <x v="0"/>
    <n v="4951.923847"/>
    <n v="22201"/>
    <n v="2853.66"/>
    <n v="71.94"/>
    <n v="0.22304958546912301"/>
  </r>
  <r>
    <s v="F107"/>
    <x v="2"/>
    <x v="0"/>
    <x v="0"/>
    <x v="2"/>
    <n v="2036.074695"/>
    <n v="43512"/>
    <n v="5352.18"/>
    <n v="6.17"/>
    <n v="4.6793406301709875E-2"/>
  </r>
  <r>
    <s v="F157"/>
    <x v="0"/>
    <x v="0"/>
    <x v="2"/>
    <x v="0"/>
    <n v="4936.1400000000003"/>
    <n v="15788"/>
    <n v="1824.14"/>
    <n v="52.78"/>
    <n v="0.31265138079554095"/>
  </r>
  <r>
    <s v="F088"/>
    <x v="0"/>
    <x v="3"/>
    <x v="2"/>
    <x v="1"/>
    <n v="2419.77"/>
    <n v="77330"/>
    <n v="6936.58"/>
    <n v="82.3"/>
    <n v="3.1291478080951764E-2"/>
  </r>
  <r>
    <s v="F015"/>
    <x v="4"/>
    <x v="3"/>
    <x v="0"/>
    <x v="1"/>
    <n v="574.95542599999999"/>
    <n v="80488"/>
    <n v="7629.95"/>
    <n v="63.83"/>
    <n v="7.1433682785011429E-3"/>
  </r>
  <r>
    <s v="F136"/>
    <x v="1"/>
    <x v="1"/>
    <x v="2"/>
    <x v="0"/>
    <n v="2530.5"/>
    <n v="43346"/>
    <n v="5559.12"/>
    <n v="39.4"/>
    <n v="5.8379089189313893E-2"/>
  </r>
  <r>
    <s v="F114"/>
    <x v="1"/>
    <x v="3"/>
    <x v="2"/>
    <x v="0"/>
    <n v="4691.6499999999996"/>
    <n v="57353"/>
    <n v="2274.71"/>
    <n v="65.34"/>
    <n v="8.1803044304569944E-2"/>
  </r>
  <r>
    <s v="F157"/>
    <x v="0"/>
    <x v="2"/>
    <x v="2"/>
    <x v="1"/>
    <n v="3798.92"/>
    <n v="15788"/>
    <n v="1824.14"/>
    <n v="52.78"/>
    <n v="0.24062072460096276"/>
  </r>
  <r>
    <s v="F006"/>
    <x v="4"/>
    <x v="0"/>
    <x v="1"/>
    <x v="2"/>
    <n v="473.15"/>
    <n v="11426"/>
    <n v="4439.5600000000004"/>
    <n v="52.71"/>
    <n v="4.1409942237003325E-2"/>
  </r>
  <r>
    <s v="F162"/>
    <x v="3"/>
    <x v="3"/>
    <x v="2"/>
    <x v="1"/>
    <n v="2684.5"/>
    <n v="18175"/>
    <n v="8349.49"/>
    <n v="39.97"/>
    <n v="0.1477028885832187"/>
  </r>
  <r>
    <s v="F168"/>
    <x v="2"/>
    <x v="3"/>
    <x v="0"/>
    <x v="0"/>
    <n v="3207.9661550000001"/>
    <n v="24095"/>
    <n v="3167.52"/>
    <n v="31.02"/>
    <n v="0.13313825088192571"/>
  </r>
  <r>
    <s v="F004"/>
    <x v="0"/>
    <x v="2"/>
    <x v="0"/>
    <x v="1"/>
    <n v="2986.0217029999999"/>
    <n v="83923"/>
    <n v="8768.7999999999993"/>
    <n v="65.290000000000006"/>
    <n v="3.5580492868462758E-2"/>
  </r>
  <r>
    <s v="F132"/>
    <x v="4"/>
    <x v="0"/>
    <x v="2"/>
    <x v="0"/>
    <n v="862.55"/>
    <n v="76544"/>
    <n v="8632.77"/>
    <n v="12.87"/>
    <n v="1.1268682065217391E-2"/>
  </r>
  <r>
    <s v="F021"/>
    <x v="1"/>
    <x v="3"/>
    <x v="1"/>
    <x v="1"/>
    <n v="827.65"/>
    <n v="44657"/>
    <n v="7867.98"/>
    <n v="96.01"/>
    <n v="1.8533488590814429E-2"/>
  </r>
  <r>
    <s v="F125"/>
    <x v="1"/>
    <x v="0"/>
    <x v="2"/>
    <x v="0"/>
    <n v="1683.73"/>
    <n v="82332"/>
    <n v="7134.86"/>
    <n v="22.44"/>
    <n v="2.0450493125394743E-2"/>
  </r>
  <r>
    <s v="F027"/>
    <x v="4"/>
    <x v="1"/>
    <x v="1"/>
    <x v="2"/>
    <n v="1942.34"/>
    <n v="51800"/>
    <n v="3042.95"/>
    <n v="71.87"/>
    <n v="3.7496911196911197E-2"/>
  </r>
  <r>
    <s v="F001"/>
    <x v="1"/>
    <x v="3"/>
    <x v="1"/>
    <x v="0"/>
    <n v="4550.1099999999997"/>
    <n v="54133"/>
    <n v="8543.68"/>
    <n v="24"/>
    <n v="8.4054273733212642E-2"/>
  </r>
  <r>
    <s v="F094"/>
    <x v="3"/>
    <x v="0"/>
    <x v="0"/>
    <x v="1"/>
    <n v="3667.9851920000001"/>
    <n v="40553"/>
    <n v="4875.2299999999996"/>
    <n v="23.33"/>
    <n v="9.0449170024412495E-2"/>
  </r>
  <r>
    <s v="F034"/>
    <x v="4"/>
    <x v="2"/>
    <x v="1"/>
    <x v="2"/>
    <n v="4318.42"/>
    <n v="67213"/>
    <n v="5533.81"/>
    <n v="90.88"/>
    <n v="6.4249773109368719E-2"/>
  </r>
  <r>
    <s v="F175"/>
    <x v="3"/>
    <x v="2"/>
    <x v="1"/>
    <x v="0"/>
    <n v="3660.75"/>
    <n v="94949"/>
    <n v="9714.76"/>
    <n v="64.900000000000006"/>
    <n v="3.8554908424522638E-2"/>
  </r>
  <r>
    <s v="F195"/>
    <x v="1"/>
    <x v="1"/>
    <x v="1"/>
    <x v="1"/>
    <n v="1074.46"/>
    <n v="87012"/>
    <n v="7478.13"/>
    <n v="27.22"/>
    <n v="1.2348411713326898E-2"/>
  </r>
  <r>
    <s v="F152"/>
    <x v="4"/>
    <x v="2"/>
    <x v="1"/>
    <x v="2"/>
    <n v="4228.88"/>
    <n v="90679"/>
    <n v="7266.82"/>
    <n v="23.3"/>
    <n v="4.6635714994651467E-2"/>
  </r>
  <r>
    <s v="F124"/>
    <x v="3"/>
    <x v="3"/>
    <x v="1"/>
    <x v="2"/>
    <n v="2827.96"/>
    <n v="37309"/>
    <n v="4508.54"/>
    <n v="47.15"/>
    <n v="7.5798332841941624E-2"/>
  </r>
  <r>
    <s v="F181"/>
    <x v="3"/>
    <x v="0"/>
    <x v="0"/>
    <x v="0"/>
    <n v="1375.518959"/>
    <n v="42485"/>
    <n v="4755.75"/>
    <n v="10.19"/>
    <n v="3.2376579004354478E-2"/>
  </r>
  <r>
    <s v="F197"/>
    <x v="2"/>
    <x v="1"/>
    <x v="0"/>
    <x v="1"/>
    <n v="3501.5986440000001"/>
    <n v="59617"/>
    <n v="5000.95"/>
    <n v="80.36"/>
    <n v="5.8734901856852914E-2"/>
  </r>
  <r>
    <s v="F166"/>
    <x v="3"/>
    <x v="2"/>
    <x v="0"/>
    <x v="1"/>
    <n v="3492.9772149999999"/>
    <n v="96474"/>
    <n v="7574.39"/>
    <n v="95.54"/>
    <n v="3.620641017268901E-2"/>
  </r>
  <r>
    <s v="F160"/>
    <x v="4"/>
    <x v="1"/>
    <x v="0"/>
    <x v="2"/>
    <n v="1594.77631"/>
    <n v="36423"/>
    <n v="589.96"/>
    <n v="30.9"/>
    <n v="4.3784869725173654E-2"/>
  </r>
  <r>
    <s v="F100"/>
    <x v="0"/>
    <x v="0"/>
    <x v="0"/>
    <x v="1"/>
    <n v="4328.8292810000003"/>
    <n v="90632"/>
    <n v="5292.17"/>
    <n v="78.45"/>
    <n v="4.7762702809162332E-2"/>
  </r>
  <r>
    <s v="F068"/>
    <x v="0"/>
    <x v="3"/>
    <x v="0"/>
    <x v="0"/>
    <n v="3820.762874"/>
    <n v="44825"/>
    <n v="6023.03"/>
    <n v="27.2"/>
    <n v="8.5237320111544904E-2"/>
  </r>
  <r>
    <s v="F049"/>
    <x v="0"/>
    <x v="0"/>
    <x v="1"/>
    <x v="0"/>
    <n v="2495.33"/>
    <n v="65666"/>
    <n v="7269.98"/>
    <n v="75.62"/>
    <n v="3.8000335028782015E-2"/>
  </r>
  <r>
    <s v="F051"/>
    <x v="4"/>
    <x v="2"/>
    <x v="2"/>
    <x v="0"/>
    <n v="286.39"/>
    <n v="56752"/>
    <n v="4177.68"/>
    <n v="10.96"/>
    <n v="5.0463419791372992E-3"/>
  </r>
  <r>
    <s v="F056"/>
    <x v="4"/>
    <x v="3"/>
    <x v="1"/>
    <x v="0"/>
    <n v="1994.05"/>
    <n v="99026"/>
    <n v="5453.2"/>
    <n v="57.49"/>
    <n v="2.0136630783834548E-2"/>
  </r>
  <r>
    <s v="F141"/>
    <x v="1"/>
    <x v="1"/>
    <x v="1"/>
    <x v="0"/>
    <n v="2165.4299999999998"/>
    <n v="58622"/>
    <n v="7795.36"/>
    <n v="59.81"/>
    <n v="3.6938862543072562E-2"/>
  </r>
  <r>
    <s v="F107"/>
    <x v="2"/>
    <x v="2"/>
    <x v="2"/>
    <x v="1"/>
    <n v="4197.01"/>
    <n v="43512"/>
    <n v="5352.18"/>
    <n v="6.17"/>
    <n v="9.6456379849236995E-2"/>
  </r>
  <r>
    <s v="F191"/>
    <x v="0"/>
    <x v="3"/>
    <x v="0"/>
    <x v="0"/>
    <n v="1921.28"/>
    <n v="86557"/>
    <n v="8631.2800000000007"/>
    <n v="69.53"/>
    <n v="2.2196702750788496E-2"/>
  </r>
  <r>
    <s v="F161"/>
    <x v="2"/>
    <x v="1"/>
    <x v="2"/>
    <x v="2"/>
    <n v="3491.72"/>
    <n v="36171"/>
    <n v="6864.38"/>
    <n v="37.03"/>
    <n v="9.6533687207984289E-2"/>
  </r>
  <r>
    <s v="F044"/>
    <x v="1"/>
    <x v="3"/>
    <x v="0"/>
    <x v="0"/>
    <n v="2500.066452"/>
    <n v="93661"/>
    <n v="7324.58"/>
    <n v="23.55"/>
    <n v="2.669271577284035E-2"/>
  </r>
  <r>
    <s v="F189"/>
    <x v="0"/>
    <x v="1"/>
    <x v="2"/>
    <x v="0"/>
    <n v="818.77"/>
    <n v="67820"/>
    <n v="8177.95"/>
    <n v="40.69"/>
    <n v="1.2072692421114715E-2"/>
  </r>
  <r>
    <s v="F035"/>
    <x v="4"/>
    <x v="0"/>
    <x v="2"/>
    <x v="1"/>
    <n v="316.76"/>
    <n v="24913"/>
    <n v="5727.27"/>
    <n v="78.849999999999994"/>
    <n v="1.2714646971460682E-2"/>
  </r>
  <r>
    <s v="F067"/>
    <x v="1"/>
    <x v="1"/>
    <x v="2"/>
    <x v="1"/>
    <n v="2524.56"/>
    <n v="28400"/>
    <n v="3056.67"/>
    <n v="52.68"/>
    <n v="8.8892957746478873E-2"/>
  </r>
  <r>
    <s v="F146"/>
    <x v="2"/>
    <x v="3"/>
    <x v="0"/>
    <x v="1"/>
    <n v="1374.216095"/>
    <n v="99115"/>
    <n v="827.26"/>
    <n v="28.88"/>
    <n v="1.3864865005296878E-2"/>
  </r>
  <r>
    <s v="F157"/>
    <x v="0"/>
    <x v="1"/>
    <x v="2"/>
    <x v="0"/>
    <n v="3494.63"/>
    <n v="15788"/>
    <n v="1824.14"/>
    <n v="52.78"/>
    <n v="0.22134722574106919"/>
  </r>
  <r>
    <s v="F015"/>
    <x v="4"/>
    <x v="1"/>
    <x v="0"/>
    <x v="2"/>
    <n v="1436.9353590000001"/>
    <n v="80488"/>
    <n v="7629.95"/>
    <n v="63.83"/>
    <n v="1.7852789968690986E-2"/>
  </r>
  <r>
    <s v="F188"/>
    <x v="3"/>
    <x v="1"/>
    <x v="2"/>
    <x v="0"/>
    <n v="1993.57"/>
    <n v="80824"/>
    <n v="2858.92"/>
    <n v="13.97"/>
    <n v="2.4665569632782342E-2"/>
  </r>
  <r>
    <s v="F027"/>
    <x v="4"/>
    <x v="0"/>
    <x v="1"/>
    <x v="1"/>
    <n v="2563.0100000000002"/>
    <n v="51800"/>
    <n v="3042.95"/>
    <n v="71.87"/>
    <n v="4.9478957528957535E-2"/>
  </r>
  <r>
    <s v="F145"/>
    <x v="4"/>
    <x v="1"/>
    <x v="2"/>
    <x v="0"/>
    <n v="3772.31"/>
    <n v="68492"/>
    <n v="3533.88"/>
    <n v="52.99"/>
    <n v="5.5076651287741633E-2"/>
  </r>
  <r>
    <s v="F051"/>
    <x v="4"/>
    <x v="0"/>
    <x v="2"/>
    <x v="1"/>
    <n v="1624.65"/>
    <n v="56752"/>
    <n v="4177.68"/>
    <n v="10.96"/>
    <n v="2.8627184945023965E-2"/>
  </r>
  <r>
    <s v="F138"/>
    <x v="0"/>
    <x v="1"/>
    <x v="2"/>
    <x v="0"/>
    <n v="4535.0200000000004"/>
    <n v="94393"/>
    <n v="6691.7"/>
    <n v="74.790000000000006"/>
    <n v="4.8044028688568011E-2"/>
  </r>
  <r>
    <s v="F004"/>
    <x v="0"/>
    <x v="1"/>
    <x v="0"/>
    <x v="2"/>
    <n v="3532.2748670000001"/>
    <n v="83923"/>
    <n v="8768.7999999999993"/>
    <n v="65.290000000000006"/>
    <n v="4.2089473290992933E-2"/>
  </r>
  <r>
    <s v="F096"/>
    <x v="0"/>
    <x v="1"/>
    <x v="1"/>
    <x v="1"/>
    <n v="2581.0300000000002"/>
    <n v="21388"/>
    <n v="5249.39"/>
    <n v="64.2"/>
    <n v="0.12067654759678326"/>
  </r>
  <r>
    <s v="F020"/>
    <x v="2"/>
    <x v="3"/>
    <x v="0"/>
    <x v="1"/>
    <n v="4518.3755819999997"/>
    <n v="95165"/>
    <n v="8562.76"/>
    <n v="37.54"/>
    <n v="4.7479384038249355E-2"/>
  </r>
  <r>
    <s v="F055"/>
    <x v="2"/>
    <x v="1"/>
    <x v="2"/>
    <x v="2"/>
    <n v="4506.08"/>
    <n v="41050"/>
    <n v="6025.84"/>
    <n v="53.53"/>
    <n v="0.10977052375152253"/>
  </r>
  <r>
    <s v="F113"/>
    <x v="3"/>
    <x v="0"/>
    <x v="0"/>
    <x v="1"/>
    <n v="3055.5135620000001"/>
    <n v="69636"/>
    <n v="4246.55"/>
    <n v="69.290000000000006"/>
    <n v="4.3878361221207425E-2"/>
  </r>
  <r>
    <s v="F063"/>
    <x v="4"/>
    <x v="0"/>
    <x v="1"/>
    <x v="1"/>
    <n v="1376.96"/>
    <n v="45519"/>
    <n v="7987.69"/>
    <n v="10.86"/>
    <n v="3.0250225180693778E-2"/>
  </r>
  <r>
    <s v="F054"/>
    <x v="3"/>
    <x v="0"/>
    <x v="0"/>
    <x v="1"/>
    <n v="3798.946269"/>
    <n v="38869"/>
    <n v="5109.76"/>
    <n v="35.270000000000003"/>
    <n v="9.7737175358254658E-2"/>
  </r>
  <r>
    <s v="F033"/>
    <x v="0"/>
    <x v="0"/>
    <x v="2"/>
    <x v="1"/>
    <n v="1881.41"/>
    <n v="47727"/>
    <n v="8907.33"/>
    <n v="47.4"/>
    <n v="3.9420244306157939E-2"/>
  </r>
  <r>
    <s v="F145"/>
    <x v="4"/>
    <x v="3"/>
    <x v="1"/>
    <x v="2"/>
    <n v="1308.54"/>
    <n v="68492"/>
    <n v="3533.88"/>
    <n v="52.99"/>
    <n v="1.9105004964083395E-2"/>
  </r>
  <r>
    <s v="F056"/>
    <x v="4"/>
    <x v="1"/>
    <x v="2"/>
    <x v="1"/>
    <n v="706.73"/>
    <n v="99026"/>
    <n v="5453.2"/>
    <n v="57.49"/>
    <n v="7.1368125542786744E-3"/>
  </r>
  <r>
    <s v="F051"/>
    <x v="4"/>
    <x v="2"/>
    <x v="0"/>
    <x v="2"/>
    <n v="3595.4041010000001"/>
    <n v="56752"/>
    <n v="4177.68"/>
    <n v="10.96"/>
    <n v="6.3352905642091908E-2"/>
  </r>
  <r>
    <s v="F167"/>
    <x v="2"/>
    <x v="2"/>
    <x v="1"/>
    <x v="0"/>
    <n v="1990.59"/>
    <n v="94128"/>
    <n v="8117.82"/>
    <n v="73.83"/>
    <n v="2.1147692503824578E-2"/>
  </r>
  <r>
    <s v="F112"/>
    <x v="4"/>
    <x v="0"/>
    <x v="0"/>
    <x v="2"/>
    <n v="4212.5026310000003"/>
    <n v="88188"/>
    <n v="815.86"/>
    <n v="57.53"/>
    <n v="4.7767299757336602E-2"/>
  </r>
  <r>
    <s v="F030"/>
    <x v="0"/>
    <x v="0"/>
    <x v="0"/>
    <x v="1"/>
    <n v="2388.243219"/>
    <n v="49924"/>
    <n v="2199.16"/>
    <n v="75.48"/>
    <n v="4.783757749779665E-2"/>
  </r>
  <r>
    <s v="F181"/>
    <x v="3"/>
    <x v="3"/>
    <x v="0"/>
    <x v="2"/>
    <n v="318.91989990000002"/>
    <n v="42485"/>
    <n v="4755.75"/>
    <n v="10.19"/>
    <n v="7.5066470495468995E-3"/>
  </r>
  <r>
    <s v="F107"/>
    <x v="2"/>
    <x v="1"/>
    <x v="1"/>
    <x v="0"/>
    <n v="365.96"/>
    <n v="43512"/>
    <n v="5352.18"/>
    <n v="6.17"/>
    <n v="8.4105534105534101E-3"/>
  </r>
  <r>
    <s v="F105"/>
    <x v="0"/>
    <x v="3"/>
    <x v="2"/>
    <x v="0"/>
    <n v="1353.72"/>
    <n v="27028"/>
    <n v="4617.92"/>
    <n v="57.62"/>
    <n v="5.0085836909871242E-2"/>
  </r>
  <r>
    <s v="F141"/>
    <x v="1"/>
    <x v="3"/>
    <x v="1"/>
    <x v="2"/>
    <n v="3026.73"/>
    <n v="58622"/>
    <n v="7795.36"/>
    <n v="59.81"/>
    <n v="5.1631298829790867E-2"/>
  </r>
  <r>
    <s v="F138"/>
    <x v="0"/>
    <x v="1"/>
    <x v="1"/>
    <x v="0"/>
    <n v="4344.96"/>
    <n v="94393"/>
    <n v="6691.7"/>
    <n v="74.790000000000006"/>
    <n v="4.6030531925036818E-2"/>
  </r>
  <r>
    <s v="F027"/>
    <x v="4"/>
    <x v="0"/>
    <x v="0"/>
    <x v="0"/>
    <n v="2412.9017549999999"/>
    <n v="51800"/>
    <n v="3042.95"/>
    <n v="71.87"/>
    <n v="4.6581114961389961E-2"/>
  </r>
  <r>
    <s v="F064"/>
    <x v="1"/>
    <x v="1"/>
    <x v="2"/>
    <x v="2"/>
    <n v="4239.84"/>
    <n v="70481"/>
    <n v="4452.83"/>
    <n v="91.26"/>
    <n v="6.0155786665909962E-2"/>
  </r>
  <r>
    <s v="F157"/>
    <x v="0"/>
    <x v="1"/>
    <x v="0"/>
    <x v="1"/>
    <n v="3759.010796"/>
    <n v="15788"/>
    <n v="1824.14"/>
    <n v="52.78"/>
    <n v="0.23809290575120345"/>
  </r>
  <r>
    <s v="F062"/>
    <x v="2"/>
    <x v="2"/>
    <x v="1"/>
    <x v="0"/>
    <n v="3558.82"/>
    <n v="19265"/>
    <n v="776.6"/>
    <n v="39.75"/>
    <n v="0.18472982091876461"/>
  </r>
  <r>
    <s v="F083"/>
    <x v="2"/>
    <x v="1"/>
    <x v="2"/>
    <x v="1"/>
    <n v="2610.12"/>
    <n v="94704"/>
    <n v="6632.95"/>
    <n v="14.76"/>
    <n v="2.7560821084642674E-2"/>
  </r>
  <r>
    <s v="F011"/>
    <x v="4"/>
    <x v="3"/>
    <x v="2"/>
    <x v="0"/>
    <n v="2651.33"/>
    <n v="72846"/>
    <n v="5169.53"/>
    <n v="76.709999999999994"/>
    <n v="3.6396370425280732E-2"/>
  </r>
  <r>
    <s v="F071"/>
    <x v="4"/>
    <x v="2"/>
    <x v="2"/>
    <x v="2"/>
    <n v="1018.53"/>
    <n v="26378"/>
    <n v="2915.44"/>
    <n v="29.84"/>
    <n v="3.8612859200849191E-2"/>
  </r>
  <r>
    <s v="F064"/>
    <x v="1"/>
    <x v="2"/>
    <x v="0"/>
    <x v="1"/>
    <n v="503.93"/>
    <n v="70481"/>
    <n v="4452.83"/>
    <n v="91.26"/>
    <n v="7.1498701777784083E-3"/>
  </r>
  <r>
    <s v="F120"/>
    <x v="4"/>
    <x v="1"/>
    <x v="0"/>
    <x v="0"/>
    <n v="3013.4457640000001"/>
    <n v="57215"/>
    <n v="3227.1"/>
    <n v="32.909999999999997"/>
    <n v="5.2668806501791489E-2"/>
  </r>
  <r>
    <s v="F044"/>
    <x v="1"/>
    <x v="1"/>
    <x v="2"/>
    <x v="0"/>
    <n v="1639.95"/>
    <n v="93661"/>
    <n v="7324.58"/>
    <n v="23.55"/>
    <n v="1.750942227821612E-2"/>
  </r>
  <r>
    <s v="F053"/>
    <x v="0"/>
    <x v="2"/>
    <x v="1"/>
    <x v="2"/>
    <n v="4092.48"/>
    <n v="56392"/>
    <n v="5703.76"/>
    <n v="23.04"/>
    <n v="7.2571996027805369E-2"/>
  </r>
  <r>
    <s v="F035"/>
    <x v="4"/>
    <x v="1"/>
    <x v="1"/>
    <x v="1"/>
    <n v="730.62"/>
    <n v="24913"/>
    <n v="5727.27"/>
    <n v="78.849999999999994"/>
    <n v="2.9326857463974631E-2"/>
  </r>
  <r>
    <s v="F143"/>
    <x v="1"/>
    <x v="0"/>
    <x v="0"/>
    <x v="2"/>
    <n v="5247.8932150000001"/>
    <n v="29406"/>
    <n v="5281.69"/>
    <n v="27.01"/>
    <n v="0.17846334812623274"/>
  </r>
  <r>
    <s v="F129"/>
    <x v="1"/>
    <x v="3"/>
    <x v="1"/>
    <x v="2"/>
    <n v="2947.53"/>
    <n v="58439"/>
    <n v="5817.93"/>
    <n v="63.77"/>
    <n v="5.0437721384691735E-2"/>
  </r>
  <r>
    <s v="F072"/>
    <x v="2"/>
    <x v="0"/>
    <x v="2"/>
    <x v="2"/>
    <n v="571.92999999999995"/>
    <n v="95292"/>
    <n v="697.47"/>
    <n v="88.35"/>
    <n v="6.0018679427444061E-3"/>
  </r>
  <r>
    <s v="F031"/>
    <x v="3"/>
    <x v="0"/>
    <x v="0"/>
    <x v="1"/>
    <n v="4065.7376650000001"/>
    <n v="86263"/>
    <n v="3213.71"/>
    <n v="98.39"/>
    <n v="4.7131883484228462E-2"/>
  </r>
  <r>
    <s v="F139"/>
    <x v="0"/>
    <x v="0"/>
    <x v="0"/>
    <x v="0"/>
    <n v="1983.30376"/>
    <n v="80904"/>
    <n v="3263.09"/>
    <n v="58.37"/>
    <n v="2.4514285573024819E-2"/>
  </r>
  <r>
    <s v="F047"/>
    <x v="0"/>
    <x v="3"/>
    <x v="1"/>
    <x v="2"/>
    <n v="3226.08"/>
    <n v="39568"/>
    <n v="3580.54"/>
    <n v="78.08"/>
    <n v="8.153255155681359E-2"/>
  </r>
  <r>
    <s v="F027"/>
    <x v="4"/>
    <x v="0"/>
    <x v="0"/>
    <x v="1"/>
    <n v="885.44218950000004"/>
    <n v="51800"/>
    <n v="3042.95"/>
    <n v="71.87"/>
    <n v="1.7093478561776062E-2"/>
  </r>
  <r>
    <s v="F029"/>
    <x v="4"/>
    <x v="1"/>
    <x v="1"/>
    <x v="1"/>
    <n v="3998.24"/>
    <n v="12262"/>
    <n v="7106.18"/>
    <n v="45.69"/>
    <n v="0.32606752568912084"/>
  </r>
  <r>
    <s v="F113"/>
    <x v="3"/>
    <x v="2"/>
    <x v="1"/>
    <x v="1"/>
    <n v="2639.81"/>
    <n v="69636"/>
    <n v="4246.55"/>
    <n v="69.290000000000006"/>
    <n v="3.7908696651157446E-2"/>
  </r>
  <r>
    <s v="F187"/>
    <x v="2"/>
    <x v="3"/>
    <x v="1"/>
    <x v="0"/>
    <n v="2835.04"/>
    <n v="77317"/>
    <n v="4862.95"/>
    <n v="89.78"/>
    <n v="3.6667744480515282E-2"/>
  </r>
  <r>
    <s v="F158"/>
    <x v="3"/>
    <x v="2"/>
    <x v="1"/>
    <x v="0"/>
    <n v="2182.6999999999998"/>
    <n v="61157"/>
    <n v="7331.54"/>
    <n v="55.52"/>
    <n v="3.5690109063557726E-2"/>
  </r>
  <r>
    <s v="F173"/>
    <x v="1"/>
    <x v="1"/>
    <x v="2"/>
    <x v="0"/>
    <n v="3507.39"/>
    <n v="38181"/>
    <n v="691.84"/>
    <n v="33.53"/>
    <n v="9.1862182761059161E-2"/>
  </r>
  <r>
    <s v="F040"/>
    <x v="0"/>
    <x v="1"/>
    <x v="1"/>
    <x v="2"/>
    <n v="4743.79"/>
    <n v="52357"/>
    <n v="5643.16"/>
    <n v="37.130000000000003"/>
    <n v="9.0604694692209262E-2"/>
  </r>
  <r>
    <s v="F020"/>
    <x v="2"/>
    <x v="1"/>
    <x v="2"/>
    <x v="0"/>
    <n v="2798.51"/>
    <n v="95165"/>
    <n v="8562.76"/>
    <n v="37.54"/>
    <n v="2.9406924814795357E-2"/>
  </r>
  <r>
    <s v="F138"/>
    <x v="0"/>
    <x v="0"/>
    <x v="1"/>
    <x v="1"/>
    <n v="2111.5100000000002"/>
    <n v="94393"/>
    <n v="6691.7"/>
    <n v="74.790000000000006"/>
    <n v="2.2369349422096979E-2"/>
  </r>
  <r>
    <s v="F018"/>
    <x v="4"/>
    <x v="0"/>
    <x v="2"/>
    <x v="1"/>
    <n v="440.45"/>
    <n v="69305"/>
    <n v="3203.67"/>
    <n v="83.65"/>
    <n v="6.3552413245797556E-3"/>
  </r>
  <r>
    <s v="F084"/>
    <x v="3"/>
    <x v="1"/>
    <x v="1"/>
    <x v="1"/>
    <n v="2532.06"/>
    <n v="54136"/>
    <n v="2775.38"/>
    <n v="75.459999999999994"/>
    <n v="4.6772203339736959E-2"/>
  </r>
  <r>
    <s v="F116"/>
    <x v="2"/>
    <x v="1"/>
    <x v="0"/>
    <x v="1"/>
    <n v="3682.33"/>
    <n v="48501"/>
    <n v="7209.77"/>
    <n v="92.51"/>
    <n v="7.5922764479082902E-2"/>
  </r>
  <r>
    <s v="F003"/>
    <x v="3"/>
    <x v="2"/>
    <x v="2"/>
    <x v="1"/>
    <n v="1546.78"/>
    <n v="27681"/>
    <n v="928.26"/>
    <n v="44.97"/>
    <n v="5.5878761605433327E-2"/>
  </r>
  <r>
    <s v="F053"/>
    <x v="0"/>
    <x v="2"/>
    <x v="2"/>
    <x v="1"/>
    <n v="2135.9699999999998"/>
    <n v="56392"/>
    <n v="5703.76"/>
    <n v="23.04"/>
    <n v="3.7877181160448289E-2"/>
  </r>
  <r>
    <s v="F011"/>
    <x v="4"/>
    <x v="1"/>
    <x v="2"/>
    <x v="0"/>
    <n v="1344"/>
    <n v="72846"/>
    <n v="5169.53"/>
    <n v="76.709999999999994"/>
    <n v="1.8449880569969525E-2"/>
  </r>
  <r>
    <s v="F083"/>
    <x v="2"/>
    <x v="2"/>
    <x v="2"/>
    <x v="0"/>
    <n v="1009.35"/>
    <n v="94704"/>
    <n v="6632.95"/>
    <n v="14.76"/>
    <n v="1.0657944754181449E-2"/>
  </r>
  <r>
    <s v="F120"/>
    <x v="4"/>
    <x v="0"/>
    <x v="2"/>
    <x v="2"/>
    <n v="1620.64"/>
    <n v="57215"/>
    <n v="3227.1"/>
    <n v="32.909999999999997"/>
    <n v="2.832543913309447E-2"/>
  </r>
  <r>
    <s v="F063"/>
    <x v="4"/>
    <x v="3"/>
    <x v="1"/>
    <x v="0"/>
    <n v="3874.19"/>
    <n v="45519"/>
    <n v="7987.69"/>
    <n v="10.86"/>
    <n v="8.5111491904479447E-2"/>
  </r>
  <r>
    <s v="F176"/>
    <x v="4"/>
    <x v="0"/>
    <x v="2"/>
    <x v="1"/>
    <n v="3045.93"/>
    <n v="18726"/>
    <n v="5099.54"/>
    <n v="71.05"/>
    <n v="0.16265780198654275"/>
  </r>
  <r>
    <s v="F074"/>
    <x v="1"/>
    <x v="0"/>
    <x v="2"/>
    <x v="2"/>
    <n v="1476.28"/>
    <n v="25148"/>
    <n v="9604.5499999999993"/>
    <n v="63.47"/>
    <n v="5.8703674248449182E-2"/>
  </r>
  <r>
    <s v="F199"/>
    <x v="0"/>
    <x v="2"/>
    <x v="0"/>
    <x v="1"/>
    <n v="3862.2531779999999"/>
    <n v="89321"/>
    <n v="9836.34"/>
    <n v="16.989999999999998"/>
    <n v="4.324014708747103E-2"/>
  </r>
  <r>
    <s v="F116"/>
    <x v="2"/>
    <x v="1"/>
    <x v="1"/>
    <x v="2"/>
    <n v="2517.98"/>
    <n v="48501"/>
    <n v="7209.77"/>
    <n v="92.51"/>
    <n v="5.1916042968186221E-2"/>
  </r>
  <r>
    <s v="F069"/>
    <x v="4"/>
    <x v="2"/>
    <x v="1"/>
    <x v="0"/>
    <n v="3737.89"/>
    <n v="85488"/>
    <n v="9691.57"/>
    <n v="96.98"/>
    <n v="4.3724148418491482E-2"/>
  </r>
  <r>
    <s v="F009"/>
    <x v="0"/>
    <x v="1"/>
    <x v="1"/>
    <x v="0"/>
    <n v="1111.82"/>
    <n v="45644"/>
    <n v="7724.73"/>
    <n v="31"/>
    <n v="2.435851371483656E-2"/>
  </r>
  <r>
    <s v="F054"/>
    <x v="3"/>
    <x v="2"/>
    <x v="1"/>
    <x v="2"/>
    <n v="4547.9799999999996"/>
    <n v="38869"/>
    <n v="5109.76"/>
    <n v="35.270000000000003"/>
    <n v="0.11700789832514343"/>
  </r>
  <r>
    <s v="F180"/>
    <x v="2"/>
    <x v="1"/>
    <x v="0"/>
    <x v="2"/>
    <n v="5035.8731600000001"/>
    <n v="13302"/>
    <n v="821.51"/>
    <n v="69.599999999999994"/>
    <n v="0.37858015035333031"/>
  </r>
  <r>
    <s v="F061"/>
    <x v="1"/>
    <x v="0"/>
    <x v="1"/>
    <x v="1"/>
    <n v="666.62"/>
    <n v="21386"/>
    <n v="2271.92"/>
    <n v="49.67"/>
    <n v="3.1170859440755636E-2"/>
  </r>
  <r>
    <s v="F144"/>
    <x v="2"/>
    <x v="0"/>
    <x v="2"/>
    <x v="2"/>
    <n v="4848.67"/>
    <n v="16868"/>
    <n v="1378.01"/>
    <n v="47.52"/>
    <n v="0.28744783021105053"/>
  </r>
  <r>
    <s v="F098"/>
    <x v="4"/>
    <x v="1"/>
    <x v="2"/>
    <x v="2"/>
    <n v="965.26"/>
    <n v="28704"/>
    <n v="6009.24"/>
    <n v="39.31"/>
    <n v="3.3628065774804906E-2"/>
  </r>
  <r>
    <s v="F031"/>
    <x v="3"/>
    <x v="3"/>
    <x v="0"/>
    <x v="2"/>
    <n v="3352.8806140000002"/>
    <n v="86263"/>
    <n v="3213.71"/>
    <n v="98.39"/>
    <n v="3.8868119750066661E-2"/>
  </r>
  <r>
    <s v="F163"/>
    <x v="1"/>
    <x v="2"/>
    <x v="0"/>
    <x v="2"/>
    <n v="3960.6895800000002"/>
    <n v="97040"/>
    <n v="5727.14"/>
    <n v="38.19"/>
    <n v="4.0815020403957132E-2"/>
  </r>
  <r>
    <s v="F035"/>
    <x v="4"/>
    <x v="0"/>
    <x v="2"/>
    <x v="2"/>
    <n v="4162.58"/>
    <n v="24913"/>
    <n v="5727.27"/>
    <n v="78.849999999999994"/>
    <n v="0.16708465459800104"/>
  </r>
  <r>
    <s v="F183"/>
    <x v="3"/>
    <x v="1"/>
    <x v="2"/>
    <x v="2"/>
    <n v="3555.25"/>
    <n v="29860"/>
    <n v="3956.23"/>
    <n v="57.5"/>
    <n v="0.11906396517079705"/>
  </r>
  <r>
    <s v="F173"/>
    <x v="1"/>
    <x v="3"/>
    <x v="0"/>
    <x v="2"/>
    <n v="4585.8885039999996"/>
    <n v="38181"/>
    <n v="691.84"/>
    <n v="33.53"/>
    <n v="0.12010917744427856"/>
  </r>
  <r>
    <s v="F128"/>
    <x v="2"/>
    <x v="0"/>
    <x v="0"/>
    <x v="2"/>
    <n v="875.52542779999999"/>
    <n v="68216"/>
    <n v="9562.33"/>
    <n v="63.59"/>
    <n v="1.2834605192330244E-2"/>
  </r>
  <r>
    <s v="F123"/>
    <x v="1"/>
    <x v="0"/>
    <x v="0"/>
    <x v="2"/>
    <n v="3686.6816829999998"/>
    <n v="58113"/>
    <n v="6382.12"/>
    <n v="56.66"/>
    <n v="6.3439878908333761E-2"/>
  </r>
  <r>
    <s v="F122"/>
    <x v="4"/>
    <x v="0"/>
    <x v="1"/>
    <x v="2"/>
    <n v="2899.46"/>
    <n v="49620"/>
    <n v="2424.31"/>
    <n v="62.09"/>
    <n v="5.8433293027005243E-2"/>
  </r>
  <r>
    <s v="F025"/>
    <x v="4"/>
    <x v="2"/>
    <x v="2"/>
    <x v="1"/>
    <n v="429.01"/>
    <n v="32131"/>
    <n v="1474.23"/>
    <n v="45.47"/>
    <n v="1.3351903146494039E-2"/>
  </r>
  <r>
    <s v="F128"/>
    <x v="2"/>
    <x v="1"/>
    <x v="0"/>
    <x v="0"/>
    <n v="1770.1852530000001"/>
    <n v="68216"/>
    <n v="9562.33"/>
    <n v="63.59"/>
    <n v="2.5949707590594583E-2"/>
  </r>
  <r>
    <s v="F019"/>
    <x v="0"/>
    <x v="2"/>
    <x v="2"/>
    <x v="1"/>
    <n v="2143.0300000000002"/>
    <n v="68018"/>
    <n v="3523.4"/>
    <n v="92.26"/>
    <n v="3.1506807021670739E-2"/>
  </r>
  <r>
    <s v="F166"/>
    <x v="3"/>
    <x v="0"/>
    <x v="1"/>
    <x v="1"/>
    <n v="81.83"/>
    <n v="96474"/>
    <n v="7574.39"/>
    <n v="95.54"/>
    <n v="8.482078072848643E-4"/>
  </r>
  <r>
    <s v="F116"/>
    <x v="2"/>
    <x v="2"/>
    <x v="0"/>
    <x v="2"/>
    <n v="2577.6"/>
    <n v="48501"/>
    <n v="7209.77"/>
    <n v="92.51"/>
    <n v="5.3145295973278897E-2"/>
  </r>
  <r>
    <s v="F074"/>
    <x v="1"/>
    <x v="0"/>
    <x v="0"/>
    <x v="1"/>
    <n v="5027.8617039999999"/>
    <n v="25148"/>
    <n v="9604.5499999999993"/>
    <n v="63.47"/>
    <n v="0.19993087736599333"/>
  </r>
  <r>
    <s v="F148"/>
    <x v="1"/>
    <x v="2"/>
    <x v="2"/>
    <x v="1"/>
    <n v="3269.61"/>
    <n v="47491"/>
    <n v="5781.05"/>
    <n v="92.18"/>
    <n v="6.8846939420100658E-2"/>
  </r>
  <r>
    <s v="F123"/>
    <x v="1"/>
    <x v="1"/>
    <x v="0"/>
    <x v="0"/>
    <n v="3769.6593710000002"/>
    <n v="58113"/>
    <n v="6382.12"/>
    <n v="56.66"/>
    <n v="6.4867746820849045E-2"/>
  </r>
  <r>
    <s v="F011"/>
    <x v="4"/>
    <x v="2"/>
    <x v="1"/>
    <x v="0"/>
    <n v="3970.3"/>
    <n v="72846"/>
    <n v="5169.53"/>
    <n v="76.709999999999994"/>
    <n v="5.4502649424813997E-2"/>
  </r>
  <r>
    <s v="F167"/>
    <x v="2"/>
    <x v="2"/>
    <x v="1"/>
    <x v="0"/>
    <n v="2665.16"/>
    <n v="94128"/>
    <n v="8117.82"/>
    <n v="73.83"/>
    <n v="2.8314210436851946E-2"/>
  </r>
  <r>
    <s v="F200"/>
    <x v="1"/>
    <x v="2"/>
    <x v="1"/>
    <x v="2"/>
    <n v="374.88"/>
    <n v="21081"/>
    <n v="9001.77"/>
    <n v="49.27"/>
    <n v="1.7782837626298561E-2"/>
  </r>
  <r>
    <s v="F165"/>
    <x v="4"/>
    <x v="1"/>
    <x v="0"/>
    <x v="0"/>
    <n v="1106.076894"/>
    <n v="79330"/>
    <n v="6075.23"/>
    <n v="83.97"/>
    <n v="1.3942731551745873E-2"/>
  </r>
  <r>
    <s v="F146"/>
    <x v="2"/>
    <x v="0"/>
    <x v="0"/>
    <x v="1"/>
    <n v="2876.4781170000001"/>
    <n v="99115"/>
    <n v="827.26"/>
    <n v="28.88"/>
    <n v="2.902162252938506E-2"/>
  </r>
  <r>
    <s v="F190"/>
    <x v="0"/>
    <x v="3"/>
    <x v="1"/>
    <x v="2"/>
    <n v="4394.3599999999997"/>
    <n v="70582"/>
    <n v="7517.59"/>
    <n v="95.71"/>
    <n v="6.2258932872403722E-2"/>
  </r>
  <r>
    <s v="F136"/>
    <x v="1"/>
    <x v="3"/>
    <x v="2"/>
    <x v="0"/>
    <n v="3682.56"/>
    <n v="43346"/>
    <n v="5559.12"/>
    <n v="39.4"/>
    <n v="8.4957320167950906E-2"/>
  </r>
  <r>
    <s v="F138"/>
    <x v="0"/>
    <x v="2"/>
    <x v="1"/>
    <x v="2"/>
    <n v="2576.87"/>
    <n v="94393"/>
    <n v="6691.7"/>
    <n v="74.790000000000006"/>
    <n v="2.7299376013051813E-2"/>
  </r>
  <r>
    <s v="F188"/>
    <x v="3"/>
    <x v="2"/>
    <x v="1"/>
    <x v="1"/>
    <n v="4625.6000000000004"/>
    <n v="80824"/>
    <n v="2858.92"/>
    <n v="13.97"/>
    <n v="5.7230525586459469E-2"/>
  </r>
  <r>
    <s v="F157"/>
    <x v="0"/>
    <x v="2"/>
    <x v="1"/>
    <x v="2"/>
    <n v="3554.21"/>
    <n v="15788"/>
    <n v="1824.14"/>
    <n v="52.78"/>
    <n v="0.22512097795794275"/>
  </r>
  <r>
    <s v="F040"/>
    <x v="0"/>
    <x v="3"/>
    <x v="1"/>
    <x v="2"/>
    <n v="2525.88"/>
    <n v="52357"/>
    <n v="5643.16"/>
    <n v="37.130000000000003"/>
    <n v="4.824340584831064E-2"/>
  </r>
  <r>
    <s v="F197"/>
    <x v="2"/>
    <x v="0"/>
    <x v="0"/>
    <x v="1"/>
    <n v="2134.7955550000001"/>
    <n v="59617"/>
    <n v="5000.95"/>
    <n v="80.36"/>
    <n v="3.5808503530872067E-2"/>
  </r>
  <r>
    <s v="F126"/>
    <x v="2"/>
    <x v="3"/>
    <x v="2"/>
    <x v="0"/>
    <n v="798.55"/>
    <n v="75508"/>
    <n v="6856.22"/>
    <n v="18.2"/>
    <n v="1.0575700588017163E-2"/>
  </r>
  <r>
    <s v="F146"/>
    <x v="2"/>
    <x v="0"/>
    <x v="2"/>
    <x v="2"/>
    <n v="4426.58"/>
    <n v="99115"/>
    <n v="827.26"/>
    <n v="28.88"/>
    <n v="4.4661050295111741E-2"/>
  </r>
  <r>
    <s v="F196"/>
    <x v="4"/>
    <x v="3"/>
    <x v="1"/>
    <x v="1"/>
    <n v="2921.55"/>
    <n v="85444"/>
    <n v="852.57"/>
    <n v="72.650000000000006"/>
    <n v="3.4192570572538744E-2"/>
  </r>
  <r>
    <s v="F111"/>
    <x v="3"/>
    <x v="3"/>
    <x v="1"/>
    <x v="2"/>
    <n v="1534.55"/>
    <n v="10907"/>
    <n v="4748.66"/>
    <n v="39.36"/>
    <n v="0.14069404969285779"/>
  </r>
  <r>
    <s v="F021"/>
    <x v="1"/>
    <x v="1"/>
    <x v="0"/>
    <x v="1"/>
    <n v="3062.3459630000002"/>
    <n v="44657"/>
    <n v="7867.98"/>
    <n v="96.01"/>
    <n v="6.8574825066618897E-2"/>
  </r>
  <r>
    <s v="F035"/>
    <x v="4"/>
    <x v="0"/>
    <x v="0"/>
    <x v="1"/>
    <n v="1828.37"/>
    <n v="24913"/>
    <n v="5727.27"/>
    <n v="78.849999999999994"/>
    <n v="7.3390197888652503E-2"/>
  </r>
  <r>
    <s v="F098"/>
    <x v="4"/>
    <x v="0"/>
    <x v="0"/>
    <x v="1"/>
    <n v="2945.0437750000001"/>
    <n v="28704"/>
    <n v="6009.24"/>
    <n v="39.31"/>
    <n v="0.102600465962932"/>
  </r>
  <r>
    <s v="F025"/>
    <x v="4"/>
    <x v="3"/>
    <x v="2"/>
    <x v="0"/>
    <n v="2905.61"/>
    <n v="32131"/>
    <n v="1474.23"/>
    <n v="45.47"/>
    <n v="9.0430114219912233E-2"/>
  </r>
  <r>
    <s v="F187"/>
    <x v="2"/>
    <x v="2"/>
    <x v="2"/>
    <x v="2"/>
    <n v="3354.34"/>
    <n v="77317"/>
    <n v="4862.95"/>
    <n v="89.78"/>
    <n v="4.3384249259541888E-2"/>
  </r>
  <r>
    <s v="F055"/>
    <x v="2"/>
    <x v="2"/>
    <x v="1"/>
    <x v="0"/>
    <n v="4622.8599999999997"/>
    <n v="41050"/>
    <n v="6025.84"/>
    <n v="53.53"/>
    <n v="0.11261534713763702"/>
  </r>
  <r>
    <s v="F078"/>
    <x v="0"/>
    <x v="1"/>
    <x v="0"/>
    <x v="2"/>
    <n v="4374"/>
    <n v="78624"/>
    <n v="2373.27"/>
    <n v="25.07"/>
    <n v="5.5631868131868129E-2"/>
  </r>
  <r>
    <s v="F027"/>
    <x v="4"/>
    <x v="3"/>
    <x v="2"/>
    <x v="0"/>
    <n v="1375.43"/>
    <n v="51800"/>
    <n v="3042.95"/>
    <n v="71.87"/>
    <n v="2.6552702702702703E-2"/>
  </r>
  <r>
    <s v="F072"/>
    <x v="2"/>
    <x v="0"/>
    <x v="0"/>
    <x v="2"/>
    <n v="4136.8180979999997"/>
    <n v="95292"/>
    <n v="697.47"/>
    <n v="88.35"/>
    <n v="4.3412018826344288E-2"/>
  </r>
  <r>
    <s v="F082"/>
    <x v="0"/>
    <x v="1"/>
    <x v="0"/>
    <x v="0"/>
    <n v="2988.4606469999999"/>
    <n v="17468"/>
    <n v="6359.73"/>
    <n v="5.22"/>
    <n v="0.17108201551408289"/>
  </r>
  <r>
    <s v="F015"/>
    <x v="4"/>
    <x v="2"/>
    <x v="0"/>
    <x v="1"/>
    <n v="724.73842969999998"/>
    <n v="80488"/>
    <n v="7629.95"/>
    <n v="63.83"/>
    <n v="9.0043041161415368E-3"/>
  </r>
  <r>
    <s v="F135"/>
    <x v="3"/>
    <x v="0"/>
    <x v="2"/>
    <x v="1"/>
    <n v="4727.37"/>
    <n v="56531"/>
    <n v="8958.07"/>
    <n v="83.44"/>
    <n v="8.3624383081848899E-2"/>
  </r>
  <r>
    <s v="F067"/>
    <x v="1"/>
    <x v="1"/>
    <x v="2"/>
    <x v="2"/>
    <n v="78.44"/>
    <n v="28400"/>
    <n v="3056.67"/>
    <n v="52.68"/>
    <n v="2.7619718309859153E-3"/>
  </r>
  <r>
    <s v="F141"/>
    <x v="1"/>
    <x v="0"/>
    <x v="1"/>
    <x v="2"/>
    <n v="4289.21"/>
    <n v="58622"/>
    <n v="7795.36"/>
    <n v="59.81"/>
    <n v="7.316724096755485E-2"/>
  </r>
  <r>
    <s v="F163"/>
    <x v="1"/>
    <x v="3"/>
    <x v="1"/>
    <x v="1"/>
    <n v="1666.98"/>
    <n v="97040"/>
    <n v="5727.14"/>
    <n v="38.19"/>
    <n v="1.7178276999175599E-2"/>
  </r>
  <r>
    <s v="F194"/>
    <x v="3"/>
    <x v="1"/>
    <x v="1"/>
    <x v="1"/>
    <n v="1277.3399999999999"/>
    <n v="42382"/>
    <n v="5116.6899999999996"/>
    <n v="80.42"/>
    <n v="3.0138738143551506E-2"/>
  </r>
  <r>
    <s v="F145"/>
    <x v="4"/>
    <x v="1"/>
    <x v="2"/>
    <x v="2"/>
    <n v="371.36"/>
    <n v="68492"/>
    <n v="3533.88"/>
    <n v="52.99"/>
    <n v="5.4219470887110904E-3"/>
  </r>
  <r>
    <s v="F083"/>
    <x v="2"/>
    <x v="1"/>
    <x v="0"/>
    <x v="1"/>
    <n v="4247.1697489999997"/>
    <n v="94704"/>
    <n v="6632.95"/>
    <n v="14.76"/>
    <n v="4.4846783124260853E-2"/>
  </r>
  <r>
    <s v="F053"/>
    <x v="0"/>
    <x v="1"/>
    <x v="1"/>
    <x v="1"/>
    <n v="3150.39"/>
    <n v="56392"/>
    <n v="5703.76"/>
    <n v="23.04"/>
    <n v="5.5865902964959566E-2"/>
  </r>
  <r>
    <s v="F014"/>
    <x v="2"/>
    <x v="1"/>
    <x v="0"/>
    <x v="1"/>
    <n v="3071.4404570000002"/>
    <n v="17416"/>
    <n v="812.06"/>
    <n v="5.7"/>
    <n v="0.17635739877124484"/>
  </r>
  <r>
    <s v="F026"/>
    <x v="2"/>
    <x v="1"/>
    <x v="1"/>
    <x v="1"/>
    <n v="341.64"/>
    <n v="32246"/>
    <n v="7903.93"/>
    <n v="42.12"/>
    <n v="1.0594802456118588E-2"/>
  </r>
  <r>
    <s v="F045"/>
    <x v="0"/>
    <x v="1"/>
    <x v="2"/>
    <x v="2"/>
    <n v="4075.39"/>
    <n v="34725"/>
    <n v="3269.89"/>
    <n v="78.86"/>
    <n v="0.11736184305255579"/>
  </r>
  <r>
    <s v="F155"/>
    <x v="2"/>
    <x v="0"/>
    <x v="2"/>
    <x v="2"/>
    <n v="4062.72"/>
    <n v="75736"/>
    <n v="6287.07"/>
    <n v="63.11"/>
    <n v="5.3643181578113444E-2"/>
  </r>
  <r>
    <s v="F077"/>
    <x v="4"/>
    <x v="1"/>
    <x v="2"/>
    <x v="1"/>
    <n v="3930.54"/>
    <n v="52836"/>
    <n v="9330.2999999999993"/>
    <n v="87.27"/>
    <n v="7.4391324097206446E-2"/>
  </r>
  <r>
    <s v="F129"/>
    <x v="1"/>
    <x v="2"/>
    <x v="1"/>
    <x v="0"/>
    <n v="1919.26"/>
    <n v="58439"/>
    <n v="5817.93"/>
    <n v="63.77"/>
    <n v="3.2842108865654786E-2"/>
  </r>
  <r>
    <s v="F049"/>
    <x v="0"/>
    <x v="1"/>
    <x v="1"/>
    <x v="0"/>
    <n v="3554.23"/>
    <n v="65666"/>
    <n v="7269.98"/>
    <n v="75.62"/>
    <n v="5.4125879450552798E-2"/>
  </r>
  <r>
    <s v="F102"/>
    <x v="1"/>
    <x v="1"/>
    <x v="0"/>
    <x v="2"/>
    <n v="493.58"/>
    <n v="82377"/>
    <n v="7974.74"/>
    <n v="9.17"/>
    <n v="5.9917209900821828E-3"/>
  </r>
  <r>
    <s v="F193"/>
    <x v="1"/>
    <x v="2"/>
    <x v="0"/>
    <x v="0"/>
    <n v="2362.1602800000001"/>
    <n v="15333"/>
    <n v="2570.54"/>
    <n v="41.07"/>
    <n v="0.15405728037566035"/>
  </r>
  <r>
    <s v="F058"/>
    <x v="1"/>
    <x v="1"/>
    <x v="1"/>
    <x v="1"/>
    <n v="984.26"/>
    <n v="66398"/>
    <n v="8713.61"/>
    <n v="83.44"/>
    <n v="1.482363926624296E-2"/>
  </r>
  <r>
    <s v="F177"/>
    <x v="3"/>
    <x v="2"/>
    <x v="2"/>
    <x v="2"/>
    <n v="2223.0500000000002"/>
    <n v="87482"/>
    <n v="2231.7399999999998"/>
    <n v="45.43"/>
    <n v="2.5411513225577834E-2"/>
  </r>
  <r>
    <s v="F042"/>
    <x v="1"/>
    <x v="3"/>
    <x v="0"/>
    <x v="2"/>
    <n v="2498.8473060000001"/>
    <n v="58111"/>
    <n v="4610.8999999999996"/>
    <n v="21.53"/>
    <n v="4.3001278690781436E-2"/>
  </r>
  <r>
    <s v="F158"/>
    <x v="3"/>
    <x v="0"/>
    <x v="0"/>
    <x v="0"/>
    <n v="857.66462850000005"/>
    <n v="61157"/>
    <n v="7331.54"/>
    <n v="55.52"/>
    <n v="1.4023981367627582E-2"/>
  </r>
  <r>
    <s v="F100"/>
    <x v="0"/>
    <x v="0"/>
    <x v="1"/>
    <x v="1"/>
    <n v="2079.4"/>
    <n v="90632"/>
    <n v="5292.17"/>
    <n v="78.45"/>
    <n v="2.2943331273722306E-2"/>
  </r>
  <r>
    <s v="F057"/>
    <x v="1"/>
    <x v="1"/>
    <x v="2"/>
    <x v="1"/>
    <n v="2644.71"/>
    <n v="40226"/>
    <n v="7868.86"/>
    <n v="80.53"/>
    <n v="6.574628349823497E-2"/>
  </r>
  <r>
    <s v="F064"/>
    <x v="1"/>
    <x v="0"/>
    <x v="1"/>
    <x v="1"/>
    <n v="813.42"/>
    <n v="70481"/>
    <n v="4452.83"/>
    <n v="91.26"/>
    <n v="1.1540982676182233E-2"/>
  </r>
  <r>
    <s v="F186"/>
    <x v="4"/>
    <x v="2"/>
    <x v="0"/>
    <x v="1"/>
    <n v="1500.741311"/>
    <n v="61942"/>
    <n v="4891.32"/>
    <n v="91.59"/>
    <n v="2.4228170078460495E-2"/>
  </r>
  <r>
    <s v="F199"/>
    <x v="0"/>
    <x v="3"/>
    <x v="1"/>
    <x v="2"/>
    <n v="2099.7800000000002"/>
    <n v="89321"/>
    <n v="9836.34"/>
    <n v="16.989999999999998"/>
    <n v="2.3508245541362056E-2"/>
  </r>
  <r>
    <s v="F053"/>
    <x v="0"/>
    <x v="1"/>
    <x v="0"/>
    <x v="0"/>
    <n v="3573.184213"/>
    <n v="56392"/>
    <n v="5703.76"/>
    <n v="23.04"/>
    <n v="6.336331772237197E-2"/>
  </r>
  <r>
    <s v="F070"/>
    <x v="2"/>
    <x v="2"/>
    <x v="0"/>
    <x v="1"/>
    <n v="3666.976435"/>
    <n v="15128"/>
    <n v="8847.09"/>
    <n v="5.25"/>
    <n v="0.24239664430195665"/>
  </r>
  <r>
    <s v="F166"/>
    <x v="3"/>
    <x v="1"/>
    <x v="2"/>
    <x v="1"/>
    <n v="4772.12"/>
    <n v="96474"/>
    <n v="7574.39"/>
    <n v="95.54"/>
    <n v="4.9465348176710826E-2"/>
  </r>
  <r>
    <s v="F073"/>
    <x v="3"/>
    <x v="2"/>
    <x v="0"/>
    <x v="2"/>
    <n v="4691.37"/>
    <n v="26170"/>
    <n v="8057.54"/>
    <n v="63.71"/>
    <n v="0.17926518914787926"/>
  </r>
  <r>
    <s v="F038"/>
    <x v="4"/>
    <x v="2"/>
    <x v="1"/>
    <x v="1"/>
    <n v="2731.04"/>
    <n v="18341"/>
    <n v="8465.57"/>
    <n v="38.39"/>
    <n v="0.14890354942478601"/>
  </r>
  <r>
    <s v="F060"/>
    <x v="4"/>
    <x v="0"/>
    <x v="1"/>
    <x v="2"/>
    <n v="3020.79"/>
    <n v="41539"/>
    <n v="982.8"/>
    <n v="79.7"/>
    <n v="7.272177953248754E-2"/>
  </r>
  <r>
    <s v="F131"/>
    <x v="4"/>
    <x v="3"/>
    <x v="2"/>
    <x v="2"/>
    <n v="1086.79"/>
    <n v="43294"/>
    <n v="3802.13"/>
    <n v="45.84"/>
    <n v="2.5102554626507137E-2"/>
  </r>
  <r>
    <s v="F125"/>
    <x v="1"/>
    <x v="2"/>
    <x v="0"/>
    <x v="2"/>
    <n v="5115.1311139999998"/>
    <n v="82332"/>
    <n v="7134.86"/>
    <n v="22.44"/>
    <n v="6.2128104673759899E-2"/>
  </r>
  <r>
    <s v="F128"/>
    <x v="2"/>
    <x v="2"/>
    <x v="1"/>
    <x v="0"/>
    <n v="2958.7"/>
    <n v="68216"/>
    <n v="9562.33"/>
    <n v="63.59"/>
    <n v="4.337252257534889E-2"/>
  </r>
  <r>
    <s v="F071"/>
    <x v="4"/>
    <x v="2"/>
    <x v="0"/>
    <x v="0"/>
    <n v="1571.969407"/>
    <n v="26378"/>
    <n v="2915.44"/>
    <n v="29.84"/>
    <n v="5.9593957350822659E-2"/>
  </r>
  <r>
    <s v="F009"/>
    <x v="0"/>
    <x v="1"/>
    <x v="2"/>
    <x v="1"/>
    <n v="2745.85"/>
    <n v="45644"/>
    <n v="7724.73"/>
    <n v="31"/>
    <n v="6.0157961615984572E-2"/>
  </r>
  <r>
    <s v="F151"/>
    <x v="2"/>
    <x v="2"/>
    <x v="2"/>
    <x v="2"/>
    <n v="1531"/>
    <n v="81057"/>
    <n v="675.41"/>
    <n v="55.44"/>
    <n v="1.8887943052419903E-2"/>
  </r>
  <r>
    <s v="F146"/>
    <x v="2"/>
    <x v="0"/>
    <x v="0"/>
    <x v="0"/>
    <n v="4709.8048410000001"/>
    <n v="99115"/>
    <n v="827.26"/>
    <n v="28.88"/>
    <n v="4.7518587913030319E-2"/>
  </r>
  <r>
    <s v="F170"/>
    <x v="2"/>
    <x v="3"/>
    <x v="2"/>
    <x v="2"/>
    <n v="830.08"/>
    <n v="24502"/>
    <n v="7466.86"/>
    <n v="88.83"/>
    <n v="3.3878050771365603E-2"/>
  </r>
  <r>
    <s v="F058"/>
    <x v="1"/>
    <x v="0"/>
    <x v="2"/>
    <x v="1"/>
    <n v="4453.8999999999996"/>
    <n v="66398"/>
    <n v="8713.61"/>
    <n v="83.44"/>
    <n v="6.7078827675532388E-2"/>
  </r>
  <r>
    <s v="F181"/>
    <x v="3"/>
    <x v="1"/>
    <x v="2"/>
    <x v="2"/>
    <n v="4791.93"/>
    <n v="42485"/>
    <n v="4755.75"/>
    <n v="10.19"/>
    <n v="0.11279110274214429"/>
  </r>
  <r>
    <s v="F062"/>
    <x v="2"/>
    <x v="1"/>
    <x v="0"/>
    <x v="0"/>
    <n v="2280.109602"/>
    <n v="19265"/>
    <n v="776.6"/>
    <n v="39.75"/>
    <n v="0.11835502735530755"/>
  </r>
  <r>
    <s v="F108"/>
    <x v="3"/>
    <x v="3"/>
    <x v="0"/>
    <x v="2"/>
    <n v="4839.8084959999996"/>
    <n v="39050"/>
    <n v="5885.73"/>
    <n v="93.04"/>
    <n v="0.12393875790012804"/>
  </r>
  <r>
    <s v="F196"/>
    <x v="4"/>
    <x v="1"/>
    <x v="1"/>
    <x v="2"/>
    <n v="506.81"/>
    <n v="85444"/>
    <n v="852.57"/>
    <n v="72.650000000000006"/>
    <n v="5.9314872899208842E-3"/>
  </r>
  <r>
    <s v="F194"/>
    <x v="3"/>
    <x v="1"/>
    <x v="0"/>
    <x v="1"/>
    <n v="3907.2413280000001"/>
    <n v="42382"/>
    <n v="5116.6899999999996"/>
    <n v="80.42"/>
    <n v="9.2191055825586329E-2"/>
  </r>
  <r>
    <s v="F180"/>
    <x v="2"/>
    <x v="1"/>
    <x v="0"/>
    <x v="1"/>
    <n v="2483.820612"/>
    <n v="13302"/>
    <n v="821.51"/>
    <n v="69.599999999999994"/>
    <n v="0.18672535047361299"/>
  </r>
  <r>
    <s v="F116"/>
    <x v="2"/>
    <x v="2"/>
    <x v="2"/>
    <x v="0"/>
    <n v="139.57"/>
    <n v="48501"/>
    <n v="7209.77"/>
    <n v="92.51"/>
    <n v="2.8776726253066944E-3"/>
  </r>
  <r>
    <s v="F066"/>
    <x v="4"/>
    <x v="1"/>
    <x v="0"/>
    <x v="1"/>
    <n v="2912.6626670000001"/>
    <n v="13543"/>
    <n v="7854.96"/>
    <n v="85.57"/>
    <n v="0.21506775950675627"/>
  </r>
  <r>
    <s v="F061"/>
    <x v="1"/>
    <x v="3"/>
    <x v="1"/>
    <x v="1"/>
    <n v="479.83"/>
    <n v="21386"/>
    <n v="2271.92"/>
    <n v="49.67"/>
    <n v="2.2436640793042178E-2"/>
  </r>
  <r>
    <s v="F145"/>
    <x v="4"/>
    <x v="3"/>
    <x v="0"/>
    <x v="1"/>
    <n v="5275.2422539999998"/>
    <n v="68492"/>
    <n v="3533.88"/>
    <n v="52.99"/>
    <n v="7.701983084155814E-2"/>
  </r>
  <r>
    <s v="F128"/>
    <x v="2"/>
    <x v="0"/>
    <x v="1"/>
    <x v="1"/>
    <n v="3515.66"/>
    <n v="68216"/>
    <n v="9562.33"/>
    <n v="63.59"/>
    <n v="5.1537176029084086E-2"/>
  </r>
  <r>
    <s v="F064"/>
    <x v="1"/>
    <x v="3"/>
    <x v="0"/>
    <x v="1"/>
    <n v="771.45"/>
    <n v="70481"/>
    <n v="4452.83"/>
    <n v="91.26"/>
    <n v="1.0945503043373392E-2"/>
  </r>
  <r>
    <s v="F185"/>
    <x v="0"/>
    <x v="3"/>
    <x v="2"/>
    <x v="1"/>
    <n v="705.84"/>
    <n v="68820"/>
    <n v="9612.25"/>
    <n v="83.51"/>
    <n v="1.0256320836965999E-2"/>
  </r>
  <r>
    <s v="F007"/>
    <x v="4"/>
    <x v="2"/>
    <x v="0"/>
    <x v="0"/>
    <n v="3398.71"/>
    <n v="35506"/>
    <n v="1892.04"/>
    <n v="61.53"/>
    <n v="9.572213147073734E-2"/>
  </r>
  <r>
    <s v="F018"/>
    <x v="4"/>
    <x v="3"/>
    <x v="2"/>
    <x v="2"/>
    <n v="2433.04"/>
    <n v="69305"/>
    <n v="3203.67"/>
    <n v="83.65"/>
    <n v="3.510626938893297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55C67E-0347-4B8D-B007-32DF52362681}"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2:J7" firstHeaderRow="1" firstDataRow="1" firstDataCol="1"/>
  <pivotFields count="9">
    <pivotField showAll="0"/>
    <pivotField showAll="0">
      <items count="6">
        <item x="4"/>
        <item x="0"/>
        <item x="1"/>
        <item x="2"/>
        <item x="3"/>
        <item t="default"/>
      </items>
    </pivotField>
    <pivotField axis="axisRow" showAll="0">
      <items count="5">
        <item x="0"/>
        <item x="1"/>
        <item x="3"/>
        <item x="2"/>
        <item t="default"/>
      </items>
    </pivotField>
    <pivotField showAll="0">
      <items count="4">
        <item x="1"/>
        <item x="2"/>
        <item x="0"/>
        <item t="default"/>
      </items>
    </pivotField>
    <pivotField showAll="0">
      <items count="4">
        <item x="0"/>
        <item x="1"/>
        <item x="2"/>
        <item t="default"/>
      </items>
    </pivotField>
    <pivotField dataField="1" showAll="0"/>
    <pivotField showAll="0"/>
    <pivotField showAll="0"/>
    <pivotField showAll="0"/>
  </pivotFields>
  <rowFields count="1">
    <field x="2"/>
  </rowFields>
  <rowItems count="5">
    <i>
      <x/>
    </i>
    <i>
      <x v="1"/>
    </i>
    <i>
      <x v="2"/>
    </i>
    <i>
      <x v="3"/>
    </i>
    <i t="grand">
      <x/>
    </i>
  </rowItems>
  <colItems count="1">
    <i/>
  </colItems>
  <dataFields count="1">
    <dataField name="Sum of Emissions (tons)" fld="5" baseField="0" baseItem="0"/>
  </dataFields>
  <formats count="11">
    <format dxfId="88">
      <pivotArea type="all" dataOnly="0" outline="0" fieldPosition="0"/>
    </format>
    <format dxfId="87">
      <pivotArea outline="0" collapsedLevelsAreSubtotals="1" fieldPosition="0"/>
    </format>
    <format dxfId="86">
      <pivotArea type="origin" dataOnly="0" labelOnly="1" outline="0" fieldPosition="0"/>
    </format>
    <format dxfId="85">
      <pivotArea field="1" type="button" dataOnly="0" labelOnly="1" outline="0"/>
    </format>
    <format dxfId="84">
      <pivotArea type="topRight" dataOnly="0" labelOnly="1" outline="0" fieldPosition="0"/>
    </format>
    <format dxfId="83">
      <pivotArea field="2" type="button" dataOnly="0" labelOnly="1" outline="0" axis="axisRow" fieldPosition="0"/>
    </format>
    <format dxfId="82">
      <pivotArea dataOnly="0" labelOnly="1" fieldPosition="0">
        <references count="1">
          <reference field="2" count="0"/>
        </references>
      </pivotArea>
    </format>
    <format dxfId="81">
      <pivotArea dataOnly="0" labelOnly="1" grandRow="1" outline="0" fieldPosition="0"/>
    </format>
    <format dxfId="80">
      <pivotArea dataOnly="0" labelOnly="1" grandCol="1" outline="0" fieldPosition="0"/>
    </format>
    <format dxfId="79">
      <pivotArea type="all" dataOnly="0" outline="0" fieldPosition="0"/>
    </format>
    <format dxfId="78">
      <pivotArea type="all" dataOnly="0" outline="0"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5B7C45-90CE-42DB-816E-A4C93BA42BE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G8" firstHeaderRow="1" firstDataRow="2" firstDataCol="1"/>
  <pivotFields count="9">
    <pivotField showAll="0"/>
    <pivotField axis="axisCol" showAll="0">
      <items count="6">
        <item x="4"/>
        <item x="0"/>
        <item x="1"/>
        <item x="2"/>
        <item x="3"/>
        <item t="default"/>
      </items>
    </pivotField>
    <pivotField axis="axisRow" showAll="0">
      <items count="5">
        <item x="0"/>
        <item x="1"/>
        <item x="3"/>
        <item x="2"/>
        <item t="default"/>
      </items>
    </pivotField>
    <pivotField showAll="0">
      <items count="4">
        <item x="1"/>
        <item x="2"/>
        <item x="0"/>
        <item t="default"/>
      </items>
    </pivotField>
    <pivotField showAll="0">
      <items count="4">
        <item x="0"/>
        <item x="1"/>
        <item x="2"/>
        <item t="default"/>
      </items>
    </pivotField>
    <pivotField dataField="1" showAll="0"/>
    <pivotField showAll="0"/>
    <pivotField showAll="0"/>
    <pivotField showAll="0"/>
  </pivotFields>
  <rowFields count="1">
    <field x="2"/>
  </rowFields>
  <rowItems count="5">
    <i>
      <x/>
    </i>
    <i>
      <x v="1"/>
    </i>
    <i>
      <x v="2"/>
    </i>
    <i>
      <x v="3"/>
    </i>
    <i t="grand">
      <x/>
    </i>
  </rowItems>
  <colFields count="1">
    <field x="1"/>
  </colFields>
  <colItems count="6">
    <i>
      <x/>
    </i>
    <i>
      <x v="1"/>
    </i>
    <i>
      <x v="2"/>
    </i>
    <i>
      <x v="3"/>
    </i>
    <i>
      <x v="4"/>
    </i>
    <i t="grand">
      <x/>
    </i>
  </colItems>
  <dataFields count="1">
    <dataField name="Sum of Emissions (tons)" fld="5" baseField="0" baseItem="0"/>
  </dataFields>
  <formats count="12">
    <format dxfId="100">
      <pivotArea type="all" dataOnly="0" outline="0" fieldPosition="0"/>
    </format>
    <format dxfId="99">
      <pivotArea outline="0" collapsedLevelsAreSubtotals="1" fieldPosition="0"/>
    </format>
    <format dxfId="98">
      <pivotArea type="origin" dataOnly="0" labelOnly="1" outline="0" fieldPosition="0"/>
    </format>
    <format dxfId="97">
      <pivotArea field="1" type="button" dataOnly="0" labelOnly="1" outline="0" axis="axisCol" fieldPosition="0"/>
    </format>
    <format dxfId="96">
      <pivotArea type="topRight" dataOnly="0" labelOnly="1" outline="0" fieldPosition="0"/>
    </format>
    <format dxfId="95">
      <pivotArea field="2" type="button" dataOnly="0" labelOnly="1" outline="0" axis="axisRow" fieldPosition="0"/>
    </format>
    <format dxfId="94">
      <pivotArea dataOnly="0" labelOnly="1" fieldPosition="0">
        <references count="1">
          <reference field="2" count="0"/>
        </references>
      </pivotArea>
    </format>
    <format dxfId="93">
      <pivotArea dataOnly="0" labelOnly="1" grandRow="1" outline="0" fieldPosition="0"/>
    </format>
    <format dxfId="92">
      <pivotArea dataOnly="0" labelOnly="1" fieldPosition="0">
        <references count="1">
          <reference field="1" count="0"/>
        </references>
      </pivotArea>
    </format>
    <format dxfId="91">
      <pivotArea dataOnly="0" labelOnly="1" grandCol="1" outline="0" fieldPosition="0"/>
    </format>
    <format dxfId="90">
      <pivotArea type="all" dataOnly="0" outline="0" fieldPosition="0"/>
    </format>
    <format dxfId="89">
      <pivotArea type="all" dataOnly="0" outline="0" fieldPosition="0"/>
    </format>
  </formats>
  <chartFormats count="5">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EFF964-90BC-4727-97AF-45C4C76C3FE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rowPageCount="1" colPageCount="1"/>
  <pivotFields count="9">
    <pivotField showAll="0"/>
    <pivotField axis="axisRow" showAll="0" sortType="descending">
      <items count="6">
        <item x="4"/>
        <item x="0"/>
        <item x="1"/>
        <item x="2"/>
        <item x="3"/>
        <item t="default"/>
      </items>
      <autoSortScope>
        <pivotArea dataOnly="0" outline="0" fieldPosition="0">
          <references count="1">
            <reference field="4294967294" count="1" selected="0">
              <x v="0"/>
            </reference>
          </references>
        </pivotArea>
      </autoSortScope>
    </pivotField>
    <pivotField axis="axisPage" multipleItemSelectionAllowed="1" showAll="0">
      <items count="5">
        <item x="0"/>
        <item x="1"/>
        <item x="3"/>
        <item x="2"/>
        <item t="default"/>
      </items>
    </pivotField>
    <pivotField showAll="0">
      <items count="4">
        <item x="1"/>
        <item x="2"/>
        <item x="0"/>
        <item t="default"/>
      </items>
    </pivotField>
    <pivotField showAll="0">
      <items count="4">
        <item x="0"/>
        <item x="1"/>
        <item x="2"/>
        <item t="default"/>
      </items>
    </pivotField>
    <pivotField dataField="1" showAll="0"/>
    <pivotField showAll="0"/>
    <pivotField showAll="0"/>
    <pivotField showAll="0"/>
  </pivotFields>
  <rowFields count="1">
    <field x="1"/>
  </rowFields>
  <rowItems count="6">
    <i>
      <x/>
    </i>
    <i>
      <x v="4"/>
    </i>
    <i>
      <x v="3"/>
    </i>
    <i>
      <x v="1"/>
    </i>
    <i>
      <x v="2"/>
    </i>
    <i t="grand">
      <x/>
    </i>
  </rowItems>
  <colItems count="1">
    <i/>
  </colItems>
  <pageFields count="1">
    <pageField fld="2" hier="-1"/>
  </pageFields>
  <dataFields count="1">
    <dataField name="Sum of Emissions (tons)" fld="5"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31FD75-199F-4C03-B26D-7A3ACC3D72D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E10" firstHeaderRow="1" firstDataRow="2" firstDataCol="1"/>
  <pivotFields count="9">
    <pivotField showAll="0"/>
    <pivotField axis="axisRow" showAll="0">
      <items count="6">
        <item x="4"/>
        <item x="0"/>
        <item x="1"/>
        <item x="2"/>
        <item x="3"/>
        <item t="default"/>
      </items>
    </pivotField>
    <pivotField showAll="0">
      <items count="5">
        <item x="0"/>
        <item x="1"/>
        <item x="3"/>
        <item x="2"/>
        <item t="default"/>
      </items>
    </pivotField>
    <pivotField axis="axisCol" showAll="0">
      <items count="4">
        <item x="1"/>
        <item x="2"/>
        <item x="0"/>
        <item t="default"/>
      </items>
    </pivotField>
    <pivotField showAll="0">
      <items count="4">
        <item x="0"/>
        <item x="1"/>
        <item x="2"/>
        <item t="default"/>
      </items>
    </pivotField>
    <pivotField dataField="1" showAll="0"/>
    <pivotField showAll="0"/>
    <pivotField showAll="0"/>
    <pivotField showAll="0"/>
  </pivotFields>
  <rowFields count="1">
    <field x="1"/>
  </rowFields>
  <rowItems count="6">
    <i>
      <x/>
    </i>
    <i>
      <x v="1"/>
    </i>
    <i>
      <x v="2"/>
    </i>
    <i>
      <x v="3"/>
    </i>
    <i>
      <x v="4"/>
    </i>
    <i t="grand">
      <x/>
    </i>
  </rowItems>
  <colFields count="1">
    <field x="3"/>
  </colFields>
  <colItems count="4">
    <i>
      <x/>
    </i>
    <i>
      <x v="1"/>
    </i>
    <i>
      <x v="2"/>
    </i>
    <i t="grand">
      <x/>
    </i>
  </colItems>
  <dataFields count="1">
    <dataField name="Sum of Emissions (tons)" fld="5" baseField="0" baseItem="0"/>
  </dataFields>
  <formats count="3">
    <format dxfId="77">
      <pivotArea type="all" dataOnly="0" outline="0" fieldPosition="0"/>
    </format>
    <format dxfId="76">
      <pivotArea type="all" dataOnly="0" outline="0" fieldPosition="0"/>
    </format>
    <format dxfId="75">
      <pivotArea type="all" dataOnly="0" outline="0" fieldPosition="0"/>
    </format>
  </formats>
  <chartFormats count="3">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AF3176-3082-403C-82C3-3375AB1840DA}"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1">
    <pivotField showAll="0"/>
    <pivotField showAll="0">
      <items count="6">
        <item x="4"/>
        <item x="0"/>
        <item x="1"/>
        <item x="2"/>
        <item x="3"/>
        <item t="default"/>
      </items>
    </pivotField>
    <pivotField axis="axisRow" showAll="0">
      <items count="5">
        <item x="0"/>
        <item x="1"/>
        <item x="3"/>
        <item x="2"/>
        <item t="default"/>
      </items>
    </pivotField>
    <pivotField showAll="0">
      <items count="4">
        <item x="1"/>
        <item x="2"/>
        <item x="0"/>
        <item t="default"/>
      </items>
    </pivotField>
    <pivotField showAll="0">
      <items count="4">
        <item x="0"/>
        <item x="1"/>
        <item x="2"/>
        <item t="default"/>
      </items>
    </pivotField>
    <pivotField showAll="0"/>
    <pivotField showAll="0"/>
    <pivotField dataField="1" showAll="0"/>
    <pivotField showAll="0"/>
    <pivotField showAll="0"/>
    <pivotField dragToRow="0" dragToCol="0" dragToPage="0" showAll="0" defaultSubtotal="0"/>
  </pivotFields>
  <rowFields count="1">
    <field x="2"/>
  </rowFields>
  <rowItems count="5">
    <i>
      <x/>
    </i>
    <i>
      <x v="1"/>
    </i>
    <i>
      <x v="2"/>
    </i>
    <i>
      <x v="3"/>
    </i>
    <i t="grand">
      <x/>
    </i>
  </rowItems>
  <colItems count="1">
    <i/>
  </colItems>
  <dataFields count="1">
    <dataField name="Sum of Energy Consumption (MWh)" fld="7" baseField="0" baseItem="0"/>
  </dataFields>
  <formats count="18">
    <format dxfId="56">
      <pivotArea type="all" dataOnly="0" outline="0" fieldPosition="0"/>
    </format>
    <format dxfId="55">
      <pivotArea outline="0" collapsedLevelsAreSubtotals="1" fieldPosition="0"/>
    </format>
    <format dxfId="54">
      <pivotArea field="2" type="button" dataOnly="0" labelOnly="1" outline="0" axis="axisRow" fieldPosition="0"/>
    </format>
    <format dxfId="53">
      <pivotArea dataOnly="0" labelOnly="1" fieldPosition="0">
        <references count="1">
          <reference field="2" count="0"/>
        </references>
      </pivotArea>
    </format>
    <format dxfId="52">
      <pivotArea dataOnly="0" labelOnly="1" grandRow="1" outline="0"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2" type="button" dataOnly="0" labelOnly="1" outline="0" axis="axisRow" fieldPosition="0"/>
    </format>
    <format dxfId="47">
      <pivotArea dataOnly="0" labelOnly="1" fieldPosition="0">
        <references count="1">
          <reference field="2" count="0"/>
        </references>
      </pivotArea>
    </format>
    <format dxfId="46">
      <pivotArea dataOnly="0" labelOnly="1" grandRow="1" outline="0"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2" type="button" dataOnly="0" labelOnly="1" outline="0" axis="axisRow" fieldPosition="0"/>
    </format>
    <format dxfId="41">
      <pivotArea dataOnly="0" labelOnly="1" fieldPosition="0">
        <references count="1">
          <reference field="2" count="0"/>
        </references>
      </pivotArea>
    </format>
    <format dxfId="40">
      <pivotArea dataOnly="0" labelOnly="1" grandRow="1" outline="0" fieldPosition="0"/>
    </format>
    <format dxfId="39">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B99D59-41F9-4DB6-B4FD-547087EE0003}"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I10" firstHeaderRow="1" firstDataRow="2" firstDataCol="1"/>
  <pivotFields count="11">
    <pivotField showAll="0"/>
    <pivotField axis="axisRow" showAll="0">
      <items count="6">
        <item x="4"/>
        <item x="0"/>
        <item x="1"/>
        <item x="2"/>
        <item x="3"/>
        <item t="default"/>
      </items>
    </pivotField>
    <pivotField axis="axisCol" showAll="0">
      <items count="5">
        <item x="0"/>
        <item x="1"/>
        <item x="3"/>
        <item x="2"/>
        <item t="default"/>
      </items>
    </pivotField>
    <pivotField showAll="0">
      <items count="4">
        <item x="1"/>
        <item x="2"/>
        <item x="0"/>
        <item t="default"/>
      </items>
    </pivotField>
    <pivotField showAll="0">
      <items count="4">
        <item x="0"/>
        <item x="1"/>
        <item x="2"/>
        <item t="default"/>
      </items>
    </pivotField>
    <pivotField showAll="0"/>
    <pivotField showAll="0"/>
    <pivotField showAll="0"/>
    <pivotField showAll="0"/>
    <pivotField dataField="1" showAll="0"/>
    <pivotField dragToRow="0" dragToCol="0" dragToPage="0" showAll="0" defaultSubtotal="0"/>
  </pivotFields>
  <rowFields count="1">
    <field x="1"/>
  </rowFields>
  <rowItems count="6">
    <i>
      <x/>
    </i>
    <i>
      <x v="1"/>
    </i>
    <i>
      <x v="2"/>
    </i>
    <i>
      <x v="3"/>
    </i>
    <i>
      <x v="4"/>
    </i>
    <i t="grand">
      <x/>
    </i>
  </rowItems>
  <colFields count="1">
    <field x="2"/>
  </colFields>
  <colItems count="5">
    <i>
      <x/>
    </i>
    <i>
      <x v="1"/>
    </i>
    <i>
      <x v="2"/>
    </i>
    <i>
      <x v="3"/>
    </i>
    <i t="grand">
      <x/>
    </i>
  </colItems>
  <dataFields count="1">
    <dataField name="Sum of Emission Intensity" fld="9" baseField="0" baseItem="0"/>
  </dataFields>
  <formats count="18">
    <format dxfId="74">
      <pivotArea type="all" dataOnly="0" outline="0" fieldPosition="0"/>
    </format>
    <format dxfId="73">
      <pivotArea outline="0" collapsedLevelsAreSubtotals="1" fieldPosition="0"/>
    </format>
    <format dxfId="72">
      <pivotArea field="2" type="button" dataOnly="0" labelOnly="1" outline="0" axis="axisCol" fieldPosition="0"/>
    </format>
    <format dxfId="71">
      <pivotArea dataOnly="0" labelOnly="1" fieldPosition="0">
        <references count="1">
          <reference field="2" count="0"/>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2" type="button" dataOnly="0" labelOnly="1" outline="0" axis="axisCol" fieldPosition="0"/>
    </format>
    <format dxfId="65">
      <pivotArea dataOnly="0" labelOnly="1" fieldPosition="0">
        <references count="1">
          <reference field="2" count="0"/>
        </references>
      </pivotArea>
    </format>
    <format dxfId="64">
      <pivotArea dataOnly="0" labelOnly="1" grandRow="1" outline="0"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2" type="button" dataOnly="0" labelOnly="1" outline="0" axis="axisCol" fieldPosition="0"/>
    </format>
    <format dxfId="59">
      <pivotArea dataOnly="0" labelOnly="1" fieldPosition="0">
        <references count="1">
          <reference field="2" count="0"/>
        </references>
      </pivotArea>
    </format>
    <format dxfId="58">
      <pivotArea dataOnly="0" labelOnly="1" grandRow="1" outline="0" fieldPosition="0"/>
    </format>
    <format dxfId="57">
      <pivotArea dataOnly="0" labelOnly="1" outline="0" axis="axisValues" fieldPosition="0"/>
    </format>
  </formats>
  <chartFormats count="5">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 chart="9" format="2" series="1">
      <pivotArea type="data" outline="0" fieldPosition="0">
        <references count="2">
          <reference field="4294967294" count="1" selected="0">
            <x v="0"/>
          </reference>
          <reference field="2" count="1" selected="0">
            <x v="2"/>
          </reference>
        </references>
      </pivotArea>
    </chartFormat>
    <chartFormat chart="9" format="3" series="1">
      <pivotArea type="data" outline="0" fieldPosition="0">
        <references count="2">
          <reference field="4294967294" count="1" selected="0">
            <x v="0"/>
          </reference>
          <reference field="2" count="1" selected="0">
            <x v="3"/>
          </reference>
        </references>
      </pivotArea>
    </chartFormat>
    <chartFormat chart="9" format="4"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C8F0A4-EEB5-4752-BC2B-1D99268986C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9" firstHeaderRow="1" firstDataRow="1" firstDataCol="1" rowPageCount="1" colPageCount="1"/>
  <pivotFields count="11">
    <pivotField showAll="0"/>
    <pivotField axis="axisRow" showAll="0">
      <items count="6">
        <item x="4"/>
        <item x="0"/>
        <item x="1"/>
        <item x="2"/>
        <item x="3"/>
        <item t="default"/>
      </items>
    </pivotField>
    <pivotField axis="axisPage" multipleItemSelectionAllowed="1" showAll="0">
      <items count="5">
        <item x="0"/>
        <item x="1"/>
        <item x="3"/>
        <item x="2"/>
        <item t="default"/>
      </items>
    </pivotField>
    <pivotField showAll="0">
      <items count="4">
        <item x="1"/>
        <item x="2"/>
        <item x="0"/>
        <item t="default"/>
      </items>
    </pivotField>
    <pivotField showAll="0">
      <items count="4">
        <item x="0"/>
        <item x="1"/>
        <item x="2"/>
        <item t="default"/>
      </items>
    </pivotField>
    <pivotField showAll="0"/>
    <pivotField showAll="0"/>
    <pivotField showAll="0"/>
    <pivotField showAll="0"/>
    <pivotField showAll="0"/>
    <pivotField dataField="1" dragToRow="0" dragToCol="0" dragToPage="0" showAll="0" defaultSubtotal="0"/>
  </pivotFields>
  <rowFields count="1">
    <field x="1"/>
  </rowFields>
  <rowItems count="6">
    <i>
      <x/>
    </i>
    <i>
      <x v="1"/>
    </i>
    <i>
      <x v="2"/>
    </i>
    <i>
      <x v="3"/>
    </i>
    <i>
      <x v="4"/>
    </i>
    <i t="grand">
      <x/>
    </i>
  </rowItems>
  <colItems count="1">
    <i/>
  </colItems>
  <pageFields count="1">
    <pageField fld="2" hier="-1"/>
  </pageFields>
  <dataFields count="1">
    <dataField name="Sum of Production Efficiency" fld="10" baseField="0" baseItem="0"/>
  </dataFields>
  <formats count="15">
    <format dxfId="38">
      <pivotArea type="all" dataOnly="0" outline="0" fieldPosition="0"/>
    </format>
    <format dxfId="37">
      <pivotArea outline="0" collapsedLevelsAreSubtotals="1" fieldPosition="0"/>
    </format>
    <format dxfId="36">
      <pivotArea field="1" type="button" dataOnly="0" labelOnly="1" outline="0" axis="axisRow" fieldPosition="0"/>
    </format>
    <format dxfId="35">
      <pivotArea dataOnly="0" labelOnly="1" fieldPosition="0">
        <references count="1">
          <reference field="1" count="0"/>
        </references>
      </pivotArea>
    </format>
    <format dxfId="34">
      <pivotArea dataOnly="0" labelOnly="1" grandRow="1" outline="0" fieldPosition="0"/>
    </format>
    <format dxfId="33">
      <pivotArea type="all" dataOnly="0" outline="0" fieldPosition="0"/>
    </format>
    <format dxfId="32">
      <pivotArea outline="0" collapsedLevelsAreSubtotals="1" fieldPosition="0"/>
    </format>
    <format dxfId="31">
      <pivotArea field="1" type="button" dataOnly="0" labelOnly="1" outline="0" axis="axisRow" fieldPosition="0"/>
    </format>
    <format dxfId="30">
      <pivotArea dataOnly="0" labelOnly="1" fieldPosition="0">
        <references count="1">
          <reference field="1" count="0"/>
        </references>
      </pivotArea>
    </format>
    <format dxfId="29">
      <pivotArea dataOnly="0" labelOnly="1" grandRow="1" outline="0" fieldPosition="0"/>
    </format>
    <format dxfId="28">
      <pivotArea type="all" dataOnly="0" outline="0" fieldPosition="0"/>
    </format>
    <format dxfId="27">
      <pivotArea outline="0" collapsedLevelsAreSubtotals="1" fieldPosition="0"/>
    </format>
    <format dxfId="26">
      <pivotArea field="1" type="button" dataOnly="0" labelOnly="1" outline="0" axis="axisRow" fieldPosition="0"/>
    </format>
    <format dxfId="25">
      <pivotArea dataOnly="0" labelOnly="1" fieldPosition="0">
        <references count="1">
          <reference field="1" count="0"/>
        </references>
      </pivotArea>
    </format>
    <format dxfId="24">
      <pivotArea dataOnly="0" labelOnly="1" grandRow="1" outline="0" fieldPosition="0"/>
    </format>
  </formats>
  <chartFormats count="2">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284EE2-C5EC-4E9D-8BAD-7E08A32488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rowPageCount="1" colPageCount="1"/>
  <pivotFields count="6">
    <pivotField showAll="0"/>
    <pivotField axis="axisRow" showAll="0">
      <items count="6">
        <item x="4"/>
        <item x="0"/>
        <item x="1"/>
        <item x="2"/>
        <item x="3"/>
        <item t="default"/>
      </items>
    </pivotField>
    <pivotField axis="axisPage" multipleItemSelectionAllowed="1" showAll="0">
      <items count="5">
        <item h="1" x="0"/>
        <item h="1" x="1"/>
        <item h="1" x="3"/>
        <item x="2"/>
        <item t="default"/>
      </items>
    </pivotField>
    <pivotField showAll="0">
      <items count="4">
        <item x="1"/>
        <item x="2"/>
        <item x="0"/>
        <item t="default"/>
      </items>
    </pivotField>
    <pivotField showAll="0"/>
    <pivotField dataField="1" showAll="0"/>
  </pivotFields>
  <rowFields count="1">
    <field x="1"/>
  </rowFields>
  <rowItems count="6">
    <i>
      <x/>
    </i>
    <i>
      <x v="1"/>
    </i>
    <i>
      <x v="2"/>
    </i>
    <i>
      <x v="3"/>
    </i>
    <i>
      <x v="4"/>
    </i>
    <i t="grand">
      <x/>
    </i>
  </rowItems>
  <colItems count="1">
    <i/>
  </colItems>
  <pageFields count="1">
    <pageField fld="2" hier="-1"/>
  </pageFields>
  <dataFields count="1">
    <dataField name="Sum of Emissions (tons)" fld="5" baseField="0" baseItem="0"/>
  </dataFields>
  <formats count="6">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A0A5D7-24CD-4CCB-A998-9A6CEED1EB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rowPageCount="1" colPageCount="1"/>
  <pivotFields count="6">
    <pivotField showAll="0"/>
    <pivotField axis="axisRow" showAll="0">
      <items count="6">
        <item x="4"/>
        <item x="0"/>
        <item x="1"/>
        <item x="2"/>
        <item x="3"/>
        <item t="default"/>
      </items>
    </pivotField>
    <pivotField axis="axisPage" multipleItemSelectionAllowed="1" showAll="0">
      <items count="5">
        <item x="0"/>
        <item h="1" x="1"/>
        <item h="1" x="3"/>
        <item h="1" x="2"/>
        <item t="default"/>
      </items>
    </pivotField>
    <pivotField showAll="0">
      <items count="4">
        <item x="1"/>
        <item x="2"/>
        <item x="0"/>
        <item t="default"/>
      </items>
    </pivotField>
    <pivotField showAll="0"/>
    <pivotField dataField="1" showAll="0"/>
  </pivotFields>
  <rowFields count="1">
    <field x="1"/>
  </rowFields>
  <rowItems count="6">
    <i>
      <x/>
    </i>
    <i>
      <x v="1"/>
    </i>
    <i>
      <x v="2"/>
    </i>
    <i>
      <x v="3"/>
    </i>
    <i>
      <x v="4"/>
    </i>
    <i t="grand">
      <x/>
    </i>
  </rowItems>
  <colItems count="1">
    <i/>
  </colItems>
  <pageFields count="1">
    <pageField fld="2" hier="-1"/>
  </pageFields>
  <dataFields count="1">
    <dataField name="Sum of Emissions (tons)" fld="5" baseField="0" baseItem="0"/>
  </dataFields>
  <formats count="6">
    <format dxfId="23">
      <pivotArea type="all" dataOnly="0" outline="0" fieldPosition="0"/>
    </format>
    <format dxfId="22">
      <pivotArea outline="0" collapsedLevelsAreSubtotals="1" fieldPosition="0"/>
    </format>
    <format dxfId="21">
      <pivotArea field="1" type="button" dataOnly="0" labelOnly="1" outline="0" axis="axisRow" fieldPosition="0"/>
    </format>
    <format dxfId="20">
      <pivotArea dataOnly="0" labelOnly="1" fieldPosition="0">
        <references count="1">
          <reference field="1" count="0"/>
        </references>
      </pivotArea>
    </format>
    <format dxfId="19">
      <pivotArea dataOnly="0" labelOnly="1" grandRow="1" outline="0"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C48E7B-61AC-490D-B48A-FFD2AB6C083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rowPageCount="1" colPageCount="1"/>
  <pivotFields count="9">
    <pivotField showAll="0"/>
    <pivotField axis="axisRow" showAll="0">
      <items count="6">
        <item x="4"/>
        <item x="0"/>
        <item x="1"/>
        <item x="2"/>
        <item x="3"/>
        <item t="default"/>
      </items>
    </pivotField>
    <pivotField axis="axisPage" multipleItemSelectionAllowed="1" showAll="0">
      <items count="5">
        <item x="0"/>
        <item x="1"/>
        <item x="3"/>
        <item x="2"/>
        <item t="default"/>
      </items>
    </pivotField>
    <pivotField showAll="0">
      <items count="4">
        <item x="1"/>
        <item x="2"/>
        <item x="0"/>
        <item t="default"/>
      </items>
    </pivotField>
    <pivotField showAll="0">
      <items count="4">
        <item x="0"/>
        <item x="1"/>
        <item x="2"/>
        <item t="default"/>
      </items>
    </pivotField>
    <pivotField dataField="1" showAll="0"/>
    <pivotField dataField="1" showAll="0"/>
    <pivotField showAll="0"/>
    <pivotField showAll="0"/>
  </pivotFields>
  <rowFields count="1">
    <field x="1"/>
  </rowFields>
  <rowItems count="6">
    <i>
      <x/>
    </i>
    <i>
      <x v="1"/>
    </i>
    <i>
      <x v="2"/>
    </i>
    <i>
      <x v="3"/>
    </i>
    <i>
      <x v="4"/>
    </i>
    <i t="grand">
      <x/>
    </i>
  </rowItems>
  <colFields count="1">
    <field x="-2"/>
  </colFields>
  <colItems count="2">
    <i>
      <x/>
    </i>
    <i i="1">
      <x v="1"/>
    </i>
  </colItems>
  <pageFields count="1">
    <pageField fld="2" hier="-1"/>
  </pageFields>
  <dataFields count="2">
    <dataField name="Sum of Emissions (tons)" fld="5" baseField="0" baseItem="0"/>
    <dataField name="Sum of Production Volume (units)" fld="6" baseField="0" baseItem="0"/>
  </dataFields>
  <formats count="12">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_Name" xr10:uid="{09902D36-FC09-444F-932C-8FBA77AEF4A1}" sourceName="Facility Name">
  <pivotTables>
    <pivotTable tabId="12" name="PivotTable5"/>
    <pivotTable tabId="14" name="PivotTable7"/>
    <pivotTable tabId="13" name="PivotTable6"/>
    <pivotTable tabId="12" name="PivotTable8"/>
    <pivotTable tabId="15" name="PivotTable8"/>
  </pivotTables>
  <data>
    <tabular pivotCacheId="1939565506">
      <items count="5">
        <i x="4" s="1"/>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Period" xr10:uid="{0C87A085-C91F-45F9-B6BA-71EEFE06ECBD}" sourceName="Reporting Period">
  <pivotTables>
    <pivotTable tabId="12" name="PivotTable5"/>
    <pivotTable tabId="14" name="PivotTable7"/>
    <pivotTable tabId="13" name="PivotTable6"/>
    <pivotTable tabId="12" name="PivotTable8"/>
    <pivotTable tabId="15" name="PivotTable8"/>
  </pivotTables>
  <data>
    <tabular pivotCacheId="1939565506">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_Name1" xr10:uid="{A110C020-69A7-4057-860A-5FCB1A37B06F}" sourceName="Facility Name">
  <pivotTables>
    <pivotTable tabId="18" name="PivotTable5"/>
    <pivotTable tabId="20" name="PivotTable6"/>
    <pivotTable tabId="20" name="PivotTable9"/>
  </pivotTables>
  <data>
    <tabular pivotCacheId="1071100039">
      <items count="5">
        <i x="4" s="1"/>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Period1" xr10:uid="{0C136DB9-F91D-45AE-ADE4-8F7C4090975E}" sourceName="Reporting Period">
  <pivotTables>
    <pivotTable tabId="18" name="PivotTable5"/>
    <pivotTable tabId="20" name="PivotTable6"/>
    <pivotTable tabId="20" name="PivotTable9"/>
  </pivotTables>
  <data>
    <tabular pivotCacheId="1071100039">
      <items count="4">
        <i x="0" s="1"/>
        <i x="1"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pe1" xr10:uid="{59F491F6-B9C3-4497-96DF-E2610931DA4B}" sourceName="Scope">
  <pivotTables>
    <pivotTable tabId="18" name="PivotTable5"/>
    <pivotTable tabId="20" name="PivotTable6"/>
    <pivotTable tabId="20" name="PivotTable9"/>
  </pivotTables>
  <data>
    <tabular pivotCacheId="1071100039">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HG_Type1" xr10:uid="{C1184ECD-FDA6-4CE8-9DCA-89D23123CC19}" sourceName="GHG Type">
  <pivotTables>
    <pivotTable tabId="18" name="PivotTable5"/>
    <pivotTable tabId="20" name="PivotTable6"/>
    <pivotTable tabId="20" name="PivotTable9"/>
  </pivotTables>
  <data>
    <tabular pivotCacheId="1071100039">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pe" xr10:uid="{B762EBC3-ACF9-44C3-9D04-255F60CB7BFF}" sourceName="Scope">
  <pivotTables>
    <pivotTable tabId="12" name="PivotTable8"/>
    <pivotTable tabId="14" name="PivotTable7"/>
    <pivotTable tabId="13" name="PivotTable6"/>
    <pivotTable tabId="12" name="PivotTable5"/>
    <pivotTable tabId="15" name="PivotTable8"/>
  </pivotTables>
  <data>
    <tabular pivotCacheId="1939565506">
      <items count="3">
        <i x="1" s="1"/>
        <i x="2"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HG_Type" xr10:uid="{1C5F011E-7F87-46FF-A443-F846DA7649C3}" sourceName="GHG Type">
  <pivotTables>
    <pivotTable tabId="12" name="PivotTable8"/>
    <pivotTable tabId="14" name="PivotTable7"/>
    <pivotTable tabId="13" name="PivotTable6"/>
    <pivotTable tabId="12" name="PivotTable5"/>
    <pivotTable tabId="15" name="PivotTable8"/>
  </pivotTables>
  <data>
    <tabular pivotCacheId="193956550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Name 1" xr10:uid="{01095527-6BFF-433B-93CE-C58C79E31506}" cache="Slicer_Facility_Name" caption="Facility Name" rowHeight="257175"/>
  <slicer name="Reporting Period 1" xr10:uid="{6C06C487-5EE7-4DD8-886B-2C84B1E397E1}" cache="Slicer_Reporting_Period" caption="Reporting Perio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Name" xr10:uid="{7B6B97DF-4B0D-48A3-BD2C-08F08977712E}" cache="Slicer_Facility_Name" caption="Facility Name" rowHeight="257175"/>
  <slicer name="Reporting Period" xr10:uid="{6D365013-24B9-4C93-A3CB-7DCFC4B2776C}" cache="Slicer_Reporting_Period" caption="Reporting Period" rowHeight="257175"/>
  <slicer name="Scope" xr10:uid="{7085A6AB-59EE-4210-A069-35092D59C12A}" cache="Slicer_Scope" caption="Scope" rowHeight="257175"/>
  <slicer name="GHG Type" xr10:uid="{95941179-02D5-43D5-BEB1-6316A43DDDFC}" cache="Slicer_GHG_Type" caption="GHG Type"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Name 6" xr10:uid="{B111B35B-59A5-45C5-98EF-1B77D2B0D183}" cache="Slicer_Facility_Name" caption="Facility Name" rowHeight="257175"/>
  <slicer name="Reporting Period 6" xr10:uid="{A0D2C91A-E784-4185-B925-7E84CCFD770B}" cache="Slicer_Reporting_Period" caption="Reporting Period" rowHeight="257175"/>
  <slicer name="Scope 5" xr10:uid="{0F420183-69F6-44A3-B3FD-A5086FE9C053}" cache="Slicer_Scope" caption="Scope" rowHeight="257175"/>
  <slicer name="GHG Type 4" xr10:uid="{48FA9743-1CD8-451F-975C-CFFC9015473F}" cache="Slicer_GHG_Type" caption="GHG Type"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Name 5" xr10:uid="{903B33D5-6630-429E-A479-66CA76A27EEF}" cache="Slicer_Facility_Name" caption="Facility Name" rowHeight="257175"/>
  <slicer name="Reporting Period 5" xr10:uid="{A67D39F1-2DDA-44D2-8164-A7C982615C9A}" cache="Slicer_Reporting_Period" caption="Reporting Period" rowHeight="257175"/>
  <slicer name="Scope 4" xr10:uid="{32763C1C-D74E-4FDB-A9F2-48586DBB564F}" cache="Slicer_Scope" caption="Scope" rowHeight="257175"/>
  <slicer name="GHG Type 3" xr10:uid="{E5D7F6AF-A275-4BE2-AD0A-51A50B2F2D14}" cache="Slicer_GHG_Type" caption="GHG Type"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Name 3" xr10:uid="{E96056E8-7FA2-4CBF-9530-3C543B1A6CF3}" cache="Slicer_Facility_Name1" caption="Facility Name" rowHeight="257175"/>
  <slicer name="Reporting Period 3" xr10:uid="{B09A25E4-8805-4D64-A136-CD5F1829CEF3}" cache="Slicer_Reporting_Period1" caption="Reporting Period" rowHeight="257175"/>
  <slicer name="Scope 2" xr10:uid="{F96EAD1E-1FF9-472C-B549-5AB1BAA7CB9A}" cache="Slicer_Scope1" caption="Scope" rowHeight="257175"/>
  <slicer name="GHG Type 2" xr10:uid="{CE8FCD17-BDE1-4F54-AD23-1810541B8E77}" cache="Slicer_GHG_Type1" caption="GHG Type" rowHeight="257175"/>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Name 2" xr10:uid="{CBD3E4F3-D3E9-4F3C-BFA7-BA2306F1E72D}" cache="Slicer_Facility_Name1" caption="Facility Name" rowHeight="257175"/>
  <slicer name="Reporting Period 2" xr10:uid="{49A1FA43-632C-43B7-AFFC-5F6DA2D17ED9}" cache="Slicer_Reporting_Period1" caption="Reporting Period" rowHeight="257175"/>
  <slicer name="Scope 1" xr10:uid="{51860443-A2A3-4F1F-BDDD-7B95E680E355}" cache="Slicer_Scope1" caption="Scope" rowHeight="257175"/>
  <slicer name="GHG Type 1" xr10:uid="{1E1AEA30-FE69-4862-944A-F8E834CAFEB0}" cache="Slicer_GHG_Type1" caption="GHG Typ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5.xml"/></Relationships>
</file>

<file path=xl/worksheets/_rels/sheet11.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A4BEB-875F-4E17-9E03-4AB371F50034}">
  <dimension ref="A1:J2001"/>
  <sheetViews>
    <sheetView workbookViewId="0">
      <selection activeCell="M6" sqref="M6"/>
    </sheetView>
  </sheetViews>
  <sheetFormatPr defaultRowHeight="15" x14ac:dyDescent="0.25"/>
  <cols>
    <col min="1" max="1" width="9.5703125" style="9" bestFit="1" customWidth="1"/>
    <col min="2" max="2" width="13.140625" style="9" bestFit="1" customWidth="1"/>
    <col min="3" max="3" width="16.140625" style="9" bestFit="1" customWidth="1"/>
    <col min="4" max="4" width="7.7109375" style="9" bestFit="1" customWidth="1"/>
    <col min="5" max="5" width="9.85546875" style="9" bestFit="1" customWidth="1"/>
    <col min="6" max="6" width="15.5703125" style="9" bestFit="1" customWidth="1"/>
    <col min="7" max="9" width="9.140625" style="9"/>
    <col min="10" max="10" width="16" style="9" bestFit="1" customWidth="1"/>
    <col min="11" max="16384" width="9.140625" style="9"/>
  </cols>
  <sheetData>
    <row r="1" spans="1:10" ht="15.75" thickBot="1" x14ac:dyDescent="0.3">
      <c r="A1" s="1" t="s">
        <v>0</v>
      </c>
      <c r="B1" s="2" t="s">
        <v>1</v>
      </c>
      <c r="C1" s="2" t="s">
        <v>2</v>
      </c>
      <c r="D1" s="2" t="s">
        <v>3</v>
      </c>
      <c r="E1" s="2" t="s">
        <v>4</v>
      </c>
      <c r="F1" s="2" t="s">
        <v>5</v>
      </c>
    </row>
    <row r="2" spans="1:10" ht="15.75" thickBot="1" x14ac:dyDescent="0.3">
      <c r="A2" s="4" t="s">
        <v>6</v>
      </c>
      <c r="B2" s="5" t="s">
        <v>7</v>
      </c>
      <c r="C2" s="5" t="s">
        <v>8</v>
      </c>
      <c r="D2" s="5" t="s">
        <v>9</v>
      </c>
      <c r="E2" s="5" t="s">
        <v>10</v>
      </c>
      <c r="F2" s="5">
        <v>2435.5974080000001</v>
      </c>
    </row>
    <row r="3" spans="1:10" ht="15.75" thickBot="1" x14ac:dyDescent="0.3">
      <c r="A3" s="4" t="s">
        <v>11</v>
      </c>
      <c r="B3" s="5" t="s">
        <v>12</v>
      </c>
      <c r="C3" s="5" t="s">
        <v>13</v>
      </c>
      <c r="D3" s="5" t="s">
        <v>14</v>
      </c>
      <c r="E3" s="5" t="s">
        <v>15</v>
      </c>
      <c r="F3" s="5">
        <v>835.45</v>
      </c>
    </row>
    <row r="4" spans="1:10" ht="30.75" thickBot="1" x14ac:dyDescent="0.3">
      <c r="A4" s="4" t="s">
        <v>16</v>
      </c>
      <c r="B4" s="5" t="s">
        <v>17</v>
      </c>
      <c r="C4" s="5" t="s">
        <v>13</v>
      </c>
      <c r="D4" s="5" t="s">
        <v>14</v>
      </c>
      <c r="E4" s="5" t="s">
        <v>15</v>
      </c>
      <c r="F4" s="5">
        <v>3430.45</v>
      </c>
    </row>
    <row r="5" spans="1:10" ht="15.75" thickBot="1" x14ac:dyDescent="0.3">
      <c r="A5" s="4" t="s">
        <v>18</v>
      </c>
      <c r="B5" s="5" t="s">
        <v>19</v>
      </c>
      <c r="C5" s="5" t="s">
        <v>8</v>
      </c>
      <c r="D5" s="5" t="s">
        <v>14</v>
      </c>
      <c r="E5" s="5" t="s">
        <v>15</v>
      </c>
      <c r="F5" s="5">
        <v>4214.24</v>
      </c>
      <c r="J5" s="17"/>
    </row>
    <row r="6" spans="1:10" ht="30.75" thickBot="1" x14ac:dyDescent="0.3">
      <c r="A6" s="4" t="s">
        <v>20</v>
      </c>
      <c r="B6" s="5" t="s">
        <v>17</v>
      </c>
      <c r="C6" s="5" t="s">
        <v>13</v>
      </c>
      <c r="D6" s="5" t="s">
        <v>9</v>
      </c>
      <c r="E6" s="5" t="s">
        <v>10</v>
      </c>
      <c r="F6" s="5">
        <v>605.59354689999998</v>
      </c>
    </row>
    <row r="7" spans="1:10" ht="15.75" thickBot="1" x14ac:dyDescent="0.3">
      <c r="A7" s="4" t="s">
        <v>21</v>
      </c>
      <c r="B7" s="5" t="s">
        <v>19</v>
      </c>
      <c r="C7" s="5" t="s">
        <v>13</v>
      </c>
      <c r="D7" s="5" t="s">
        <v>14</v>
      </c>
      <c r="E7" s="5" t="s">
        <v>10</v>
      </c>
      <c r="F7" s="5">
        <v>656.33</v>
      </c>
    </row>
    <row r="8" spans="1:10" ht="15.75" thickBot="1" x14ac:dyDescent="0.3">
      <c r="A8" s="4" t="s">
        <v>22</v>
      </c>
      <c r="B8" s="5" t="s">
        <v>12</v>
      </c>
      <c r="C8" s="5" t="s">
        <v>23</v>
      </c>
      <c r="D8" s="5" t="s">
        <v>9</v>
      </c>
      <c r="E8" s="5" t="s">
        <v>24</v>
      </c>
      <c r="F8" s="5">
        <v>4455.9340899999997</v>
      </c>
    </row>
    <row r="9" spans="1:10" ht="15.75" thickBot="1" x14ac:dyDescent="0.3">
      <c r="A9" s="4" t="s">
        <v>25</v>
      </c>
      <c r="B9" s="5" t="s">
        <v>19</v>
      </c>
      <c r="C9" s="5" t="s">
        <v>13</v>
      </c>
      <c r="D9" s="5" t="s">
        <v>9</v>
      </c>
      <c r="E9" s="5" t="s">
        <v>10</v>
      </c>
      <c r="F9" s="5">
        <v>660.19753639999999</v>
      </c>
    </row>
    <row r="10" spans="1:10" ht="30.75" thickBot="1" x14ac:dyDescent="0.3">
      <c r="A10" s="4" t="s">
        <v>26</v>
      </c>
      <c r="B10" s="5" t="s">
        <v>17</v>
      </c>
      <c r="C10" s="5" t="s">
        <v>23</v>
      </c>
      <c r="D10" s="5" t="s">
        <v>9</v>
      </c>
      <c r="E10" s="5" t="s">
        <v>10</v>
      </c>
      <c r="F10" s="5">
        <v>1883.3043130000001</v>
      </c>
    </row>
    <row r="11" spans="1:10" ht="15.75" thickBot="1" x14ac:dyDescent="0.3">
      <c r="A11" s="4" t="s">
        <v>27</v>
      </c>
      <c r="B11" s="5" t="s">
        <v>12</v>
      </c>
      <c r="C11" s="5" t="s">
        <v>8</v>
      </c>
      <c r="D11" s="5" t="s">
        <v>28</v>
      </c>
      <c r="E11" s="5" t="s">
        <v>24</v>
      </c>
      <c r="F11" s="5">
        <v>221.01</v>
      </c>
    </row>
    <row r="12" spans="1:10" ht="15.75" thickBot="1" x14ac:dyDescent="0.3">
      <c r="A12" s="4" t="s">
        <v>29</v>
      </c>
      <c r="B12" s="5" t="s">
        <v>30</v>
      </c>
      <c r="C12" s="5" t="s">
        <v>8</v>
      </c>
      <c r="D12" s="5" t="s">
        <v>28</v>
      </c>
      <c r="E12" s="5" t="s">
        <v>10</v>
      </c>
      <c r="F12" s="5">
        <v>4737.0600000000004</v>
      </c>
    </row>
    <row r="13" spans="1:10" ht="15.75" thickBot="1" x14ac:dyDescent="0.3">
      <c r="A13" s="4" t="s">
        <v>31</v>
      </c>
      <c r="B13" s="5" t="s">
        <v>30</v>
      </c>
      <c r="C13" s="5" t="s">
        <v>8</v>
      </c>
      <c r="D13" s="5" t="s">
        <v>9</v>
      </c>
      <c r="E13" s="5" t="s">
        <v>24</v>
      </c>
      <c r="F13" s="5">
        <v>1951.279029</v>
      </c>
    </row>
    <row r="14" spans="1:10" ht="15.75" thickBot="1" x14ac:dyDescent="0.3">
      <c r="A14" s="4" t="s">
        <v>32</v>
      </c>
      <c r="B14" s="5" t="s">
        <v>7</v>
      </c>
      <c r="C14" s="5" t="s">
        <v>13</v>
      </c>
      <c r="D14" s="5" t="s">
        <v>28</v>
      </c>
      <c r="E14" s="5" t="s">
        <v>10</v>
      </c>
      <c r="F14" s="5">
        <v>4320.1099999999997</v>
      </c>
    </row>
    <row r="15" spans="1:10" ht="15.75" thickBot="1" x14ac:dyDescent="0.3">
      <c r="A15" s="4" t="s">
        <v>21</v>
      </c>
      <c r="B15" s="5" t="s">
        <v>19</v>
      </c>
      <c r="C15" s="5" t="s">
        <v>8</v>
      </c>
      <c r="D15" s="5" t="s">
        <v>28</v>
      </c>
      <c r="E15" s="5" t="s">
        <v>15</v>
      </c>
      <c r="F15" s="5">
        <v>2179.33</v>
      </c>
    </row>
    <row r="16" spans="1:10" ht="15.75" thickBot="1" x14ac:dyDescent="0.3">
      <c r="A16" s="4" t="s">
        <v>33</v>
      </c>
      <c r="B16" s="5" t="s">
        <v>19</v>
      </c>
      <c r="C16" s="5" t="s">
        <v>34</v>
      </c>
      <c r="D16" s="5" t="s">
        <v>14</v>
      </c>
      <c r="E16" s="5" t="s">
        <v>10</v>
      </c>
      <c r="F16" s="5">
        <v>3612.19</v>
      </c>
    </row>
    <row r="17" spans="1:6" ht="15.75" thickBot="1" x14ac:dyDescent="0.3">
      <c r="A17" s="4" t="s">
        <v>35</v>
      </c>
      <c r="B17" s="5" t="s">
        <v>19</v>
      </c>
      <c r="C17" s="5" t="s">
        <v>8</v>
      </c>
      <c r="D17" s="5" t="s">
        <v>28</v>
      </c>
      <c r="E17" s="5" t="s">
        <v>24</v>
      </c>
      <c r="F17" s="5">
        <v>1270.3599999999999</v>
      </c>
    </row>
    <row r="18" spans="1:6" ht="15.75" thickBot="1" x14ac:dyDescent="0.3">
      <c r="A18" s="4" t="s">
        <v>36</v>
      </c>
      <c r="B18" s="5" t="s">
        <v>12</v>
      </c>
      <c r="C18" s="5" t="s">
        <v>23</v>
      </c>
      <c r="D18" s="5" t="s">
        <v>28</v>
      </c>
      <c r="E18" s="5" t="s">
        <v>10</v>
      </c>
      <c r="F18" s="5">
        <v>1630.06</v>
      </c>
    </row>
    <row r="19" spans="1:6" ht="30.75" thickBot="1" x14ac:dyDescent="0.3">
      <c r="A19" s="4" t="s">
        <v>37</v>
      </c>
      <c r="B19" s="5" t="s">
        <v>17</v>
      </c>
      <c r="C19" s="5" t="s">
        <v>34</v>
      </c>
      <c r="D19" s="5" t="s">
        <v>9</v>
      </c>
      <c r="E19" s="5" t="s">
        <v>24</v>
      </c>
      <c r="F19" s="5">
        <v>3063.6059129999999</v>
      </c>
    </row>
    <row r="20" spans="1:6" ht="15.75" thickBot="1" x14ac:dyDescent="0.3">
      <c r="A20" s="4" t="s">
        <v>38</v>
      </c>
      <c r="B20" s="5" t="s">
        <v>30</v>
      </c>
      <c r="C20" s="5" t="s">
        <v>8</v>
      </c>
      <c r="D20" s="5" t="s">
        <v>9</v>
      </c>
      <c r="E20" s="5" t="s">
        <v>24</v>
      </c>
      <c r="F20" s="5">
        <v>2447.4218510000001</v>
      </c>
    </row>
    <row r="21" spans="1:6" ht="15.75" thickBot="1" x14ac:dyDescent="0.3">
      <c r="A21" s="4" t="s">
        <v>39</v>
      </c>
      <c r="B21" s="5" t="s">
        <v>7</v>
      </c>
      <c r="C21" s="5" t="s">
        <v>13</v>
      </c>
      <c r="D21" s="5" t="s">
        <v>28</v>
      </c>
      <c r="E21" s="5" t="s">
        <v>24</v>
      </c>
      <c r="F21" s="5">
        <v>4170.13</v>
      </c>
    </row>
    <row r="22" spans="1:6" ht="15.75" thickBot="1" x14ac:dyDescent="0.3">
      <c r="A22" s="4" t="s">
        <v>40</v>
      </c>
      <c r="B22" s="5" t="s">
        <v>19</v>
      </c>
      <c r="C22" s="5" t="s">
        <v>23</v>
      </c>
      <c r="D22" s="5" t="s">
        <v>9</v>
      </c>
      <c r="E22" s="5" t="s">
        <v>15</v>
      </c>
      <c r="F22" s="5">
        <v>2099.6404550000002</v>
      </c>
    </row>
    <row r="23" spans="1:6" ht="15.75" thickBot="1" x14ac:dyDescent="0.3">
      <c r="A23" s="4" t="s">
        <v>41</v>
      </c>
      <c r="B23" s="5" t="s">
        <v>30</v>
      </c>
      <c r="C23" s="5" t="s">
        <v>23</v>
      </c>
      <c r="D23" s="5" t="s">
        <v>28</v>
      </c>
      <c r="E23" s="5" t="s">
        <v>15</v>
      </c>
      <c r="F23" s="5">
        <v>3701.02</v>
      </c>
    </row>
    <row r="24" spans="1:6" ht="15.75" thickBot="1" x14ac:dyDescent="0.3">
      <c r="A24" s="4" t="s">
        <v>42</v>
      </c>
      <c r="B24" s="5" t="s">
        <v>30</v>
      </c>
      <c r="C24" s="5" t="s">
        <v>23</v>
      </c>
      <c r="D24" s="5" t="s">
        <v>28</v>
      </c>
      <c r="E24" s="5" t="s">
        <v>10</v>
      </c>
      <c r="F24" s="5">
        <v>1262.77</v>
      </c>
    </row>
    <row r="25" spans="1:6" ht="30.75" thickBot="1" x14ac:dyDescent="0.3">
      <c r="A25" s="4" t="s">
        <v>43</v>
      </c>
      <c r="B25" s="5" t="s">
        <v>17</v>
      </c>
      <c r="C25" s="5" t="s">
        <v>8</v>
      </c>
      <c r="D25" s="5" t="s">
        <v>14</v>
      </c>
      <c r="E25" s="5" t="s">
        <v>24</v>
      </c>
      <c r="F25" s="5">
        <v>2741.92</v>
      </c>
    </row>
    <row r="26" spans="1:6" ht="15.75" thickBot="1" x14ac:dyDescent="0.3">
      <c r="A26" s="4" t="s">
        <v>29</v>
      </c>
      <c r="B26" s="5" t="s">
        <v>30</v>
      </c>
      <c r="C26" s="5" t="s">
        <v>8</v>
      </c>
      <c r="D26" s="5" t="s">
        <v>14</v>
      </c>
      <c r="E26" s="5" t="s">
        <v>24</v>
      </c>
      <c r="F26" s="5">
        <v>1824.14</v>
      </c>
    </row>
    <row r="27" spans="1:6" ht="15.75" thickBot="1" x14ac:dyDescent="0.3">
      <c r="A27" s="4" t="s">
        <v>44</v>
      </c>
      <c r="B27" s="5" t="s">
        <v>19</v>
      </c>
      <c r="C27" s="5" t="s">
        <v>23</v>
      </c>
      <c r="D27" s="5" t="s">
        <v>9</v>
      </c>
      <c r="E27" s="5" t="s">
        <v>10</v>
      </c>
      <c r="F27" s="5">
        <v>738.43863229999999</v>
      </c>
    </row>
    <row r="28" spans="1:6" ht="15.75" thickBot="1" x14ac:dyDescent="0.3">
      <c r="A28" s="4" t="s">
        <v>45</v>
      </c>
      <c r="B28" s="5" t="s">
        <v>7</v>
      </c>
      <c r="C28" s="5" t="s">
        <v>13</v>
      </c>
      <c r="D28" s="5" t="s">
        <v>9</v>
      </c>
      <c r="E28" s="5" t="s">
        <v>15</v>
      </c>
      <c r="F28" s="5">
        <v>2856.7613379999998</v>
      </c>
    </row>
    <row r="29" spans="1:6" ht="15.75" thickBot="1" x14ac:dyDescent="0.3">
      <c r="A29" s="4" t="s">
        <v>46</v>
      </c>
      <c r="B29" s="5" t="s">
        <v>30</v>
      </c>
      <c r="C29" s="5" t="s">
        <v>13</v>
      </c>
      <c r="D29" s="5" t="s">
        <v>14</v>
      </c>
      <c r="E29" s="5" t="s">
        <v>24</v>
      </c>
      <c r="F29" s="5">
        <v>1787.35</v>
      </c>
    </row>
    <row r="30" spans="1:6" ht="15.75" thickBot="1" x14ac:dyDescent="0.3">
      <c r="A30" s="4" t="s">
        <v>47</v>
      </c>
      <c r="B30" s="5" t="s">
        <v>30</v>
      </c>
      <c r="C30" s="5" t="s">
        <v>23</v>
      </c>
      <c r="D30" s="5" t="s">
        <v>9</v>
      </c>
      <c r="E30" s="5" t="s">
        <v>15</v>
      </c>
      <c r="F30" s="5">
        <v>5138.8326189999998</v>
      </c>
    </row>
    <row r="31" spans="1:6" ht="15.75" thickBot="1" x14ac:dyDescent="0.3">
      <c r="A31" s="4" t="s">
        <v>48</v>
      </c>
      <c r="B31" s="5" t="s">
        <v>19</v>
      </c>
      <c r="C31" s="5" t="s">
        <v>8</v>
      </c>
      <c r="D31" s="5" t="s">
        <v>9</v>
      </c>
      <c r="E31" s="5" t="s">
        <v>10</v>
      </c>
      <c r="F31" s="5">
        <v>5005.4416869999995</v>
      </c>
    </row>
    <row r="32" spans="1:6" ht="15.75" thickBot="1" x14ac:dyDescent="0.3">
      <c r="A32" s="4" t="s">
        <v>49</v>
      </c>
      <c r="B32" s="5" t="s">
        <v>19</v>
      </c>
      <c r="C32" s="5" t="s">
        <v>23</v>
      </c>
      <c r="D32" s="5" t="s">
        <v>28</v>
      </c>
      <c r="E32" s="5" t="s">
        <v>24</v>
      </c>
      <c r="F32" s="5">
        <v>4053.3</v>
      </c>
    </row>
    <row r="33" spans="1:6" ht="15.75" thickBot="1" x14ac:dyDescent="0.3">
      <c r="A33" s="4" t="s">
        <v>50</v>
      </c>
      <c r="B33" s="5" t="s">
        <v>19</v>
      </c>
      <c r="C33" s="5" t="s">
        <v>23</v>
      </c>
      <c r="D33" s="5" t="s">
        <v>28</v>
      </c>
      <c r="E33" s="5" t="s">
        <v>24</v>
      </c>
      <c r="F33" s="5">
        <v>280.72000000000003</v>
      </c>
    </row>
    <row r="34" spans="1:6" ht="15.75" thickBot="1" x14ac:dyDescent="0.3">
      <c r="A34" s="4" t="s">
        <v>51</v>
      </c>
      <c r="B34" s="5" t="s">
        <v>30</v>
      </c>
      <c r="C34" s="5" t="s">
        <v>23</v>
      </c>
      <c r="D34" s="5" t="s">
        <v>14</v>
      </c>
      <c r="E34" s="5" t="s">
        <v>24</v>
      </c>
      <c r="F34" s="5">
        <v>329.41</v>
      </c>
    </row>
    <row r="35" spans="1:6" ht="15.75" thickBot="1" x14ac:dyDescent="0.3">
      <c r="A35" s="4" t="s">
        <v>52</v>
      </c>
      <c r="B35" s="5" t="s">
        <v>19</v>
      </c>
      <c r="C35" s="5" t="s">
        <v>13</v>
      </c>
      <c r="D35" s="5" t="s">
        <v>14</v>
      </c>
      <c r="E35" s="5" t="s">
        <v>15</v>
      </c>
      <c r="F35" s="5">
        <v>4133.74</v>
      </c>
    </row>
    <row r="36" spans="1:6" ht="15.75" thickBot="1" x14ac:dyDescent="0.3">
      <c r="A36" s="4" t="s">
        <v>53</v>
      </c>
      <c r="B36" s="5" t="s">
        <v>7</v>
      </c>
      <c r="C36" s="5" t="s">
        <v>34</v>
      </c>
      <c r="D36" s="5" t="s">
        <v>28</v>
      </c>
      <c r="E36" s="5" t="s">
        <v>15</v>
      </c>
      <c r="F36" s="5">
        <v>2773.3</v>
      </c>
    </row>
    <row r="37" spans="1:6" ht="15.75" thickBot="1" x14ac:dyDescent="0.3">
      <c r="A37" s="4" t="s">
        <v>54</v>
      </c>
      <c r="B37" s="5" t="s">
        <v>12</v>
      </c>
      <c r="C37" s="5" t="s">
        <v>13</v>
      </c>
      <c r="D37" s="5" t="s">
        <v>9</v>
      </c>
      <c r="E37" s="5" t="s">
        <v>10</v>
      </c>
      <c r="F37" s="5">
        <v>3482.0777469999998</v>
      </c>
    </row>
    <row r="38" spans="1:6" ht="15.75" thickBot="1" x14ac:dyDescent="0.3">
      <c r="A38" s="4" t="s">
        <v>55</v>
      </c>
      <c r="B38" s="5" t="s">
        <v>12</v>
      </c>
      <c r="C38" s="5" t="s">
        <v>34</v>
      </c>
      <c r="D38" s="5" t="s">
        <v>9</v>
      </c>
      <c r="E38" s="5" t="s">
        <v>10</v>
      </c>
      <c r="F38" s="5">
        <v>1953.7073989999999</v>
      </c>
    </row>
    <row r="39" spans="1:6" ht="15.75" thickBot="1" x14ac:dyDescent="0.3">
      <c r="A39" s="4" t="s">
        <v>29</v>
      </c>
      <c r="B39" s="5" t="s">
        <v>30</v>
      </c>
      <c r="C39" s="5" t="s">
        <v>34</v>
      </c>
      <c r="D39" s="5" t="s">
        <v>14</v>
      </c>
      <c r="E39" s="5" t="s">
        <v>15</v>
      </c>
      <c r="F39" s="5">
        <v>4444.76</v>
      </c>
    </row>
    <row r="40" spans="1:6" ht="15.75" thickBot="1" x14ac:dyDescent="0.3">
      <c r="A40" s="4" t="s">
        <v>55</v>
      </c>
      <c r="B40" s="5" t="s">
        <v>12</v>
      </c>
      <c r="C40" s="5" t="s">
        <v>23</v>
      </c>
      <c r="D40" s="5" t="s">
        <v>28</v>
      </c>
      <c r="E40" s="5" t="s">
        <v>15</v>
      </c>
      <c r="F40" s="5">
        <v>1836.99</v>
      </c>
    </row>
    <row r="41" spans="1:6" ht="15.75" thickBot="1" x14ac:dyDescent="0.3">
      <c r="A41" s="4" t="s">
        <v>56</v>
      </c>
      <c r="B41" s="5" t="s">
        <v>19</v>
      </c>
      <c r="C41" s="5" t="s">
        <v>8</v>
      </c>
      <c r="D41" s="5" t="s">
        <v>14</v>
      </c>
      <c r="E41" s="5" t="s">
        <v>15</v>
      </c>
      <c r="F41" s="5">
        <v>793.9</v>
      </c>
    </row>
    <row r="42" spans="1:6" ht="15.75" thickBot="1" x14ac:dyDescent="0.3">
      <c r="A42" s="4" t="s">
        <v>57</v>
      </c>
      <c r="B42" s="5" t="s">
        <v>19</v>
      </c>
      <c r="C42" s="5" t="s">
        <v>34</v>
      </c>
      <c r="D42" s="5" t="s">
        <v>28</v>
      </c>
      <c r="E42" s="5" t="s">
        <v>24</v>
      </c>
      <c r="F42" s="5">
        <v>1445.28</v>
      </c>
    </row>
    <row r="43" spans="1:6" ht="30.75" thickBot="1" x14ac:dyDescent="0.3">
      <c r="A43" s="4" t="s">
        <v>58</v>
      </c>
      <c r="B43" s="5" t="s">
        <v>17</v>
      </c>
      <c r="C43" s="5" t="s">
        <v>34</v>
      </c>
      <c r="D43" s="5" t="s">
        <v>9</v>
      </c>
      <c r="E43" s="5" t="s">
        <v>24</v>
      </c>
      <c r="F43" s="5">
        <v>1246.728069</v>
      </c>
    </row>
    <row r="44" spans="1:6" ht="30.75" thickBot="1" x14ac:dyDescent="0.3">
      <c r="A44" s="4" t="s">
        <v>59</v>
      </c>
      <c r="B44" s="5" t="s">
        <v>17</v>
      </c>
      <c r="C44" s="5" t="s">
        <v>34</v>
      </c>
      <c r="D44" s="5" t="s">
        <v>14</v>
      </c>
      <c r="E44" s="5" t="s">
        <v>10</v>
      </c>
      <c r="F44" s="5">
        <v>527.16999999999996</v>
      </c>
    </row>
    <row r="45" spans="1:6" ht="15.75" thickBot="1" x14ac:dyDescent="0.3">
      <c r="A45" s="4" t="s">
        <v>60</v>
      </c>
      <c r="B45" s="5" t="s">
        <v>12</v>
      </c>
      <c r="C45" s="5" t="s">
        <v>34</v>
      </c>
      <c r="D45" s="5" t="s">
        <v>14</v>
      </c>
      <c r="E45" s="5" t="s">
        <v>15</v>
      </c>
      <c r="F45" s="5">
        <v>542.33000000000004</v>
      </c>
    </row>
    <row r="46" spans="1:6" ht="15.75" thickBot="1" x14ac:dyDescent="0.3">
      <c r="A46" s="4" t="s">
        <v>61</v>
      </c>
      <c r="B46" s="5" t="s">
        <v>30</v>
      </c>
      <c r="C46" s="5" t="s">
        <v>34</v>
      </c>
      <c r="D46" s="5" t="s">
        <v>28</v>
      </c>
      <c r="E46" s="5" t="s">
        <v>24</v>
      </c>
      <c r="F46" s="5">
        <v>636.07000000000005</v>
      </c>
    </row>
    <row r="47" spans="1:6" ht="15.75" thickBot="1" x14ac:dyDescent="0.3">
      <c r="A47" s="4" t="s">
        <v>62</v>
      </c>
      <c r="B47" s="5" t="s">
        <v>30</v>
      </c>
      <c r="C47" s="5" t="s">
        <v>34</v>
      </c>
      <c r="D47" s="5" t="s">
        <v>9</v>
      </c>
      <c r="E47" s="5" t="s">
        <v>15</v>
      </c>
      <c r="F47" s="5">
        <v>3898.1983740000001</v>
      </c>
    </row>
    <row r="48" spans="1:6" ht="15.75" thickBot="1" x14ac:dyDescent="0.3">
      <c r="A48" s="4" t="s">
        <v>63</v>
      </c>
      <c r="B48" s="5" t="s">
        <v>12</v>
      </c>
      <c r="C48" s="5" t="s">
        <v>34</v>
      </c>
      <c r="D48" s="5" t="s">
        <v>9</v>
      </c>
      <c r="E48" s="5" t="s">
        <v>24</v>
      </c>
      <c r="F48" s="5">
        <v>525.24931200000003</v>
      </c>
    </row>
    <row r="49" spans="1:6" ht="15.75" thickBot="1" x14ac:dyDescent="0.3">
      <c r="A49" s="4" t="s">
        <v>64</v>
      </c>
      <c r="B49" s="5" t="s">
        <v>30</v>
      </c>
      <c r="C49" s="5" t="s">
        <v>8</v>
      </c>
      <c r="D49" s="5" t="s">
        <v>14</v>
      </c>
      <c r="E49" s="5" t="s">
        <v>15</v>
      </c>
      <c r="F49" s="5">
        <v>1135.03</v>
      </c>
    </row>
    <row r="50" spans="1:6" ht="30.75" thickBot="1" x14ac:dyDescent="0.3">
      <c r="A50" s="4" t="s">
        <v>37</v>
      </c>
      <c r="B50" s="5" t="s">
        <v>17</v>
      </c>
      <c r="C50" s="5" t="s">
        <v>23</v>
      </c>
      <c r="D50" s="5" t="s">
        <v>9</v>
      </c>
      <c r="E50" s="5" t="s">
        <v>24</v>
      </c>
      <c r="F50" s="5">
        <v>1670.506361</v>
      </c>
    </row>
    <row r="51" spans="1:6" ht="15.75" thickBot="1" x14ac:dyDescent="0.3">
      <c r="A51" s="4" t="s">
        <v>65</v>
      </c>
      <c r="B51" s="5" t="s">
        <v>30</v>
      </c>
      <c r="C51" s="5" t="s">
        <v>13</v>
      </c>
      <c r="D51" s="5" t="s">
        <v>9</v>
      </c>
      <c r="E51" s="5" t="s">
        <v>10</v>
      </c>
      <c r="F51" s="5">
        <v>939.61298339999996</v>
      </c>
    </row>
    <row r="52" spans="1:6" ht="15.75" thickBot="1" x14ac:dyDescent="0.3">
      <c r="A52" s="4" t="s">
        <v>49</v>
      </c>
      <c r="B52" s="5" t="s">
        <v>19</v>
      </c>
      <c r="C52" s="5" t="s">
        <v>34</v>
      </c>
      <c r="D52" s="5" t="s">
        <v>28</v>
      </c>
      <c r="E52" s="5" t="s">
        <v>10</v>
      </c>
      <c r="F52" s="5">
        <v>1436.13</v>
      </c>
    </row>
    <row r="53" spans="1:6" ht="15.75" thickBot="1" x14ac:dyDescent="0.3">
      <c r="A53" s="4" t="s">
        <v>66</v>
      </c>
      <c r="B53" s="5" t="s">
        <v>30</v>
      </c>
      <c r="C53" s="5" t="s">
        <v>34</v>
      </c>
      <c r="D53" s="5" t="s">
        <v>9</v>
      </c>
      <c r="E53" s="5" t="s">
        <v>24</v>
      </c>
      <c r="F53" s="5">
        <v>3950.000207</v>
      </c>
    </row>
    <row r="54" spans="1:6" ht="15.75" thickBot="1" x14ac:dyDescent="0.3">
      <c r="A54" s="4" t="s">
        <v>67</v>
      </c>
      <c r="B54" s="5" t="s">
        <v>7</v>
      </c>
      <c r="C54" s="5" t="s">
        <v>8</v>
      </c>
      <c r="D54" s="5" t="s">
        <v>9</v>
      </c>
      <c r="E54" s="5" t="s">
        <v>10</v>
      </c>
      <c r="F54" s="5">
        <v>4777.7700000000004</v>
      </c>
    </row>
    <row r="55" spans="1:6" ht="15.75" thickBot="1" x14ac:dyDescent="0.3">
      <c r="A55" s="4" t="s">
        <v>68</v>
      </c>
      <c r="B55" s="5" t="s">
        <v>12</v>
      </c>
      <c r="C55" s="5" t="s">
        <v>13</v>
      </c>
      <c r="D55" s="5" t="s">
        <v>9</v>
      </c>
      <c r="E55" s="5" t="s">
        <v>10</v>
      </c>
      <c r="F55" s="5">
        <v>739.48049089999995</v>
      </c>
    </row>
    <row r="56" spans="1:6" ht="15.75" thickBot="1" x14ac:dyDescent="0.3">
      <c r="A56" s="4" t="s">
        <v>69</v>
      </c>
      <c r="B56" s="5" t="s">
        <v>7</v>
      </c>
      <c r="C56" s="5" t="s">
        <v>23</v>
      </c>
      <c r="D56" s="5" t="s">
        <v>14</v>
      </c>
      <c r="E56" s="5" t="s">
        <v>10</v>
      </c>
      <c r="F56" s="5">
        <v>2957.08</v>
      </c>
    </row>
    <row r="57" spans="1:6" ht="15.75" thickBot="1" x14ac:dyDescent="0.3">
      <c r="A57" s="4" t="s">
        <v>70</v>
      </c>
      <c r="B57" s="5" t="s">
        <v>19</v>
      </c>
      <c r="C57" s="5" t="s">
        <v>13</v>
      </c>
      <c r="D57" s="5" t="s">
        <v>28</v>
      </c>
      <c r="E57" s="5" t="s">
        <v>24</v>
      </c>
      <c r="F57" s="5">
        <v>4782.28</v>
      </c>
    </row>
    <row r="58" spans="1:6" ht="15.75" thickBot="1" x14ac:dyDescent="0.3">
      <c r="A58" s="4" t="s">
        <v>53</v>
      </c>
      <c r="B58" s="5" t="s">
        <v>7</v>
      </c>
      <c r="C58" s="5" t="s">
        <v>34</v>
      </c>
      <c r="D58" s="5" t="s">
        <v>14</v>
      </c>
      <c r="E58" s="5" t="s">
        <v>15</v>
      </c>
      <c r="F58" s="5">
        <v>3836.23</v>
      </c>
    </row>
    <row r="59" spans="1:6" ht="15.75" thickBot="1" x14ac:dyDescent="0.3">
      <c r="A59" s="4" t="s">
        <v>71</v>
      </c>
      <c r="B59" s="5" t="s">
        <v>7</v>
      </c>
      <c r="C59" s="5" t="s">
        <v>13</v>
      </c>
      <c r="D59" s="5" t="s">
        <v>28</v>
      </c>
      <c r="E59" s="5" t="s">
        <v>10</v>
      </c>
      <c r="F59" s="5">
        <v>4410.6400000000003</v>
      </c>
    </row>
    <row r="60" spans="1:6" ht="15.75" thickBot="1" x14ac:dyDescent="0.3">
      <c r="A60" s="4" t="s">
        <v>70</v>
      </c>
      <c r="B60" s="5" t="s">
        <v>19</v>
      </c>
      <c r="C60" s="5" t="s">
        <v>34</v>
      </c>
      <c r="D60" s="5" t="s">
        <v>28</v>
      </c>
      <c r="E60" s="5" t="s">
        <v>24</v>
      </c>
      <c r="F60" s="5">
        <v>1861.93</v>
      </c>
    </row>
    <row r="61" spans="1:6" ht="15.75" thickBot="1" x14ac:dyDescent="0.3">
      <c r="A61" s="4" t="s">
        <v>72</v>
      </c>
      <c r="B61" s="5" t="s">
        <v>19</v>
      </c>
      <c r="C61" s="5" t="s">
        <v>8</v>
      </c>
      <c r="D61" s="5" t="s">
        <v>14</v>
      </c>
      <c r="E61" s="5" t="s">
        <v>10</v>
      </c>
      <c r="F61" s="5">
        <v>3332.83</v>
      </c>
    </row>
    <row r="62" spans="1:6" ht="15.75" thickBot="1" x14ac:dyDescent="0.3">
      <c r="A62" s="4" t="s">
        <v>73</v>
      </c>
      <c r="B62" s="5" t="s">
        <v>30</v>
      </c>
      <c r="C62" s="5" t="s">
        <v>34</v>
      </c>
      <c r="D62" s="5" t="s">
        <v>28</v>
      </c>
      <c r="E62" s="5" t="s">
        <v>24</v>
      </c>
      <c r="F62" s="5">
        <v>2649.83</v>
      </c>
    </row>
    <row r="63" spans="1:6" ht="15.75" thickBot="1" x14ac:dyDescent="0.3">
      <c r="A63" s="4" t="s">
        <v>74</v>
      </c>
      <c r="B63" s="5" t="s">
        <v>19</v>
      </c>
      <c r="C63" s="5" t="s">
        <v>8</v>
      </c>
      <c r="D63" s="5" t="s">
        <v>14</v>
      </c>
      <c r="E63" s="5" t="s">
        <v>24</v>
      </c>
      <c r="F63" s="5">
        <v>3224.33</v>
      </c>
    </row>
    <row r="64" spans="1:6" ht="15.75" thickBot="1" x14ac:dyDescent="0.3">
      <c r="A64" s="4" t="s">
        <v>22</v>
      </c>
      <c r="B64" s="5" t="s">
        <v>12</v>
      </c>
      <c r="C64" s="5" t="s">
        <v>23</v>
      </c>
      <c r="D64" s="5" t="s">
        <v>9</v>
      </c>
      <c r="E64" s="5" t="s">
        <v>10</v>
      </c>
      <c r="F64" s="5">
        <v>881.21756679999999</v>
      </c>
    </row>
    <row r="65" spans="1:6" ht="15.75" thickBot="1" x14ac:dyDescent="0.3">
      <c r="A65" s="4" t="s">
        <v>75</v>
      </c>
      <c r="B65" s="5" t="s">
        <v>19</v>
      </c>
      <c r="C65" s="5" t="s">
        <v>13</v>
      </c>
      <c r="D65" s="5" t="s">
        <v>9</v>
      </c>
      <c r="E65" s="5" t="s">
        <v>15</v>
      </c>
      <c r="F65" s="5">
        <v>5563.319544</v>
      </c>
    </row>
    <row r="66" spans="1:6" ht="30.75" thickBot="1" x14ac:dyDescent="0.3">
      <c r="A66" s="4" t="s">
        <v>76</v>
      </c>
      <c r="B66" s="5" t="s">
        <v>17</v>
      </c>
      <c r="C66" s="5" t="s">
        <v>34</v>
      </c>
      <c r="D66" s="5" t="s">
        <v>28</v>
      </c>
      <c r="E66" s="5" t="s">
        <v>24</v>
      </c>
      <c r="F66" s="5">
        <v>2558.1799999999998</v>
      </c>
    </row>
    <row r="67" spans="1:6" ht="15.75" thickBot="1" x14ac:dyDescent="0.3">
      <c r="A67" s="4" t="s">
        <v>77</v>
      </c>
      <c r="B67" s="5" t="s">
        <v>30</v>
      </c>
      <c r="C67" s="5" t="s">
        <v>23</v>
      </c>
      <c r="D67" s="5" t="s">
        <v>9</v>
      </c>
      <c r="E67" s="5" t="s">
        <v>10</v>
      </c>
      <c r="F67" s="5">
        <v>2013.870322</v>
      </c>
    </row>
    <row r="68" spans="1:6" ht="15.75" thickBot="1" x14ac:dyDescent="0.3">
      <c r="A68" s="4" t="s">
        <v>78</v>
      </c>
      <c r="B68" s="5" t="s">
        <v>7</v>
      </c>
      <c r="C68" s="5" t="s">
        <v>23</v>
      </c>
      <c r="D68" s="5" t="s">
        <v>28</v>
      </c>
      <c r="E68" s="5" t="s">
        <v>15</v>
      </c>
      <c r="F68" s="5">
        <v>1752.18</v>
      </c>
    </row>
    <row r="69" spans="1:6" ht="30.75" thickBot="1" x14ac:dyDescent="0.3">
      <c r="A69" s="4" t="s">
        <v>79</v>
      </c>
      <c r="B69" s="5" t="s">
        <v>17</v>
      </c>
      <c r="C69" s="5" t="s">
        <v>13</v>
      </c>
      <c r="D69" s="5" t="s">
        <v>28</v>
      </c>
      <c r="E69" s="5" t="s">
        <v>24</v>
      </c>
      <c r="F69" s="5">
        <v>4152.92</v>
      </c>
    </row>
    <row r="70" spans="1:6" ht="30.75" thickBot="1" x14ac:dyDescent="0.3">
      <c r="A70" s="4" t="s">
        <v>80</v>
      </c>
      <c r="B70" s="5" t="s">
        <v>17</v>
      </c>
      <c r="C70" s="5" t="s">
        <v>13</v>
      </c>
      <c r="D70" s="5" t="s">
        <v>28</v>
      </c>
      <c r="E70" s="5" t="s">
        <v>15</v>
      </c>
      <c r="F70" s="5">
        <v>61.94</v>
      </c>
    </row>
    <row r="71" spans="1:6" ht="15.75" thickBot="1" x14ac:dyDescent="0.3">
      <c r="A71" s="4" t="s">
        <v>66</v>
      </c>
      <c r="B71" s="5" t="s">
        <v>30</v>
      </c>
      <c r="C71" s="5" t="s">
        <v>34</v>
      </c>
      <c r="D71" s="5" t="s">
        <v>9</v>
      </c>
      <c r="E71" s="5" t="s">
        <v>15</v>
      </c>
      <c r="F71" s="5">
        <v>4862.4353590000001</v>
      </c>
    </row>
    <row r="72" spans="1:6" ht="15.75" thickBot="1" x14ac:dyDescent="0.3">
      <c r="A72" s="4" t="s">
        <v>81</v>
      </c>
      <c r="B72" s="5" t="s">
        <v>12</v>
      </c>
      <c r="C72" s="5" t="s">
        <v>23</v>
      </c>
      <c r="D72" s="5" t="s">
        <v>9</v>
      </c>
      <c r="E72" s="5" t="s">
        <v>10</v>
      </c>
      <c r="F72" s="5">
        <v>1930.129142</v>
      </c>
    </row>
    <row r="73" spans="1:6" ht="30.75" thickBot="1" x14ac:dyDescent="0.3">
      <c r="A73" s="4" t="s">
        <v>82</v>
      </c>
      <c r="B73" s="5" t="s">
        <v>17</v>
      </c>
      <c r="C73" s="5" t="s">
        <v>34</v>
      </c>
      <c r="D73" s="5" t="s">
        <v>28</v>
      </c>
      <c r="E73" s="5" t="s">
        <v>24</v>
      </c>
      <c r="F73" s="5">
        <v>2818.75</v>
      </c>
    </row>
    <row r="74" spans="1:6" ht="30.75" thickBot="1" x14ac:dyDescent="0.3">
      <c r="A74" s="4" t="s">
        <v>83</v>
      </c>
      <c r="B74" s="5" t="s">
        <v>17</v>
      </c>
      <c r="C74" s="5" t="s">
        <v>8</v>
      </c>
      <c r="D74" s="5" t="s">
        <v>9</v>
      </c>
      <c r="E74" s="5" t="s">
        <v>24</v>
      </c>
      <c r="F74" s="5">
        <v>2368.6695920000002</v>
      </c>
    </row>
    <row r="75" spans="1:6" ht="15.75" thickBot="1" x14ac:dyDescent="0.3">
      <c r="A75" s="4" t="s">
        <v>54</v>
      </c>
      <c r="B75" s="5" t="s">
        <v>12</v>
      </c>
      <c r="C75" s="5" t="s">
        <v>34</v>
      </c>
      <c r="D75" s="5" t="s">
        <v>14</v>
      </c>
      <c r="E75" s="5" t="s">
        <v>15</v>
      </c>
      <c r="F75" s="5">
        <v>1533.98</v>
      </c>
    </row>
    <row r="76" spans="1:6" ht="15.75" thickBot="1" x14ac:dyDescent="0.3">
      <c r="A76" s="4" t="s">
        <v>68</v>
      </c>
      <c r="B76" s="5" t="s">
        <v>12</v>
      </c>
      <c r="C76" s="5" t="s">
        <v>34</v>
      </c>
      <c r="D76" s="5" t="s">
        <v>14</v>
      </c>
      <c r="E76" s="5" t="s">
        <v>24</v>
      </c>
      <c r="F76" s="5">
        <v>249.89</v>
      </c>
    </row>
    <row r="77" spans="1:6" ht="15.75" thickBot="1" x14ac:dyDescent="0.3">
      <c r="A77" s="4" t="s">
        <v>84</v>
      </c>
      <c r="B77" s="5" t="s">
        <v>30</v>
      </c>
      <c r="C77" s="5" t="s">
        <v>13</v>
      </c>
      <c r="D77" s="5" t="s">
        <v>9</v>
      </c>
      <c r="E77" s="5" t="s">
        <v>15</v>
      </c>
      <c r="F77" s="5">
        <v>4797.8755950000004</v>
      </c>
    </row>
    <row r="78" spans="1:6" ht="15.75" thickBot="1" x14ac:dyDescent="0.3">
      <c r="A78" s="4" t="s">
        <v>85</v>
      </c>
      <c r="B78" s="5" t="s">
        <v>30</v>
      </c>
      <c r="C78" s="5" t="s">
        <v>23</v>
      </c>
      <c r="D78" s="5" t="s">
        <v>14</v>
      </c>
      <c r="E78" s="5" t="s">
        <v>24</v>
      </c>
      <c r="F78" s="5">
        <v>534.05999999999995</v>
      </c>
    </row>
    <row r="79" spans="1:6" ht="15.75" thickBot="1" x14ac:dyDescent="0.3">
      <c r="A79" s="4" t="s">
        <v>86</v>
      </c>
      <c r="B79" s="5" t="s">
        <v>19</v>
      </c>
      <c r="C79" s="5" t="s">
        <v>13</v>
      </c>
      <c r="D79" s="5" t="s">
        <v>14</v>
      </c>
      <c r="E79" s="5" t="s">
        <v>10</v>
      </c>
      <c r="F79" s="5">
        <v>4285.8999999999996</v>
      </c>
    </row>
    <row r="80" spans="1:6" ht="15.75" thickBot="1" x14ac:dyDescent="0.3">
      <c r="A80" s="4" t="s">
        <v>87</v>
      </c>
      <c r="B80" s="5" t="s">
        <v>12</v>
      </c>
      <c r="C80" s="5" t="s">
        <v>34</v>
      </c>
      <c r="D80" s="5" t="s">
        <v>28</v>
      </c>
      <c r="E80" s="5" t="s">
        <v>10</v>
      </c>
      <c r="F80" s="5">
        <v>1042.25</v>
      </c>
    </row>
    <row r="81" spans="1:6" ht="15.75" thickBot="1" x14ac:dyDescent="0.3">
      <c r="A81" s="4" t="s">
        <v>88</v>
      </c>
      <c r="B81" s="5" t="s">
        <v>7</v>
      </c>
      <c r="C81" s="5" t="s">
        <v>34</v>
      </c>
      <c r="D81" s="5" t="s">
        <v>9</v>
      </c>
      <c r="E81" s="5" t="s">
        <v>24</v>
      </c>
      <c r="F81" s="5">
        <v>1836.6851220000001</v>
      </c>
    </row>
    <row r="82" spans="1:6" ht="30.75" thickBot="1" x14ac:dyDescent="0.3">
      <c r="A82" s="4" t="s">
        <v>89</v>
      </c>
      <c r="B82" s="5" t="s">
        <v>17</v>
      </c>
      <c r="C82" s="5" t="s">
        <v>13</v>
      </c>
      <c r="D82" s="5" t="s">
        <v>28</v>
      </c>
      <c r="E82" s="5" t="s">
        <v>15</v>
      </c>
      <c r="F82" s="5">
        <v>3337.6</v>
      </c>
    </row>
    <row r="83" spans="1:6" ht="15.75" thickBot="1" x14ac:dyDescent="0.3">
      <c r="A83" s="4" t="s">
        <v>32</v>
      </c>
      <c r="B83" s="5" t="s">
        <v>7</v>
      </c>
      <c r="C83" s="5" t="s">
        <v>34</v>
      </c>
      <c r="D83" s="5" t="s">
        <v>14</v>
      </c>
      <c r="E83" s="5" t="s">
        <v>15</v>
      </c>
      <c r="F83" s="5">
        <v>2632.11</v>
      </c>
    </row>
    <row r="84" spans="1:6" ht="15.75" thickBot="1" x14ac:dyDescent="0.3">
      <c r="A84" s="4" t="s">
        <v>90</v>
      </c>
      <c r="B84" s="5" t="s">
        <v>19</v>
      </c>
      <c r="C84" s="5" t="s">
        <v>23</v>
      </c>
      <c r="D84" s="5" t="s">
        <v>28</v>
      </c>
      <c r="E84" s="5" t="s">
        <v>24</v>
      </c>
      <c r="F84" s="5">
        <v>2011.5</v>
      </c>
    </row>
    <row r="85" spans="1:6" ht="15.75" thickBot="1" x14ac:dyDescent="0.3">
      <c r="A85" s="4" t="s">
        <v>91</v>
      </c>
      <c r="B85" s="5" t="s">
        <v>30</v>
      </c>
      <c r="C85" s="5" t="s">
        <v>23</v>
      </c>
      <c r="D85" s="5" t="s">
        <v>28</v>
      </c>
      <c r="E85" s="5" t="s">
        <v>15</v>
      </c>
      <c r="F85" s="5">
        <v>724.26</v>
      </c>
    </row>
    <row r="86" spans="1:6" ht="15.75" thickBot="1" x14ac:dyDescent="0.3">
      <c r="A86" s="4" t="s">
        <v>6</v>
      </c>
      <c r="B86" s="5" t="s">
        <v>7</v>
      </c>
      <c r="C86" s="5" t="s">
        <v>23</v>
      </c>
      <c r="D86" s="5" t="s">
        <v>14</v>
      </c>
      <c r="E86" s="5" t="s">
        <v>24</v>
      </c>
      <c r="F86" s="5">
        <v>2373.2600000000002</v>
      </c>
    </row>
    <row r="87" spans="1:6" ht="15.75" thickBot="1" x14ac:dyDescent="0.3">
      <c r="A87" s="4" t="s">
        <v>47</v>
      </c>
      <c r="B87" s="5" t="s">
        <v>30</v>
      </c>
      <c r="C87" s="5" t="s">
        <v>34</v>
      </c>
      <c r="D87" s="5" t="s">
        <v>28</v>
      </c>
      <c r="E87" s="5" t="s">
        <v>24</v>
      </c>
      <c r="F87" s="5">
        <v>1440.9</v>
      </c>
    </row>
    <row r="88" spans="1:6" ht="15.75" thickBot="1" x14ac:dyDescent="0.3">
      <c r="A88" s="4" t="s">
        <v>92</v>
      </c>
      <c r="B88" s="5" t="s">
        <v>30</v>
      </c>
      <c r="C88" s="5" t="s">
        <v>13</v>
      </c>
      <c r="D88" s="5" t="s">
        <v>28</v>
      </c>
      <c r="E88" s="5" t="s">
        <v>10</v>
      </c>
      <c r="F88" s="5">
        <v>569.39</v>
      </c>
    </row>
    <row r="89" spans="1:6" ht="30.75" thickBot="1" x14ac:dyDescent="0.3">
      <c r="A89" s="4" t="s">
        <v>43</v>
      </c>
      <c r="B89" s="5" t="s">
        <v>17</v>
      </c>
      <c r="C89" s="5" t="s">
        <v>23</v>
      </c>
      <c r="D89" s="5" t="s">
        <v>14</v>
      </c>
      <c r="E89" s="5" t="s">
        <v>24</v>
      </c>
      <c r="F89" s="5">
        <v>1161.74</v>
      </c>
    </row>
    <row r="90" spans="1:6" ht="30.75" thickBot="1" x14ac:dyDescent="0.3">
      <c r="A90" s="4" t="s">
        <v>37</v>
      </c>
      <c r="B90" s="5" t="s">
        <v>17</v>
      </c>
      <c r="C90" s="5" t="s">
        <v>8</v>
      </c>
      <c r="D90" s="5" t="s">
        <v>9</v>
      </c>
      <c r="E90" s="5" t="s">
        <v>24</v>
      </c>
      <c r="F90" s="5">
        <v>4200.5000110000001</v>
      </c>
    </row>
    <row r="91" spans="1:6" ht="15.75" thickBot="1" x14ac:dyDescent="0.3">
      <c r="A91" s="4" t="s">
        <v>55</v>
      </c>
      <c r="B91" s="5" t="s">
        <v>12</v>
      </c>
      <c r="C91" s="5" t="s">
        <v>8</v>
      </c>
      <c r="D91" s="5" t="s">
        <v>14</v>
      </c>
      <c r="E91" s="5" t="s">
        <v>15</v>
      </c>
      <c r="F91" s="5">
        <v>2311.5500000000002</v>
      </c>
    </row>
    <row r="92" spans="1:6" ht="15.75" thickBot="1" x14ac:dyDescent="0.3">
      <c r="A92" s="4" t="s">
        <v>93</v>
      </c>
      <c r="B92" s="5" t="s">
        <v>30</v>
      </c>
      <c r="C92" s="5" t="s">
        <v>8</v>
      </c>
      <c r="D92" s="5" t="s">
        <v>28</v>
      </c>
      <c r="E92" s="5" t="s">
        <v>15</v>
      </c>
      <c r="F92" s="5">
        <v>2116.64</v>
      </c>
    </row>
    <row r="93" spans="1:6" ht="15.75" thickBot="1" x14ac:dyDescent="0.3">
      <c r="A93" s="4" t="s">
        <v>94</v>
      </c>
      <c r="B93" s="5" t="s">
        <v>7</v>
      </c>
      <c r="C93" s="5" t="s">
        <v>13</v>
      </c>
      <c r="D93" s="5" t="s">
        <v>28</v>
      </c>
      <c r="E93" s="5" t="s">
        <v>15</v>
      </c>
      <c r="F93" s="5">
        <v>2833.88</v>
      </c>
    </row>
    <row r="94" spans="1:6" ht="15.75" thickBot="1" x14ac:dyDescent="0.3">
      <c r="A94" s="4" t="s">
        <v>95</v>
      </c>
      <c r="B94" s="5" t="s">
        <v>30</v>
      </c>
      <c r="C94" s="5" t="s">
        <v>8</v>
      </c>
      <c r="D94" s="5" t="s">
        <v>28</v>
      </c>
      <c r="E94" s="5" t="s">
        <v>10</v>
      </c>
      <c r="F94" s="5">
        <v>2605.96</v>
      </c>
    </row>
    <row r="95" spans="1:6" ht="15.75" thickBot="1" x14ac:dyDescent="0.3">
      <c r="A95" s="4" t="s">
        <v>69</v>
      </c>
      <c r="B95" s="5" t="s">
        <v>7</v>
      </c>
      <c r="C95" s="5" t="s">
        <v>34</v>
      </c>
      <c r="D95" s="5" t="s">
        <v>9</v>
      </c>
      <c r="E95" s="5" t="s">
        <v>24</v>
      </c>
      <c r="F95" s="5">
        <v>532.45395829999995</v>
      </c>
    </row>
    <row r="96" spans="1:6" ht="15.75" thickBot="1" x14ac:dyDescent="0.3">
      <c r="A96" s="4" t="s">
        <v>96</v>
      </c>
      <c r="B96" s="5" t="s">
        <v>19</v>
      </c>
      <c r="C96" s="5" t="s">
        <v>13</v>
      </c>
      <c r="D96" s="5" t="s">
        <v>9</v>
      </c>
      <c r="E96" s="5" t="s">
        <v>24</v>
      </c>
      <c r="F96" s="5">
        <v>1876.9554659999999</v>
      </c>
    </row>
    <row r="97" spans="1:6" ht="15.75" thickBot="1" x14ac:dyDescent="0.3">
      <c r="A97" s="4" t="s">
        <v>97</v>
      </c>
      <c r="B97" s="5" t="s">
        <v>7</v>
      </c>
      <c r="C97" s="5" t="s">
        <v>13</v>
      </c>
      <c r="D97" s="5" t="s">
        <v>14</v>
      </c>
      <c r="E97" s="5" t="s">
        <v>15</v>
      </c>
      <c r="F97" s="5">
        <v>522.41</v>
      </c>
    </row>
    <row r="98" spans="1:6" ht="15.75" thickBot="1" x14ac:dyDescent="0.3">
      <c r="A98" s="4" t="s">
        <v>98</v>
      </c>
      <c r="B98" s="5" t="s">
        <v>19</v>
      </c>
      <c r="C98" s="5" t="s">
        <v>23</v>
      </c>
      <c r="D98" s="5" t="s">
        <v>9</v>
      </c>
      <c r="E98" s="5" t="s">
        <v>10</v>
      </c>
      <c r="F98" s="5">
        <v>4953.9799999999996</v>
      </c>
    </row>
    <row r="99" spans="1:6" ht="15.75" thickBot="1" x14ac:dyDescent="0.3">
      <c r="A99" s="4" t="s">
        <v>99</v>
      </c>
      <c r="B99" s="5" t="s">
        <v>19</v>
      </c>
      <c r="C99" s="5" t="s">
        <v>13</v>
      </c>
      <c r="D99" s="5" t="s">
        <v>9</v>
      </c>
      <c r="E99" s="5" t="s">
        <v>15</v>
      </c>
      <c r="F99" s="5">
        <v>2322.96</v>
      </c>
    </row>
    <row r="100" spans="1:6" ht="30.75" thickBot="1" x14ac:dyDescent="0.3">
      <c r="A100" s="4" t="s">
        <v>80</v>
      </c>
      <c r="B100" s="5" t="s">
        <v>17</v>
      </c>
      <c r="C100" s="5" t="s">
        <v>34</v>
      </c>
      <c r="D100" s="5" t="s">
        <v>28</v>
      </c>
      <c r="E100" s="5" t="s">
        <v>24</v>
      </c>
      <c r="F100" s="5">
        <v>4662.91</v>
      </c>
    </row>
    <row r="101" spans="1:6" ht="15.75" thickBot="1" x14ac:dyDescent="0.3">
      <c r="A101" s="4" t="s">
        <v>100</v>
      </c>
      <c r="B101" s="5" t="s">
        <v>7</v>
      </c>
      <c r="C101" s="5" t="s">
        <v>23</v>
      </c>
      <c r="D101" s="5" t="s">
        <v>28</v>
      </c>
      <c r="E101" s="5" t="s">
        <v>24</v>
      </c>
      <c r="F101" s="5">
        <v>1907.29</v>
      </c>
    </row>
    <row r="102" spans="1:6" ht="15.75" thickBot="1" x14ac:dyDescent="0.3">
      <c r="A102" s="4" t="s">
        <v>101</v>
      </c>
      <c r="B102" s="5" t="s">
        <v>19</v>
      </c>
      <c r="C102" s="5" t="s">
        <v>13</v>
      </c>
      <c r="D102" s="5" t="s">
        <v>9</v>
      </c>
      <c r="E102" s="5" t="s">
        <v>15</v>
      </c>
      <c r="F102" s="5">
        <v>1668.587237</v>
      </c>
    </row>
    <row r="103" spans="1:6" ht="15.75" thickBot="1" x14ac:dyDescent="0.3">
      <c r="A103" s="4" t="s">
        <v>102</v>
      </c>
      <c r="B103" s="5" t="s">
        <v>19</v>
      </c>
      <c r="C103" s="5" t="s">
        <v>34</v>
      </c>
      <c r="D103" s="5" t="s">
        <v>14</v>
      </c>
      <c r="E103" s="5" t="s">
        <v>24</v>
      </c>
      <c r="F103" s="5">
        <v>3260.51</v>
      </c>
    </row>
    <row r="104" spans="1:6" ht="15.75" thickBot="1" x14ac:dyDescent="0.3">
      <c r="A104" s="4" t="s">
        <v>103</v>
      </c>
      <c r="B104" s="5" t="s">
        <v>19</v>
      </c>
      <c r="C104" s="5" t="s">
        <v>8</v>
      </c>
      <c r="D104" s="5" t="s">
        <v>14</v>
      </c>
      <c r="E104" s="5" t="s">
        <v>10</v>
      </c>
      <c r="F104" s="5">
        <v>2218.4699999999998</v>
      </c>
    </row>
    <row r="105" spans="1:6" ht="15.75" thickBot="1" x14ac:dyDescent="0.3">
      <c r="A105" s="4" t="s">
        <v>78</v>
      </c>
      <c r="B105" s="5" t="s">
        <v>7</v>
      </c>
      <c r="C105" s="5" t="s">
        <v>34</v>
      </c>
      <c r="D105" s="5" t="s">
        <v>14</v>
      </c>
      <c r="E105" s="5" t="s">
        <v>10</v>
      </c>
      <c r="F105" s="5">
        <v>479.85</v>
      </c>
    </row>
    <row r="106" spans="1:6" ht="30.75" thickBot="1" x14ac:dyDescent="0.3">
      <c r="A106" s="4" t="s">
        <v>104</v>
      </c>
      <c r="B106" s="5" t="s">
        <v>17</v>
      </c>
      <c r="C106" s="5" t="s">
        <v>8</v>
      </c>
      <c r="D106" s="5" t="s">
        <v>28</v>
      </c>
      <c r="E106" s="5" t="s">
        <v>15</v>
      </c>
      <c r="F106" s="5">
        <v>401.65</v>
      </c>
    </row>
    <row r="107" spans="1:6" ht="15.75" thickBot="1" x14ac:dyDescent="0.3">
      <c r="A107" s="4" t="s">
        <v>105</v>
      </c>
      <c r="B107" s="5" t="s">
        <v>30</v>
      </c>
      <c r="C107" s="5" t="s">
        <v>34</v>
      </c>
      <c r="D107" s="5" t="s">
        <v>28</v>
      </c>
      <c r="E107" s="5" t="s">
        <v>24</v>
      </c>
      <c r="F107" s="5">
        <v>4844.9399999999996</v>
      </c>
    </row>
    <row r="108" spans="1:6" ht="15.75" thickBot="1" x14ac:dyDescent="0.3">
      <c r="A108" s="4" t="s">
        <v>106</v>
      </c>
      <c r="B108" s="5" t="s">
        <v>12</v>
      </c>
      <c r="C108" s="5" t="s">
        <v>34</v>
      </c>
      <c r="D108" s="5" t="s">
        <v>14</v>
      </c>
      <c r="E108" s="5" t="s">
        <v>10</v>
      </c>
      <c r="F108" s="5">
        <v>1954.31</v>
      </c>
    </row>
    <row r="109" spans="1:6" ht="15.75" thickBot="1" x14ac:dyDescent="0.3">
      <c r="A109" s="4" t="s">
        <v>66</v>
      </c>
      <c r="B109" s="5" t="s">
        <v>30</v>
      </c>
      <c r="C109" s="5" t="s">
        <v>23</v>
      </c>
      <c r="D109" s="5" t="s">
        <v>28</v>
      </c>
      <c r="E109" s="5" t="s">
        <v>15</v>
      </c>
      <c r="F109" s="5">
        <v>2094.86</v>
      </c>
    </row>
    <row r="110" spans="1:6" ht="15.75" thickBot="1" x14ac:dyDescent="0.3">
      <c r="A110" s="4" t="s">
        <v>107</v>
      </c>
      <c r="B110" s="5" t="s">
        <v>30</v>
      </c>
      <c r="C110" s="5" t="s">
        <v>8</v>
      </c>
      <c r="D110" s="5" t="s">
        <v>28</v>
      </c>
      <c r="E110" s="5" t="s">
        <v>24</v>
      </c>
      <c r="F110" s="5">
        <v>3876.8</v>
      </c>
    </row>
    <row r="111" spans="1:6" ht="15.75" thickBot="1" x14ac:dyDescent="0.3">
      <c r="A111" s="4" t="s">
        <v>45</v>
      </c>
      <c r="B111" s="5" t="s">
        <v>7</v>
      </c>
      <c r="C111" s="5" t="s">
        <v>34</v>
      </c>
      <c r="D111" s="5" t="s">
        <v>28</v>
      </c>
      <c r="E111" s="5" t="s">
        <v>10</v>
      </c>
      <c r="F111" s="5">
        <v>3209.34</v>
      </c>
    </row>
    <row r="112" spans="1:6" ht="15.75" thickBot="1" x14ac:dyDescent="0.3">
      <c r="A112" s="4" t="s">
        <v>108</v>
      </c>
      <c r="B112" s="5" t="s">
        <v>7</v>
      </c>
      <c r="C112" s="5" t="s">
        <v>8</v>
      </c>
      <c r="D112" s="5" t="s">
        <v>28</v>
      </c>
      <c r="E112" s="5" t="s">
        <v>24</v>
      </c>
      <c r="F112" s="5">
        <v>1290.4100000000001</v>
      </c>
    </row>
    <row r="113" spans="1:6" ht="15.75" thickBot="1" x14ac:dyDescent="0.3">
      <c r="A113" s="4" t="s">
        <v>42</v>
      </c>
      <c r="B113" s="5" t="s">
        <v>30</v>
      </c>
      <c r="C113" s="5" t="s">
        <v>13</v>
      </c>
      <c r="D113" s="5" t="s">
        <v>14</v>
      </c>
      <c r="E113" s="5" t="s">
        <v>24</v>
      </c>
      <c r="F113" s="5">
        <v>3768.03</v>
      </c>
    </row>
    <row r="114" spans="1:6" ht="15.75" thickBot="1" x14ac:dyDescent="0.3">
      <c r="A114" s="4" t="s">
        <v>109</v>
      </c>
      <c r="B114" s="5" t="s">
        <v>12</v>
      </c>
      <c r="C114" s="5" t="s">
        <v>8</v>
      </c>
      <c r="D114" s="5" t="s">
        <v>28</v>
      </c>
      <c r="E114" s="5" t="s">
        <v>10</v>
      </c>
      <c r="F114" s="5">
        <v>2209.6</v>
      </c>
    </row>
    <row r="115" spans="1:6" ht="15.75" thickBot="1" x14ac:dyDescent="0.3">
      <c r="A115" s="4" t="s">
        <v>110</v>
      </c>
      <c r="B115" s="5" t="s">
        <v>12</v>
      </c>
      <c r="C115" s="5" t="s">
        <v>34</v>
      </c>
      <c r="D115" s="5" t="s">
        <v>9</v>
      </c>
      <c r="E115" s="5" t="s">
        <v>24</v>
      </c>
      <c r="F115" s="5">
        <v>3789.17</v>
      </c>
    </row>
    <row r="116" spans="1:6" ht="15.75" thickBot="1" x14ac:dyDescent="0.3">
      <c r="A116" s="4" t="s">
        <v>111</v>
      </c>
      <c r="B116" s="5" t="s">
        <v>19</v>
      </c>
      <c r="C116" s="5" t="s">
        <v>8</v>
      </c>
      <c r="D116" s="5" t="s">
        <v>28</v>
      </c>
      <c r="E116" s="5" t="s">
        <v>10</v>
      </c>
      <c r="F116" s="5">
        <v>2970.05</v>
      </c>
    </row>
    <row r="117" spans="1:6" ht="15.75" thickBot="1" x14ac:dyDescent="0.3">
      <c r="A117" s="4" t="s">
        <v>112</v>
      </c>
      <c r="B117" s="5" t="s">
        <v>30</v>
      </c>
      <c r="C117" s="5" t="s">
        <v>23</v>
      </c>
      <c r="D117" s="5" t="s">
        <v>28</v>
      </c>
      <c r="E117" s="5" t="s">
        <v>10</v>
      </c>
      <c r="F117" s="5">
        <v>1858.31</v>
      </c>
    </row>
    <row r="118" spans="1:6" ht="15.75" thickBot="1" x14ac:dyDescent="0.3">
      <c r="A118" s="4" t="s">
        <v>62</v>
      </c>
      <c r="B118" s="5" t="s">
        <v>30</v>
      </c>
      <c r="C118" s="5" t="s">
        <v>8</v>
      </c>
      <c r="D118" s="5" t="s">
        <v>9</v>
      </c>
      <c r="E118" s="5" t="s">
        <v>10</v>
      </c>
      <c r="F118" s="5">
        <v>3702.9533959999999</v>
      </c>
    </row>
    <row r="119" spans="1:6" ht="15.75" thickBot="1" x14ac:dyDescent="0.3">
      <c r="A119" s="4" t="s">
        <v>113</v>
      </c>
      <c r="B119" s="5" t="s">
        <v>30</v>
      </c>
      <c r="C119" s="5" t="s">
        <v>23</v>
      </c>
      <c r="D119" s="5" t="s">
        <v>28</v>
      </c>
      <c r="E119" s="5" t="s">
        <v>10</v>
      </c>
      <c r="F119" s="5">
        <v>3276</v>
      </c>
    </row>
    <row r="120" spans="1:6" ht="15.75" thickBot="1" x14ac:dyDescent="0.3">
      <c r="A120" s="4" t="s">
        <v>114</v>
      </c>
      <c r="B120" s="5" t="s">
        <v>30</v>
      </c>
      <c r="C120" s="5" t="s">
        <v>8</v>
      </c>
      <c r="D120" s="5" t="s">
        <v>14</v>
      </c>
      <c r="E120" s="5" t="s">
        <v>24</v>
      </c>
      <c r="F120" s="5">
        <v>526.37</v>
      </c>
    </row>
    <row r="121" spans="1:6" ht="15.75" thickBot="1" x14ac:dyDescent="0.3">
      <c r="A121" s="4" t="s">
        <v>115</v>
      </c>
      <c r="B121" s="5" t="s">
        <v>19</v>
      </c>
      <c r="C121" s="5" t="s">
        <v>13</v>
      </c>
      <c r="D121" s="5" t="s">
        <v>14</v>
      </c>
      <c r="E121" s="5" t="s">
        <v>10</v>
      </c>
      <c r="F121" s="5">
        <v>445.6</v>
      </c>
    </row>
    <row r="122" spans="1:6" ht="30.75" thickBot="1" x14ac:dyDescent="0.3">
      <c r="A122" s="4" t="s">
        <v>116</v>
      </c>
      <c r="B122" s="5" t="s">
        <v>17</v>
      </c>
      <c r="C122" s="5" t="s">
        <v>34</v>
      </c>
      <c r="D122" s="5" t="s">
        <v>9</v>
      </c>
      <c r="E122" s="5" t="s">
        <v>15</v>
      </c>
      <c r="F122" s="5">
        <v>4486.2700949999999</v>
      </c>
    </row>
    <row r="123" spans="1:6" ht="15.75" thickBot="1" x14ac:dyDescent="0.3">
      <c r="A123" s="4" t="s">
        <v>111</v>
      </c>
      <c r="B123" s="5" t="s">
        <v>19</v>
      </c>
      <c r="C123" s="5" t="s">
        <v>13</v>
      </c>
      <c r="D123" s="5" t="s">
        <v>9</v>
      </c>
      <c r="E123" s="5" t="s">
        <v>15</v>
      </c>
      <c r="F123" s="5">
        <v>1770.5416849999999</v>
      </c>
    </row>
    <row r="124" spans="1:6" ht="15.75" thickBot="1" x14ac:dyDescent="0.3">
      <c r="A124" s="4" t="s">
        <v>102</v>
      </c>
      <c r="B124" s="5" t="s">
        <v>19</v>
      </c>
      <c r="C124" s="5" t="s">
        <v>34</v>
      </c>
      <c r="D124" s="5" t="s">
        <v>9</v>
      </c>
      <c r="E124" s="5" t="s">
        <v>24</v>
      </c>
      <c r="F124" s="5">
        <v>2762.189746</v>
      </c>
    </row>
    <row r="125" spans="1:6" ht="15.75" thickBot="1" x14ac:dyDescent="0.3">
      <c r="A125" s="4" t="s">
        <v>50</v>
      </c>
      <c r="B125" s="5" t="s">
        <v>19</v>
      </c>
      <c r="C125" s="5" t="s">
        <v>34</v>
      </c>
      <c r="D125" s="5" t="s">
        <v>14</v>
      </c>
      <c r="E125" s="5" t="s">
        <v>15</v>
      </c>
      <c r="F125" s="5">
        <v>1531.3</v>
      </c>
    </row>
    <row r="126" spans="1:6" ht="15.75" thickBot="1" x14ac:dyDescent="0.3">
      <c r="A126" s="4" t="s">
        <v>86</v>
      </c>
      <c r="B126" s="5" t="s">
        <v>19</v>
      </c>
      <c r="C126" s="5" t="s">
        <v>34</v>
      </c>
      <c r="D126" s="5" t="s">
        <v>9</v>
      </c>
      <c r="E126" s="5" t="s">
        <v>15</v>
      </c>
      <c r="F126" s="5">
        <v>4453.3686580000003</v>
      </c>
    </row>
    <row r="127" spans="1:6" ht="15.75" thickBot="1" x14ac:dyDescent="0.3">
      <c r="A127" s="4" t="s">
        <v>71</v>
      </c>
      <c r="B127" s="5" t="s">
        <v>7</v>
      </c>
      <c r="C127" s="5" t="s">
        <v>23</v>
      </c>
      <c r="D127" s="5" t="s">
        <v>28</v>
      </c>
      <c r="E127" s="5" t="s">
        <v>10</v>
      </c>
      <c r="F127" s="5">
        <v>4934.5600000000004</v>
      </c>
    </row>
    <row r="128" spans="1:6" ht="15.75" thickBot="1" x14ac:dyDescent="0.3">
      <c r="A128" s="4" t="s">
        <v>117</v>
      </c>
      <c r="B128" s="5" t="s">
        <v>7</v>
      </c>
      <c r="C128" s="5" t="s">
        <v>13</v>
      </c>
      <c r="D128" s="5" t="s">
        <v>14</v>
      </c>
      <c r="E128" s="5" t="s">
        <v>10</v>
      </c>
      <c r="F128" s="5">
        <v>1164.7</v>
      </c>
    </row>
    <row r="129" spans="1:6" ht="15.75" thickBot="1" x14ac:dyDescent="0.3">
      <c r="A129" s="4" t="s">
        <v>118</v>
      </c>
      <c r="B129" s="5" t="s">
        <v>30</v>
      </c>
      <c r="C129" s="5" t="s">
        <v>13</v>
      </c>
      <c r="D129" s="5" t="s">
        <v>14</v>
      </c>
      <c r="E129" s="5" t="s">
        <v>24</v>
      </c>
      <c r="F129" s="5">
        <v>2732.08</v>
      </c>
    </row>
    <row r="130" spans="1:6" ht="15.75" thickBot="1" x14ac:dyDescent="0.3">
      <c r="A130" s="4" t="s">
        <v>84</v>
      </c>
      <c r="B130" s="5" t="s">
        <v>30</v>
      </c>
      <c r="C130" s="5" t="s">
        <v>13</v>
      </c>
      <c r="D130" s="5" t="s">
        <v>9</v>
      </c>
      <c r="E130" s="5" t="s">
        <v>10</v>
      </c>
      <c r="F130" s="5">
        <v>3114.4974299999999</v>
      </c>
    </row>
    <row r="131" spans="1:6" ht="15.75" thickBot="1" x14ac:dyDescent="0.3">
      <c r="A131" s="4" t="s">
        <v>119</v>
      </c>
      <c r="B131" s="5" t="s">
        <v>30</v>
      </c>
      <c r="C131" s="5" t="s">
        <v>23</v>
      </c>
      <c r="D131" s="5" t="s">
        <v>14</v>
      </c>
      <c r="E131" s="5" t="s">
        <v>10</v>
      </c>
      <c r="F131" s="5">
        <v>3329.18</v>
      </c>
    </row>
    <row r="132" spans="1:6" ht="15.75" thickBot="1" x14ac:dyDescent="0.3">
      <c r="A132" s="4" t="s">
        <v>120</v>
      </c>
      <c r="B132" s="5" t="s">
        <v>30</v>
      </c>
      <c r="C132" s="5" t="s">
        <v>23</v>
      </c>
      <c r="D132" s="5" t="s">
        <v>28</v>
      </c>
      <c r="E132" s="5" t="s">
        <v>10</v>
      </c>
      <c r="F132" s="5">
        <v>3195.93</v>
      </c>
    </row>
    <row r="133" spans="1:6" ht="15.75" thickBot="1" x14ac:dyDescent="0.3">
      <c r="A133" s="4" t="s">
        <v>91</v>
      </c>
      <c r="B133" s="5" t="s">
        <v>30</v>
      </c>
      <c r="C133" s="5" t="s">
        <v>8</v>
      </c>
      <c r="D133" s="5" t="s">
        <v>28</v>
      </c>
      <c r="E133" s="5" t="s">
        <v>15</v>
      </c>
      <c r="F133" s="5">
        <v>1246.5</v>
      </c>
    </row>
    <row r="134" spans="1:6" ht="15.75" thickBot="1" x14ac:dyDescent="0.3">
      <c r="A134" s="4" t="s">
        <v>121</v>
      </c>
      <c r="B134" s="5" t="s">
        <v>30</v>
      </c>
      <c r="C134" s="5" t="s">
        <v>8</v>
      </c>
      <c r="D134" s="5" t="s">
        <v>28</v>
      </c>
      <c r="E134" s="5" t="s">
        <v>10</v>
      </c>
      <c r="F134" s="5">
        <v>2737.6</v>
      </c>
    </row>
    <row r="135" spans="1:6" ht="15.75" thickBot="1" x14ac:dyDescent="0.3">
      <c r="A135" s="4" t="s">
        <v>122</v>
      </c>
      <c r="B135" s="5" t="s">
        <v>19</v>
      </c>
      <c r="C135" s="5" t="s">
        <v>34</v>
      </c>
      <c r="D135" s="5" t="s">
        <v>28</v>
      </c>
      <c r="E135" s="5" t="s">
        <v>15</v>
      </c>
      <c r="F135" s="5">
        <v>1722.2</v>
      </c>
    </row>
    <row r="136" spans="1:6" ht="15.75" thickBot="1" x14ac:dyDescent="0.3">
      <c r="A136" s="4" t="s">
        <v>123</v>
      </c>
      <c r="B136" s="5" t="s">
        <v>30</v>
      </c>
      <c r="C136" s="5" t="s">
        <v>8</v>
      </c>
      <c r="D136" s="5" t="s">
        <v>14</v>
      </c>
      <c r="E136" s="5" t="s">
        <v>15</v>
      </c>
      <c r="F136" s="5">
        <v>4036.12</v>
      </c>
    </row>
    <row r="137" spans="1:6" ht="15.75" thickBot="1" x14ac:dyDescent="0.3">
      <c r="A137" s="4" t="s">
        <v>124</v>
      </c>
      <c r="B137" s="5" t="s">
        <v>12</v>
      </c>
      <c r="C137" s="5" t="s">
        <v>23</v>
      </c>
      <c r="D137" s="5" t="s">
        <v>28</v>
      </c>
      <c r="E137" s="5" t="s">
        <v>10</v>
      </c>
      <c r="F137" s="5">
        <v>897.74</v>
      </c>
    </row>
    <row r="138" spans="1:6" ht="15.75" thickBot="1" x14ac:dyDescent="0.3">
      <c r="A138" s="4" t="s">
        <v>125</v>
      </c>
      <c r="B138" s="5" t="s">
        <v>7</v>
      </c>
      <c r="C138" s="5" t="s">
        <v>23</v>
      </c>
      <c r="D138" s="5" t="s">
        <v>14</v>
      </c>
      <c r="E138" s="5" t="s">
        <v>10</v>
      </c>
      <c r="F138" s="5">
        <v>1853.54</v>
      </c>
    </row>
    <row r="139" spans="1:6" ht="15.75" thickBot="1" x14ac:dyDescent="0.3">
      <c r="A139" s="4" t="s">
        <v>121</v>
      </c>
      <c r="B139" s="5" t="s">
        <v>30</v>
      </c>
      <c r="C139" s="5" t="s">
        <v>34</v>
      </c>
      <c r="D139" s="5" t="s">
        <v>14</v>
      </c>
      <c r="E139" s="5" t="s">
        <v>15</v>
      </c>
      <c r="F139" s="5">
        <v>4674.16</v>
      </c>
    </row>
    <row r="140" spans="1:6" ht="15.75" thickBot="1" x14ac:dyDescent="0.3">
      <c r="A140" s="4" t="s">
        <v>123</v>
      </c>
      <c r="B140" s="5" t="s">
        <v>30</v>
      </c>
      <c r="C140" s="5" t="s">
        <v>13</v>
      </c>
      <c r="D140" s="5" t="s">
        <v>9</v>
      </c>
      <c r="E140" s="5" t="s">
        <v>15</v>
      </c>
      <c r="F140" s="5">
        <v>4723.6000000000004</v>
      </c>
    </row>
    <row r="141" spans="1:6" ht="15.75" thickBot="1" x14ac:dyDescent="0.3">
      <c r="A141" s="4" t="s">
        <v>117</v>
      </c>
      <c r="B141" s="5" t="s">
        <v>7</v>
      </c>
      <c r="C141" s="5" t="s">
        <v>23</v>
      </c>
      <c r="D141" s="5" t="s">
        <v>9</v>
      </c>
      <c r="E141" s="5" t="s">
        <v>10</v>
      </c>
      <c r="F141" s="5">
        <v>3244.2138880000002</v>
      </c>
    </row>
    <row r="142" spans="1:6" ht="15.75" thickBot="1" x14ac:dyDescent="0.3">
      <c r="A142" s="4" t="s">
        <v>18</v>
      </c>
      <c r="B142" s="5" t="s">
        <v>19</v>
      </c>
      <c r="C142" s="5" t="s">
        <v>13</v>
      </c>
      <c r="D142" s="5" t="s">
        <v>14</v>
      </c>
      <c r="E142" s="5" t="s">
        <v>24</v>
      </c>
      <c r="F142" s="5">
        <v>980.22</v>
      </c>
    </row>
    <row r="143" spans="1:6" ht="15.75" thickBot="1" x14ac:dyDescent="0.3">
      <c r="A143" s="4" t="s">
        <v>126</v>
      </c>
      <c r="B143" s="5" t="s">
        <v>30</v>
      </c>
      <c r="C143" s="5" t="s">
        <v>8</v>
      </c>
      <c r="D143" s="5" t="s">
        <v>28</v>
      </c>
      <c r="E143" s="5" t="s">
        <v>15</v>
      </c>
      <c r="F143" s="5">
        <v>4810.13</v>
      </c>
    </row>
    <row r="144" spans="1:6" ht="30.75" thickBot="1" x14ac:dyDescent="0.3">
      <c r="A144" s="4" t="s">
        <v>127</v>
      </c>
      <c r="B144" s="5" t="s">
        <v>17</v>
      </c>
      <c r="C144" s="5" t="s">
        <v>23</v>
      </c>
      <c r="D144" s="5" t="s">
        <v>28</v>
      </c>
      <c r="E144" s="5" t="s">
        <v>24</v>
      </c>
      <c r="F144" s="5">
        <v>3868.27</v>
      </c>
    </row>
    <row r="145" spans="1:6" ht="15.75" thickBot="1" x14ac:dyDescent="0.3">
      <c r="A145" s="4" t="s">
        <v>114</v>
      </c>
      <c r="B145" s="5" t="s">
        <v>30</v>
      </c>
      <c r="C145" s="5" t="s">
        <v>8</v>
      </c>
      <c r="D145" s="5" t="s">
        <v>28</v>
      </c>
      <c r="E145" s="5" t="s">
        <v>24</v>
      </c>
      <c r="F145" s="5">
        <v>714.41</v>
      </c>
    </row>
    <row r="146" spans="1:6" ht="15.75" thickBot="1" x14ac:dyDescent="0.3">
      <c r="A146" s="4" t="s">
        <v>117</v>
      </c>
      <c r="B146" s="5" t="s">
        <v>7</v>
      </c>
      <c r="C146" s="5" t="s">
        <v>13</v>
      </c>
      <c r="D146" s="5" t="s">
        <v>9</v>
      </c>
      <c r="E146" s="5" t="s">
        <v>10</v>
      </c>
      <c r="F146" s="5">
        <v>1121.057894</v>
      </c>
    </row>
    <row r="147" spans="1:6" ht="15.75" thickBot="1" x14ac:dyDescent="0.3">
      <c r="A147" s="4" t="s">
        <v>128</v>
      </c>
      <c r="B147" s="5" t="s">
        <v>12</v>
      </c>
      <c r="C147" s="5" t="s">
        <v>13</v>
      </c>
      <c r="D147" s="5" t="s">
        <v>9</v>
      </c>
      <c r="E147" s="5" t="s">
        <v>24</v>
      </c>
      <c r="F147" s="5">
        <v>1645.674403</v>
      </c>
    </row>
    <row r="148" spans="1:6" ht="30.75" thickBot="1" x14ac:dyDescent="0.3">
      <c r="A148" s="4" t="s">
        <v>129</v>
      </c>
      <c r="B148" s="5" t="s">
        <v>17</v>
      </c>
      <c r="C148" s="5" t="s">
        <v>34</v>
      </c>
      <c r="D148" s="5" t="s">
        <v>9</v>
      </c>
      <c r="E148" s="5" t="s">
        <v>15</v>
      </c>
      <c r="F148" s="5">
        <v>3519.7372449999998</v>
      </c>
    </row>
    <row r="149" spans="1:6" ht="30.75" thickBot="1" x14ac:dyDescent="0.3">
      <c r="A149" s="4" t="s">
        <v>82</v>
      </c>
      <c r="B149" s="5" t="s">
        <v>17</v>
      </c>
      <c r="C149" s="5" t="s">
        <v>34</v>
      </c>
      <c r="D149" s="5" t="s">
        <v>9</v>
      </c>
      <c r="E149" s="5" t="s">
        <v>24</v>
      </c>
      <c r="F149" s="5">
        <v>2222.6799999999998</v>
      </c>
    </row>
    <row r="150" spans="1:6" ht="30.75" thickBot="1" x14ac:dyDescent="0.3">
      <c r="A150" s="4" t="s">
        <v>80</v>
      </c>
      <c r="B150" s="5" t="s">
        <v>17</v>
      </c>
      <c r="C150" s="5" t="s">
        <v>34</v>
      </c>
      <c r="D150" s="5" t="s">
        <v>14</v>
      </c>
      <c r="E150" s="5" t="s">
        <v>15</v>
      </c>
      <c r="F150" s="5">
        <v>261.56</v>
      </c>
    </row>
    <row r="151" spans="1:6" ht="15.75" thickBot="1" x14ac:dyDescent="0.3">
      <c r="A151" s="4" t="s">
        <v>63</v>
      </c>
      <c r="B151" s="5" t="s">
        <v>12</v>
      </c>
      <c r="C151" s="5" t="s">
        <v>34</v>
      </c>
      <c r="D151" s="5" t="s">
        <v>9</v>
      </c>
      <c r="E151" s="5" t="s">
        <v>24</v>
      </c>
      <c r="F151" s="5">
        <v>4724.5603350000001</v>
      </c>
    </row>
    <row r="152" spans="1:6" ht="15.75" thickBot="1" x14ac:dyDescent="0.3">
      <c r="A152" s="4" t="s">
        <v>130</v>
      </c>
      <c r="B152" s="5" t="s">
        <v>12</v>
      </c>
      <c r="C152" s="5" t="s">
        <v>13</v>
      </c>
      <c r="D152" s="5" t="s">
        <v>14</v>
      </c>
      <c r="E152" s="5" t="s">
        <v>10</v>
      </c>
      <c r="F152" s="5">
        <v>1696.11</v>
      </c>
    </row>
    <row r="153" spans="1:6" ht="30.75" thickBot="1" x14ac:dyDescent="0.3">
      <c r="A153" s="4" t="s">
        <v>131</v>
      </c>
      <c r="B153" s="5" t="s">
        <v>17</v>
      </c>
      <c r="C153" s="5" t="s">
        <v>13</v>
      </c>
      <c r="D153" s="5" t="s">
        <v>28</v>
      </c>
      <c r="E153" s="5" t="s">
        <v>24</v>
      </c>
      <c r="F153" s="5">
        <v>1447.34</v>
      </c>
    </row>
    <row r="154" spans="1:6" ht="15.75" thickBot="1" x14ac:dyDescent="0.3">
      <c r="A154" s="4" t="s">
        <v>132</v>
      </c>
      <c r="B154" s="5" t="s">
        <v>19</v>
      </c>
      <c r="C154" s="5" t="s">
        <v>13</v>
      </c>
      <c r="D154" s="5" t="s">
        <v>14</v>
      </c>
      <c r="E154" s="5" t="s">
        <v>24</v>
      </c>
      <c r="F154" s="5">
        <v>3456.69</v>
      </c>
    </row>
    <row r="155" spans="1:6" ht="15.75" thickBot="1" x14ac:dyDescent="0.3">
      <c r="A155" s="4" t="s">
        <v>47</v>
      </c>
      <c r="B155" s="5" t="s">
        <v>30</v>
      </c>
      <c r="C155" s="5" t="s">
        <v>34</v>
      </c>
      <c r="D155" s="5" t="s">
        <v>28</v>
      </c>
      <c r="E155" s="5" t="s">
        <v>10</v>
      </c>
      <c r="F155" s="5">
        <v>1842.07</v>
      </c>
    </row>
    <row r="156" spans="1:6" ht="30.75" thickBot="1" x14ac:dyDescent="0.3">
      <c r="A156" s="4" t="s">
        <v>133</v>
      </c>
      <c r="B156" s="5" t="s">
        <v>17</v>
      </c>
      <c r="C156" s="5" t="s">
        <v>13</v>
      </c>
      <c r="D156" s="5" t="s">
        <v>9</v>
      </c>
      <c r="E156" s="5" t="s">
        <v>15</v>
      </c>
      <c r="F156" s="5">
        <v>670.69</v>
      </c>
    </row>
    <row r="157" spans="1:6" ht="15.75" thickBot="1" x14ac:dyDescent="0.3">
      <c r="A157" s="4" t="s">
        <v>134</v>
      </c>
      <c r="B157" s="5" t="s">
        <v>7</v>
      </c>
      <c r="C157" s="5" t="s">
        <v>23</v>
      </c>
      <c r="D157" s="5" t="s">
        <v>9</v>
      </c>
      <c r="E157" s="5" t="s">
        <v>15</v>
      </c>
      <c r="F157" s="5">
        <v>1143.20198</v>
      </c>
    </row>
    <row r="158" spans="1:6" ht="30.75" thickBot="1" x14ac:dyDescent="0.3">
      <c r="A158" s="4" t="s">
        <v>80</v>
      </c>
      <c r="B158" s="5" t="s">
        <v>17</v>
      </c>
      <c r="C158" s="5" t="s">
        <v>23</v>
      </c>
      <c r="D158" s="5" t="s">
        <v>9</v>
      </c>
      <c r="E158" s="5" t="s">
        <v>10</v>
      </c>
      <c r="F158" s="5">
        <v>3475.5149740000002</v>
      </c>
    </row>
    <row r="159" spans="1:6" ht="15.75" thickBot="1" x14ac:dyDescent="0.3">
      <c r="A159" s="4" t="s">
        <v>92</v>
      </c>
      <c r="B159" s="5" t="s">
        <v>30</v>
      </c>
      <c r="C159" s="5" t="s">
        <v>34</v>
      </c>
      <c r="D159" s="5" t="s">
        <v>28</v>
      </c>
      <c r="E159" s="5" t="s">
        <v>10</v>
      </c>
      <c r="F159" s="5">
        <v>1313.1</v>
      </c>
    </row>
    <row r="160" spans="1:6" ht="15.75" thickBot="1" x14ac:dyDescent="0.3">
      <c r="A160" s="4" t="s">
        <v>90</v>
      </c>
      <c r="B160" s="5" t="s">
        <v>19</v>
      </c>
      <c r="C160" s="5" t="s">
        <v>13</v>
      </c>
      <c r="D160" s="5" t="s">
        <v>14</v>
      </c>
      <c r="E160" s="5" t="s">
        <v>24</v>
      </c>
      <c r="F160" s="5">
        <v>2271.65</v>
      </c>
    </row>
    <row r="161" spans="1:6" ht="30.75" thickBot="1" x14ac:dyDescent="0.3">
      <c r="A161" s="4" t="s">
        <v>80</v>
      </c>
      <c r="B161" s="5" t="s">
        <v>17</v>
      </c>
      <c r="C161" s="5" t="s">
        <v>8</v>
      </c>
      <c r="D161" s="5" t="s">
        <v>9</v>
      </c>
      <c r="E161" s="5" t="s">
        <v>15</v>
      </c>
      <c r="F161" s="5">
        <v>4185.7462960000003</v>
      </c>
    </row>
    <row r="162" spans="1:6" ht="15.75" thickBot="1" x14ac:dyDescent="0.3">
      <c r="A162" s="4" t="s">
        <v>86</v>
      </c>
      <c r="B162" s="5" t="s">
        <v>19</v>
      </c>
      <c r="C162" s="5" t="s">
        <v>13</v>
      </c>
      <c r="D162" s="5" t="s">
        <v>9</v>
      </c>
      <c r="E162" s="5" t="s">
        <v>10</v>
      </c>
      <c r="F162" s="5">
        <v>704.33660399999997</v>
      </c>
    </row>
    <row r="163" spans="1:6" ht="15.75" thickBot="1" x14ac:dyDescent="0.3">
      <c r="A163" s="4" t="s">
        <v>135</v>
      </c>
      <c r="B163" s="5" t="s">
        <v>12</v>
      </c>
      <c r="C163" s="5" t="s">
        <v>8</v>
      </c>
      <c r="D163" s="5" t="s">
        <v>9</v>
      </c>
      <c r="E163" s="5" t="s">
        <v>24</v>
      </c>
      <c r="F163" s="5">
        <v>801.11</v>
      </c>
    </row>
    <row r="164" spans="1:6" ht="15.75" thickBot="1" x14ac:dyDescent="0.3">
      <c r="A164" s="4" t="s">
        <v>21</v>
      </c>
      <c r="B164" s="5" t="s">
        <v>19</v>
      </c>
      <c r="C164" s="5" t="s">
        <v>13</v>
      </c>
      <c r="D164" s="5" t="s">
        <v>14</v>
      </c>
      <c r="E164" s="5" t="s">
        <v>10</v>
      </c>
      <c r="F164" s="5">
        <v>1685.02</v>
      </c>
    </row>
    <row r="165" spans="1:6" ht="15.75" thickBot="1" x14ac:dyDescent="0.3">
      <c r="A165" s="4" t="s">
        <v>132</v>
      </c>
      <c r="B165" s="5" t="s">
        <v>19</v>
      </c>
      <c r="C165" s="5" t="s">
        <v>8</v>
      </c>
      <c r="D165" s="5" t="s">
        <v>14</v>
      </c>
      <c r="E165" s="5" t="s">
        <v>10</v>
      </c>
      <c r="F165" s="5">
        <v>4811.95</v>
      </c>
    </row>
    <row r="166" spans="1:6" ht="30.75" thickBot="1" x14ac:dyDescent="0.3">
      <c r="A166" s="4" t="s">
        <v>136</v>
      </c>
      <c r="B166" s="5" t="s">
        <v>17</v>
      </c>
      <c r="C166" s="5" t="s">
        <v>23</v>
      </c>
      <c r="D166" s="5" t="s">
        <v>9</v>
      </c>
      <c r="E166" s="5" t="s">
        <v>24</v>
      </c>
      <c r="F166" s="5">
        <v>5093.5156129999996</v>
      </c>
    </row>
    <row r="167" spans="1:6" ht="15.75" thickBot="1" x14ac:dyDescent="0.3">
      <c r="A167" s="4" t="s">
        <v>120</v>
      </c>
      <c r="B167" s="5" t="s">
        <v>30</v>
      </c>
      <c r="C167" s="5" t="s">
        <v>23</v>
      </c>
      <c r="D167" s="5" t="s">
        <v>9</v>
      </c>
      <c r="E167" s="5" t="s">
        <v>24</v>
      </c>
      <c r="F167" s="5">
        <v>4205.3747649999996</v>
      </c>
    </row>
    <row r="168" spans="1:6" ht="15.75" thickBot="1" x14ac:dyDescent="0.3">
      <c r="A168" s="4" t="s">
        <v>56</v>
      </c>
      <c r="B168" s="5" t="s">
        <v>19</v>
      </c>
      <c r="C168" s="5" t="s">
        <v>23</v>
      </c>
      <c r="D168" s="5" t="s">
        <v>9</v>
      </c>
      <c r="E168" s="5" t="s">
        <v>15</v>
      </c>
      <c r="F168" s="5">
        <v>1288.354116</v>
      </c>
    </row>
    <row r="169" spans="1:6" ht="15.75" thickBot="1" x14ac:dyDescent="0.3">
      <c r="A169" s="4" t="s">
        <v>93</v>
      </c>
      <c r="B169" s="5" t="s">
        <v>30</v>
      </c>
      <c r="C169" s="5" t="s">
        <v>8</v>
      </c>
      <c r="D169" s="5" t="s">
        <v>14</v>
      </c>
      <c r="E169" s="5" t="s">
        <v>24</v>
      </c>
      <c r="F169" s="5">
        <v>2663.02</v>
      </c>
    </row>
    <row r="170" spans="1:6" ht="30.75" thickBot="1" x14ac:dyDescent="0.3">
      <c r="A170" s="4" t="s">
        <v>136</v>
      </c>
      <c r="B170" s="5" t="s">
        <v>17</v>
      </c>
      <c r="C170" s="5" t="s">
        <v>8</v>
      </c>
      <c r="D170" s="5" t="s">
        <v>14</v>
      </c>
      <c r="E170" s="5" t="s">
        <v>10</v>
      </c>
      <c r="F170" s="5">
        <v>2844.55</v>
      </c>
    </row>
    <row r="171" spans="1:6" ht="30.75" thickBot="1" x14ac:dyDescent="0.3">
      <c r="A171" s="4" t="s">
        <v>137</v>
      </c>
      <c r="B171" s="5" t="s">
        <v>17</v>
      </c>
      <c r="C171" s="5" t="s">
        <v>13</v>
      </c>
      <c r="D171" s="5" t="s">
        <v>28</v>
      </c>
      <c r="E171" s="5" t="s">
        <v>10</v>
      </c>
      <c r="F171" s="5">
        <v>1998.08</v>
      </c>
    </row>
    <row r="172" spans="1:6" ht="15.75" thickBot="1" x14ac:dyDescent="0.3">
      <c r="A172" s="4" t="s">
        <v>53</v>
      </c>
      <c r="B172" s="5" t="s">
        <v>7</v>
      </c>
      <c r="C172" s="5" t="s">
        <v>23</v>
      </c>
      <c r="D172" s="5" t="s">
        <v>14</v>
      </c>
      <c r="E172" s="5" t="s">
        <v>10</v>
      </c>
      <c r="F172" s="5">
        <v>241.97</v>
      </c>
    </row>
    <row r="173" spans="1:6" ht="15.75" thickBot="1" x14ac:dyDescent="0.3">
      <c r="A173" s="4" t="s">
        <v>138</v>
      </c>
      <c r="B173" s="5" t="s">
        <v>12</v>
      </c>
      <c r="C173" s="5" t="s">
        <v>13</v>
      </c>
      <c r="D173" s="5" t="s">
        <v>9</v>
      </c>
      <c r="E173" s="5" t="s">
        <v>15</v>
      </c>
      <c r="F173" s="5">
        <v>2907.8946660000001</v>
      </c>
    </row>
    <row r="174" spans="1:6" ht="15.75" thickBot="1" x14ac:dyDescent="0.3">
      <c r="A174" s="4" t="s">
        <v>64</v>
      </c>
      <c r="B174" s="5" t="s">
        <v>30</v>
      </c>
      <c r="C174" s="5" t="s">
        <v>23</v>
      </c>
      <c r="D174" s="5" t="s">
        <v>9</v>
      </c>
      <c r="E174" s="5" t="s">
        <v>15</v>
      </c>
      <c r="F174" s="5">
        <v>4728.95</v>
      </c>
    </row>
    <row r="175" spans="1:6" ht="15.75" thickBot="1" x14ac:dyDescent="0.3">
      <c r="A175" s="4" t="s">
        <v>50</v>
      </c>
      <c r="B175" s="5" t="s">
        <v>19</v>
      </c>
      <c r="C175" s="5" t="s">
        <v>13</v>
      </c>
      <c r="D175" s="5" t="s">
        <v>14</v>
      </c>
      <c r="E175" s="5" t="s">
        <v>24</v>
      </c>
      <c r="F175" s="5">
        <v>4265.8500000000004</v>
      </c>
    </row>
    <row r="176" spans="1:6" ht="15.75" thickBot="1" x14ac:dyDescent="0.3">
      <c r="A176" s="4" t="s">
        <v>139</v>
      </c>
      <c r="B176" s="5" t="s">
        <v>7</v>
      </c>
      <c r="C176" s="5" t="s">
        <v>23</v>
      </c>
      <c r="D176" s="5" t="s">
        <v>9</v>
      </c>
      <c r="E176" s="5" t="s">
        <v>24</v>
      </c>
      <c r="F176" s="5">
        <v>2361.5527539999998</v>
      </c>
    </row>
    <row r="177" spans="1:6" ht="30.75" thickBot="1" x14ac:dyDescent="0.3">
      <c r="A177" s="4" t="s">
        <v>58</v>
      </c>
      <c r="B177" s="5" t="s">
        <v>17</v>
      </c>
      <c r="C177" s="5" t="s">
        <v>23</v>
      </c>
      <c r="D177" s="5" t="s">
        <v>14</v>
      </c>
      <c r="E177" s="5" t="s">
        <v>10</v>
      </c>
      <c r="F177" s="5">
        <v>235.74</v>
      </c>
    </row>
    <row r="178" spans="1:6" ht="15.75" thickBot="1" x14ac:dyDescent="0.3">
      <c r="A178" s="4" t="s">
        <v>88</v>
      </c>
      <c r="B178" s="5" t="s">
        <v>7</v>
      </c>
      <c r="C178" s="5" t="s">
        <v>23</v>
      </c>
      <c r="D178" s="5" t="s">
        <v>28</v>
      </c>
      <c r="E178" s="5" t="s">
        <v>10</v>
      </c>
      <c r="F178" s="5">
        <v>2737</v>
      </c>
    </row>
    <row r="179" spans="1:6" ht="30.75" thickBot="1" x14ac:dyDescent="0.3">
      <c r="A179" s="4" t="s">
        <v>140</v>
      </c>
      <c r="B179" s="5" t="s">
        <v>17</v>
      </c>
      <c r="C179" s="5" t="s">
        <v>8</v>
      </c>
      <c r="D179" s="5" t="s">
        <v>28</v>
      </c>
      <c r="E179" s="5" t="s">
        <v>15</v>
      </c>
      <c r="F179" s="5">
        <v>1539.15</v>
      </c>
    </row>
    <row r="180" spans="1:6" ht="30.75" thickBot="1" x14ac:dyDescent="0.3">
      <c r="A180" s="4" t="s">
        <v>82</v>
      </c>
      <c r="B180" s="5" t="s">
        <v>17</v>
      </c>
      <c r="C180" s="5" t="s">
        <v>8</v>
      </c>
      <c r="D180" s="5" t="s">
        <v>28</v>
      </c>
      <c r="E180" s="5" t="s">
        <v>10</v>
      </c>
      <c r="F180" s="5">
        <v>502.47</v>
      </c>
    </row>
    <row r="181" spans="1:6" ht="15.75" thickBot="1" x14ac:dyDescent="0.3">
      <c r="A181" s="4" t="s">
        <v>120</v>
      </c>
      <c r="B181" s="5" t="s">
        <v>30</v>
      </c>
      <c r="C181" s="5" t="s">
        <v>8</v>
      </c>
      <c r="D181" s="5" t="s">
        <v>14</v>
      </c>
      <c r="E181" s="5" t="s">
        <v>15</v>
      </c>
      <c r="F181" s="5">
        <v>2710.93</v>
      </c>
    </row>
    <row r="182" spans="1:6" ht="15.75" thickBot="1" x14ac:dyDescent="0.3">
      <c r="A182" s="4" t="s">
        <v>141</v>
      </c>
      <c r="B182" s="5" t="s">
        <v>7</v>
      </c>
      <c r="C182" s="5" t="s">
        <v>34</v>
      </c>
      <c r="D182" s="5" t="s">
        <v>9</v>
      </c>
      <c r="E182" s="5" t="s">
        <v>10</v>
      </c>
      <c r="F182" s="5">
        <v>2286.2420430000002</v>
      </c>
    </row>
    <row r="183" spans="1:6" ht="15.75" thickBot="1" x14ac:dyDescent="0.3">
      <c r="A183" s="4" t="s">
        <v>21</v>
      </c>
      <c r="B183" s="5" t="s">
        <v>19</v>
      </c>
      <c r="C183" s="5" t="s">
        <v>23</v>
      </c>
      <c r="D183" s="5" t="s">
        <v>9</v>
      </c>
      <c r="E183" s="5" t="s">
        <v>10</v>
      </c>
      <c r="F183" s="5">
        <v>3819.978924</v>
      </c>
    </row>
    <row r="184" spans="1:6" ht="15.75" thickBot="1" x14ac:dyDescent="0.3">
      <c r="A184" s="4" t="s">
        <v>62</v>
      </c>
      <c r="B184" s="5" t="s">
        <v>30</v>
      </c>
      <c r="C184" s="5" t="s">
        <v>8</v>
      </c>
      <c r="D184" s="5" t="s">
        <v>14</v>
      </c>
      <c r="E184" s="5" t="s">
        <v>15</v>
      </c>
      <c r="F184" s="5">
        <v>2138.08</v>
      </c>
    </row>
    <row r="185" spans="1:6" ht="30.75" thickBot="1" x14ac:dyDescent="0.3">
      <c r="A185" s="4" t="s">
        <v>142</v>
      </c>
      <c r="B185" s="5" t="s">
        <v>17</v>
      </c>
      <c r="C185" s="5" t="s">
        <v>8</v>
      </c>
      <c r="D185" s="5" t="s">
        <v>28</v>
      </c>
      <c r="E185" s="5" t="s">
        <v>24</v>
      </c>
      <c r="F185" s="5">
        <v>747.74</v>
      </c>
    </row>
    <row r="186" spans="1:6" ht="30.75" thickBot="1" x14ac:dyDescent="0.3">
      <c r="A186" s="4" t="s">
        <v>143</v>
      </c>
      <c r="B186" s="5" t="s">
        <v>17</v>
      </c>
      <c r="C186" s="5" t="s">
        <v>34</v>
      </c>
      <c r="D186" s="5" t="s">
        <v>28</v>
      </c>
      <c r="E186" s="5" t="s">
        <v>24</v>
      </c>
      <c r="F186" s="5">
        <v>1025.55</v>
      </c>
    </row>
    <row r="187" spans="1:6" ht="15.75" thickBot="1" x14ac:dyDescent="0.3">
      <c r="A187" s="4" t="s">
        <v>144</v>
      </c>
      <c r="B187" s="5" t="s">
        <v>30</v>
      </c>
      <c r="C187" s="5" t="s">
        <v>8</v>
      </c>
      <c r="D187" s="5" t="s">
        <v>9</v>
      </c>
      <c r="E187" s="5" t="s">
        <v>15</v>
      </c>
      <c r="F187" s="5">
        <v>3382</v>
      </c>
    </row>
    <row r="188" spans="1:6" ht="15.75" thickBot="1" x14ac:dyDescent="0.3">
      <c r="A188" s="4" t="s">
        <v>145</v>
      </c>
      <c r="B188" s="5" t="s">
        <v>7</v>
      </c>
      <c r="C188" s="5" t="s">
        <v>23</v>
      </c>
      <c r="D188" s="5" t="s">
        <v>14</v>
      </c>
      <c r="E188" s="5" t="s">
        <v>24</v>
      </c>
      <c r="F188" s="5">
        <v>1772.18</v>
      </c>
    </row>
    <row r="189" spans="1:6" ht="15.75" thickBot="1" x14ac:dyDescent="0.3">
      <c r="A189" s="4" t="s">
        <v>81</v>
      </c>
      <c r="B189" s="5" t="s">
        <v>12</v>
      </c>
      <c r="C189" s="5" t="s">
        <v>13</v>
      </c>
      <c r="D189" s="5" t="s">
        <v>28</v>
      </c>
      <c r="E189" s="5" t="s">
        <v>24</v>
      </c>
      <c r="F189" s="5">
        <v>2150.66</v>
      </c>
    </row>
    <row r="190" spans="1:6" ht="30.75" thickBot="1" x14ac:dyDescent="0.3">
      <c r="A190" s="4" t="s">
        <v>129</v>
      </c>
      <c r="B190" s="5" t="s">
        <v>17</v>
      </c>
      <c r="C190" s="5" t="s">
        <v>34</v>
      </c>
      <c r="D190" s="5" t="s">
        <v>14</v>
      </c>
      <c r="E190" s="5" t="s">
        <v>15</v>
      </c>
      <c r="F190" s="5">
        <v>3214.91</v>
      </c>
    </row>
    <row r="191" spans="1:6" ht="15.75" thickBot="1" x14ac:dyDescent="0.3">
      <c r="A191" s="4" t="s">
        <v>54</v>
      </c>
      <c r="B191" s="5" t="s">
        <v>12</v>
      </c>
      <c r="C191" s="5" t="s">
        <v>34</v>
      </c>
      <c r="D191" s="5" t="s">
        <v>14</v>
      </c>
      <c r="E191" s="5" t="s">
        <v>24</v>
      </c>
      <c r="F191" s="5">
        <v>1475.38</v>
      </c>
    </row>
    <row r="192" spans="1:6" ht="30.75" thickBot="1" x14ac:dyDescent="0.3">
      <c r="A192" s="4" t="s">
        <v>26</v>
      </c>
      <c r="B192" s="5" t="s">
        <v>17</v>
      </c>
      <c r="C192" s="5" t="s">
        <v>8</v>
      </c>
      <c r="D192" s="5" t="s">
        <v>28</v>
      </c>
      <c r="E192" s="5" t="s">
        <v>24</v>
      </c>
      <c r="F192" s="5">
        <v>2631.42</v>
      </c>
    </row>
    <row r="193" spans="1:6" ht="15.75" thickBot="1" x14ac:dyDescent="0.3">
      <c r="A193" s="4" t="s">
        <v>78</v>
      </c>
      <c r="B193" s="5" t="s">
        <v>7</v>
      </c>
      <c r="C193" s="5" t="s">
        <v>13</v>
      </c>
      <c r="D193" s="5" t="s">
        <v>14</v>
      </c>
      <c r="E193" s="5" t="s">
        <v>15</v>
      </c>
      <c r="F193" s="5">
        <v>2973.99</v>
      </c>
    </row>
    <row r="194" spans="1:6" ht="15.75" thickBot="1" x14ac:dyDescent="0.3">
      <c r="A194" s="4" t="s">
        <v>44</v>
      </c>
      <c r="B194" s="5" t="s">
        <v>19</v>
      </c>
      <c r="C194" s="5" t="s">
        <v>8</v>
      </c>
      <c r="D194" s="5" t="s">
        <v>14</v>
      </c>
      <c r="E194" s="5" t="s">
        <v>24</v>
      </c>
      <c r="F194" s="5">
        <v>587.89</v>
      </c>
    </row>
    <row r="195" spans="1:6" ht="15.75" thickBot="1" x14ac:dyDescent="0.3">
      <c r="A195" s="4" t="s">
        <v>146</v>
      </c>
      <c r="B195" s="5" t="s">
        <v>7</v>
      </c>
      <c r="C195" s="5" t="s">
        <v>34</v>
      </c>
      <c r="D195" s="5" t="s">
        <v>14</v>
      </c>
      <c r="E195" s="5" t="s">
        <v>24</v>
      </c>
      <c r="F195" s="5">
        <v>599.52</v>
      </c>
    </row>
    <row r="196" spans="1:6" ht="30.75" thickBot="1" x14ac:dyDescent="0.3">
      <c r="A196" s="4" t="s">
        <v>147</v>
      </c>
      <c r="B196" s="5" t="s">
        <v>17</v>
      </c>
      <c r="C196" s="5" t="s">
        <v>8</v>
      </c>
      <c r="D196" s="5" t="s">
        <v>28</v>
      </c>
      <c r="E196" s="5" t="s">
        <v>10</v>
      </c>
      <c r="F196" s="5">
        <v>1993.42</v>
      </c>
    </row>
    <row r="197" spans="1:6" ht="30.75" thickBot="1" x14ac:dyDescent="0.3">
      <c r="A197" s="4" t="s">
        <v>148</v>
      </c>
      <c r="B197" s="5" t="s">
        <v>17</v>
      </c>
      <c r="C197" s="5" t="s">
        <v>13</v>
      </c>
      <c r="D197" s="5" t="s">
        <v>14</v>
      </c>
      <c r="E197" s="5" t="s">
        <v>10</v>
      </c>
      <c r="F197" s="5">
        <v>1395.49</v>
      </c>
    </row>
    <row r="198" spans="1:6" ht="30.75" thickBot="1" x14ac:dyDescent="0.3">
      <c r="A198" s="4" t="s">
        <v>59</v>
      </c>
      <c r="B198" s="5" t="s">
        <v>17</v>
      </c>
      <c r="C198" s="5" t="s">
        <v>13</v>
      </c>
      <c r="D198" s="5" t="s">
        <v>9</v>
      </c>
      <c r="E198" s="5" t="s">
        <v>15</v>
      </c>
      <c r="F198" s="5">
        <v>2509.14</v>
      </c>
    </row>
    <row r="199" spans="1:6" ht="15.75" thickBot="1" x14ac:dyDescent="0.3">
      <c r="A199" s="4" t="s">
        <v>101</v>
      </c>
      <c r="B199" s="5" t="s">
        <v>19</v>
      </c>
      <c r="C199" s="5" t="s">
        <v>23</v>
      </c>
      <c r="D199" s="5" t="s">
        <v>9</v>
      </c>
      <c r="E199" s="5" t="s">
        <v>24</v>
      </c>
      <c r="F199" s="5">
        <v>2619.1304719999998</v>
      </c>
    </row>
    <row r="200" spans="1:6" ht="15.75" thickBot="1" x14ac:dyDescent="0.3">
      <c r="A200" s="4" t="s">
        <v>61</v>
      </c>
      <c r="B200" s="5" t="s">
        <v>30</v>
      </c>
      <c r="C200" s="5" t="s">
        <v>13</v>
      </c>
      <c r="D200" s="5" t="s">
        <v>14</v>
      </c>
      <c r="E200" s="5" t="s">
        <v>10</v>
      </c>
      <c r="F200" s="5">
        <v>1192.6600000000001</v>
      </c>
    </row>
    <row r="201" spans="1:6" ht="15.75" thickBot="1" x14ac:dyDescent="0.3">
      <c r="A201" s="4" t="s">
        <v>101</v>
      </c>
      <c r="B201" s="5" t="s">
        <v>19</v>
      </c>
      <c r="C201" s="5" t="s">
        <v>34</v>
      </c>
      <c r="D201" s="5" t="s">
        <v>9</v>
      </c>
      <c r="E201" s="5" t="s">
        <v>24</v>
      </c>
      <c r="F201" s="5">
        <v>639.35639619999995</v>
      </c>
    </row>
    <row r="202" spans="1:6" ht="15.75" thickBot="1" x14ac:dyDescent="0.3">
      <c r="A202" s="4" t="s">
        <v>47</v>
      </c>
      <c r="B202" s="5" t="s">
        <v>30</v>
      </c>
      <c r="C202" s="5" t="s">
        <v>13</v>
      </c>
      <c r="D202" s="5" t="s">
        <v>28</v>
      </c>
      <c r="E202" s="5" t="s">
        <v>24</v>
      </c>
      <c r="F202" s="5">
        <v>3446.07</v>
      </c>
    </row>
    <row r="203" spans="1:6" ht="30.75" thickBot="1" x14ac:dyDescent="0.3">
      <c r="A203" s="4" t="s">
        <v>149</v>
      </c>
      <c r="B203" s="5" t="s">
        <v>17</v>
      </c>
      <c r="C203" s="5" t="s">
        <v>13</v>
      </c>
      <c r="D203" s="5" t="s">
        <v>9</v>
      </c>
      <c r="E203" s="5" t="s">
        <v>10</v>
      </c>
      <c r="F203" s="5">
        <v>2973.1976180000001</v>
      </c>
    </row>
    <row r="204" spans="1:6" ht="15.75" thickBot="1" x14ac:dyDescent="0.3">
      <c r="A204" s="4" t="s">
        <v>41</v>
      </c>
      <c r="B204" s="5" t="s">
        <v>30</v>
      </c>
      <c r="C204" s="5" t="s">
        <v>13</v>
      </c>
      <c r="D204" s="5" t="s">
        <v>28</v>
      </c>
      <c r="E204" s="5" t="s">
        <v>15</v>
      </c>
      <c r="F204" s="5">
        <v>4562.24</v>
      </c>
    </row>
    <row r="205" spans="1:6" ht="15.75" thickBot="1" x14ac:dyDescent="0.3">
      <c r="A205" s="4" t="s">
        <v>74</v>
      </c>
      <c r="B205" s="5" t="s">
        <v>19</v>
      </c>
      <c r="C205" s="5" t="s">
        <v>13</v>
      </c>
      <c r="D205" s="5" t="s">
        <v>28</v>
      </c>
      <c r="E205" s="5" t="s">
        <v>15</v>
      </c>
      <c r="F205" s="5">
        <v>3500.64</v>
      </c>
    </row>
    <row r="206" spans="1:6" ht="15.75" thickBot="1" x14ac:dyDescent="0.3">
      <c r="A206" s="4" t="s">
        <v>29</v>
      </c>
      <c r="B206" s="5" t="s">
        <v>30</v>
      </c>
      <c r="C206" s="5" t="s">
        <v>8</v>
      </c>
      <c r="D206" s="5" t="s">
        <v>28</v>
      </c>
      <c r="E206" s="5" t="s">
        <v>24</v>
      </c>
      <c r="F206" s="5">
        <v>3289.66</v>
      </c>
    </row>
    <row r="207" spans="1:6" ht="15.75" thickBot="1" x14ac:dyDescent="0.3">
      <c r="A207" s="4" t="s">
        <v>53</v>
      </c>
      <c r="B207" s="5" t="s">
        <v>7</v>
      </c>
      <c r="C207" s="5" t="s">
        <v>34</v>
      </c>
      <c r="D207" s="5" t="s">
        <v>14</v>
      </c>
      <c r="E207" s="5" t="s">
        <v>15</v>
      </c>
      <c r="F207" s="5">
        <v>540.26</v>
      </c>
    </row>
    <row r="208" spans="1:6" ht="15.75" thickBot="1" x14ac:dyDescent="0.3">
      <c r="A208" s="4" t="s">
        <v>150</v>
      </c>
      <c r="B208" s="5" t="s">
        <v>30</v>
      </c>
      <c r="C208" s="5" t="s">
        <v>23</v>
      </c>
      <c r="D208" s="5" t="s">
        <v>14</v>
      </c>
      <c r="E208" s="5" t="s">
        <v>15</v>
      </c>
      <c r="F208" s="5">
        <v>3784.31</v>
      </c>
    </row>
    <row r="209" spans="1:6" ht="15.75" thickBot="1" x14ac:dyDescent="0.3">
      <c r="A209" s="4" t="s">
        <v>33</v>
      </c>
      <c r="B209" s="5" t="s">
        <v>19</v>
      </c>
      <c r="C209" s="5" t="s">
        <v>13</v>
      </c>
      <c r="D209" s="5" t="s">
        <v>28</v>
      </c>
      <c r="E209" s="5" t="s">
        <v>24</v>
      </c>
      <c r="F209" s="5">
        <v>2320.83</v>
      </c>
    </row>
    <row r="210" spans="1:6" ht="30.75" thickBot="1" x14ac:dyDescent="0.3">
      <c r="A210" s="4" t="s">
        <v>82</v>
      </c>
      <c r="B210" s="5" t="s">
        <v>17</v>
      </c>
      <c r="C210" s="5" t="s">
        <v>34</v>
      </c>
      <c r="D210" s="5" t="s">
        <v>14</v>
      </c>
      <c r="E210" s="5" t="s">
        <v>15</v>
      </c>
      <c r="F210" s="5">
        <v>2311.4499999999998</v>
      </c>
    </row>
    <row r="211" spans="1:6" ht="15.75" thickBot="1" x14ac:dyDescent="0.3">
      <c r="A211" s="4" t="s">
        <v>122</v>
      </c>
      <c r="B211" s="5" t="s">
        <v>19</v>
      </c>
      <c r="C211" s="5" t="s">
        <v>23</v>
      </c>
      <c r="D211" s="5" t="s">
        <v>28</v>
      </c>
      <c r="E211" s="5" t="s">
        <v>10</v>
      </c>
      <c r="F211" s="5">
        <v>4836.59</v>
      </c>
    </row>
    <row r="212" spans="1:6" ht="15.75" thickBot="1" x14ac:dyDescent="0.3">
      <c r="A212" s="4" t="s">
        <v>64</v>
      </c>
      <c r="B212" s="5" t="s">
        <v>30</v>
      </c>
      <c r="C212" s="5" t="s">
        <v>13</v>
      </c>
      <c r="D212" s="5" t="s">
        <v>28</v>
      </c>
      <c r="E212" s="5" t="s">
        <v>15</v>
      </c>
      <c r="F212" s="5">
        <v>4870.82</v>
      </c>
    </row>
    <row r="213" spans="1:6" ht="15.75" thickBot="1" x14ac:dyDescent="0.3">
      <c r="A213" s="4" t="s">
        <v>151</v>
      </c>
      <c r="B213" s="5" t="s">
        <v>12</v>
      </c>
      <c r="C213" s="5" t="s">
        <v>23</v>
      </c>
      <c r="D213" s="5" t="s">
        <v>28</v>
      </c>
      <c r="E213" s="5" t="s">
        <v>15</v>
      </c>
      <c r="F213" s="5">
        <v>4492.74</v>
      </c>
    </row>
    <row r="214" spans="1:6" ht="15.75" thickBot="1" x14ac:dyDescent="0.3">
      <c r="A214" s="4" t="s">
        <v>152</v>
      </c>
      <c r="B214" s="5" t="s">
        <v>30</v>
      </c>
      <c r="C214" s="5" t="s">
        <v>34</v>
      </c>
      <c r="D214" s="5" t="s">
        <v>14</v>
      </c>
      <c r="E214" s="5" t="s">
        <v>10</v>
      </c>
      <c r="F214" s="5">
        <v>2776.43</v>
      </c>
    </row>
    <row r="215" spans="1:6" ht="30.75" thickBot="1" x14ac:dyDescent="0.3">
      <c r="A215" s="4" t="s">
        <v>16</v>
      </c>
      <c r="B215" s="5" t="s">
        <v>17</v>
      </c>
      <c r="C215" s="5" t="s">
        <v>23</v>
      </c>
      <c r="D215" s="5" t="s">
        <v>28</v>
      </c>
      <c r="E215" s="5" t="s">
        <v>10</v>
      </c>
      <c r="F215" s="5">
        <v>4987.59</v>
      </c>
    </row>
    <row r="216" spans="1:6" ht="15.75" thickBot="1" x14ac:dyDescent="0.3">
      <c r="A216" s="4" t="s">
        <v>153</v>
      </c>
      <c r="B216" s="5" t="s">
        <v>7</v>
      </c>
      <c r="C216" s="5" t="s">
        <v>8</v>
      </c>
      <c r="D216" s="5" t="s">
        <v>9</v>
      </c>
      <c r="E216" s="5" t="s">
        <v>10</v>
      </c>
      <c r="F216" s="5">
        <v>1335.7609</v>
      </c>
    </row>
    <row r="217" spans="1:6" ht="15.75" thickBot="1" x14ac:dyDescent="0.3">
      <c r="A217" s="4" t="s">
        <v>39</v>
      </c>
      <c r="B217" s="5" t="s">
        <v>7</v>
      </c>
      <c r="C217" s="5" t="s">
        <v>34</v>
      </c>
      <c r="D217" s="5" t="s">
        <v>14</v>
      </c>
      <c r="E217" s="5" t="s">
        <v>10</v>
      </c>
      <c r="F217" s="5">
        <v>1293.21</v>
      </c>
    </row>
    <row r="218" spans="1:6" ht="15.75" thickBot="1" x14ac:dyDescent="0.3">
      <c r="A218" s="4" t="s">
        <v>154</v>
      </c>
      <c r="B218" s="5" t="s">
        <v>12</v>
      </c>
      <c r="C218" s="5" t="s">
        <v>34</v>
      </c>
      <c r="D218" s="5" t="s">
        <v>28</v>
      </c>
      <c r="E218" s="5" t="s">
        <v>24</v>
      </c>
      <c r="F218" s="5">
        <v>1708</v>
      </c>
    </row>
    <row r="219" spans="1:6" ht="15.75" thickBot="1" x14ac:dyDescent="0.3">
      <c r="A219" s="4" t="s">
        <v>99</v>
      </c>
      <c r="B219" s="5" t="s">
        <v>19</v>
      </c>
      <c r="C219" s="5" t="s">
        <v>13</v>
      </c>
      <c r="D219" s="5" t="s">
        <v>28</v>
      </c>
      <c r="E219" s="5" t="s">
        <v>24</v>
      </c>
      <c r="F219" s="5">
        <v>4594.9799999999996</v>
      </c>
    </row>
    <row r="220" spans="1:6" ht="15.75" thickBot="1" x14ac:dyDescent="0.3">
      <c r="A220" s="4" t="s">
        <v>155</v>
      </c>
      <c r="B220" s="5" t="s">
        <v>7</v>
      </c>
      <c r="C220" s="5" t="s">
        <v>23</v>
      </c>
      <c r="D220" s="5" t="s">
        <v>14</v>
      </c>
      <c r="E220" s="5" t="s">
        <v>10</v>
      </c>
      <c r="F220" s="5">
        <v>831.81</v>
      </c>
    </row>
    <row r="221" spans="1:6" ht="30.75" thickBot="1" x14ac:dyDescent="0.3">
      <c r="A221" s="4" t="s">
        <v>156</v>
      </c>
      <c r="B221" s="5" t="s">
        <v>17</v>
      </c>
      <c r="C221" s="5" t="s">
        <v>23</v>
      </c>
      <c r="D221" s="5" t="s">
        <v>14</v>
      </c>
      <c r="E221" s="5" t="s">
        <v>10</v>
      </c>
      <c r="F221" s="5">
        <v>2545.9</v>
      </c>
    </row>
    <row r="222" spans="1:6" ht="30.75" thickBot="1" x14ac:dyDescent="0.3">
      <c r="A222" s="4" t="s">
        <v>149</v>
      </c>
      <c r="B222" s="5" t="s">
        <v>17</v>
      </c>
      <c r="C222" s="5" t="s">
        <v>34</v>
      </c>
      <c r="D222" s="5" t="s">
        <v>9</v>
      </c>
      <c r="E222" s="5" t="s">
        <v>10</v>
      </c>
      <c r="F222" s="5">
        <v>1207.1362979999999</v>
      </c>
    </row>
    <row r="223" spans="1:6" ht="15.75" thickBot="1" x14ac:dyDescent="0.3">
      <c r="A223" s="4" t="s">
        <v>33</v>
      </c>
      <c r="B223" s="5" t="s">
        <v>19</v>
      </c>
      <c r="C223" s="5" t="s">
        <v>23</v>
      </c>
      <c r="D223" s="5" t="s">
        <v>9</v>
      </c>
      <c r="E223" s="5" t="s">
        <v>24</v>
      </c>
      <c r="F223" s="5">
        <v>2790.8028279999999</v>
      </c>
    </row>
    <row r="224" spans="1:6" ht="15.75" thickBot="1" x14ac:dyDescent="0.3">
      <c r="A224" s="4" t="s">
        <v>157</v>
      </c>
      <c r="B224" s="5" t="s">
        <v>30</v>
      </c>
      <c r="C224" s="5" t="s">
        <v>23</v>
      </c>
      <c r="D224" s="5" t="s">
        <v>28</v>
      </c>
      <c r="E224" s="5" t="s">
        <v>15</v>
      </c>
      <c r="F224" s="5">
        <v>1945.28</v>
      </c>
    </row>
    <row r="225" spans="1:6" ht="30.75" thickBot="1" x14ac:dyDescent="0.3">
      <c r="A225" s="4" t="s">
        <v>16</v>
      </c>
      <c r="B225" s="5" t="s">
        <v>17</v>
      </c>
      <c r="C225" s="5" t="s">
        <v>34</v>
      </c>
      <c r="D225" s="5" t="s">
        <v>9</v>
      </c>
      <c r="E225" s="5" t="s">
        <v>24</v>
      </c>
      <c r="F225" s="5">
        <v>3670.5421860000001</v>
      </c>
    </row>
    <row r="226" spans="1:6" ht="15.75" thickBot="1" x14ac:dyDescent="0.3">
      <c r="A226" s="4" t="s">
        <v>44</v>
      </c>
      <c r="B226" s="5" t="s">
        <v>19</v>
      </c>
      <c r="C226" s="5" t="s">
        <v>13</v>
      </c>
      <c r="D226" s="5" t="s">
        <v>14</v>
      </c>
      <c r="E226" s="5" t="s">
        <v>24</v>
      </c>
      <c r="F226" s="5">
        <v>1954.98</v>
      </c>
    </row>
    <row r="227" spans="1:6" ht="15.75" thickBot="1" x14ac:dyDescent="0.3">
      <c r="A227" s="4" t="s">
        <v>84</v>
      </c>
      <c r="B227" s="5" t="s">
        <v>30</v>
      </c>
      <c r="C227" s="5" t="s">
        <v>13</v>
      </c>
      <c r="D227" s="5" t="s">
        <v>14</v>
      </c>
      <c r="E227" s="5" t="s">
        <v>15</v>
      </c>
      <c r="F227" s="5">
        <v>2205.38</v>
      </c>
    </row>
    <row r="228" spans="1:6" ht="15.75" thickBot="1" x14ac:dyDescent="0.3">
      <c r="A228" s="4" t="s">
        <v>40</v>
      </c>
      <c r="B228" s="5" t="s">
        <v>19</v>
      </c>
      <c r="C228" s="5" t="s">
        <v>23</v>
      </c>
      <c r="D228" s="5" t="s">
        <v>14</v>
      </c>
      <c r="E228" s="5" t="s">
        <v>24</v>
      </c>
      <c r="F228" s="5">
        <v>1900.73</v>
      </c>
    </row>
    <row r="229" spans="1:6" ht="15.75" thickBot="1" x14ac:dyDescent="0.3">
      <c r="A229" s="4" t="s">
        <v>49</v>
      </c>
      <c r="B229" s="5" t="s">
        <v>19</v>
      </c>
      <c r="C229" s="5" t="s">
        <v>13</v>
      </c>
      <c r="D229" s="5" t="s">
        <v>9</v>
      </c>
      <c r="E229" s="5" t="s">
        <v>10</v>
      </c>
      <c r="F229" s="5">
        <v>2512.7800000000002</v>
      </c>
    </row>
    <row r="230" spans="1:6" ht="15.75" thickBot="1" x14ac:dyDescent="0.3">
      <c r="A230" s="4" t="s">
        <v>134</v>
      </c>
      <c r="B230" s="5" t="s">
        <v>7</v>
      </c>
      <c r="C230" s="5" t="s">
        <v>23</v>
      </c>
      <c r="D230" s="5" t="s">
        <v>9</v>
      </c>
      <c r="E230" s="5" t="s">
        <v>15</v>
      </c>
      <c r="F230" s="5">
        <v>3560.2940319999998</v>
      </c>
    </row>
    <row r="231" spans="1:6" ht="15.75" thickBot="1" x14ac:dyDescent="0.3">
      <c r="A231" s="4" t="s">
        <v>66</v>
      </c>
      <c r="B231" s="5" t="s">
        <v>30</v>
      </c>
      <c r="C231" s="5" t="s">
        <v>23</v>
      </c>
      <c r="D231" s="5" t="s">
        <v>14</v>
      </c>
      <c r="E231" s="5" t="s">
        <v>10</v>
      </c>
      <c r="F231" s="5">
        <v>4844.28</v>
      </c>
    </row>
    <row r="232" spans="1:6" ht="15.75" thickBot="1" x14ac:dyDescent="0.3">
      <c r="A232" s="4" t="s">
        <v>94</v>
      </c>
      <c r="B232" s="5" t="s">
        <v>7</v>
      </c>
      <c r="C232" s="5" t="s">
        <v>13</v>
      </c>
      <c r="D232" s="5" t="s">
        <v>14</v>
      </c>
      <c r="E232" s="5" t="s">
        <v>15</v>
      </c>
      <c r="F232" s="5">
        <v>3100.15</v>
      </c>
    </row>
    <row r="233" spans="1:6" ht="15.75" thickBot="1" x14ac:dyDescent="0.3">
      <c r="A233" s="4" t="s">
        <v>53</v>
      </c>
      <c r="B233" s="5" t="s">
        <v>7</v>
      </c>
      <c r="C233" s="5" t="s">
        <v>8</v>
      </c>
      <c r="D233" s="5" t="s">
        <v>28</v>
      </c>
      <c r="E233" s="5" t="s">
        <v>15</v>
      </c>
      <c r="F233" s="5">
        <v>2791.16</v>
      </c>
    </row>
    <row r="234" spans="1:6" ht="15.75" thickBot="1" x14ac:dyDescent="0.3">
      <c r="A234" s="4" t="s">
        <v>130</v>
      </c>
      <c r="B234" s="5" t="s">
        <v>12</v>
      </c>
      <c r="C234" s="5" t="s">
        <v>8</v>
      </c>
      <c r="D234" s="5" t="s">
        <v>14</v>
      </c>
      <c r="E234" s="5" t="s">
        <v>15</v>
      </c>
      <c r="F234" s="5">
        <v>774.95</v>
      </c>
    </row>
    <row r="235" spans="1:6" ht="15.75" thickBot="1" x14ac:dyDescent="0.3">
      <c r="A235" s="4" t="s">
        <v>29</v>
      </c>
      <c r="B235" s="5" t="s">
        <v>30</v>
      </c>
      <c r="C235" s="5" t="s">
        <v>8</v>
      </c>
      <c r="D235" s="5" t="s">
        <v>9</v>
      </c>
      <c r="E235" s="5" t="s">
        <v>15</v>
      </c>
      <c r="F235" s="5">
        <v>2907.121024</v>
      </c>
    </row>
    <row r="236" spans="1:6" ht="15.75" thickBot="1" x14ac:dyDescent="0.3">
      <c r="A236" s="4" t="s">
        <v>158</v>
      </c>
      <c r="B236" s="5" t="s">
        <v>30</v>
      </c>
      <c r="C236" s="5" t="s">
        <v>23</v>
      </c>
      <c r="D236" s="5" t="s">
        <v>9</v>
      </c>
      <c r="E236" s="5" t="s">
        <v>10</v>
      </c>
      <c r="F236" s="5">
        <v>1885.37</v>
      </c>
    </row>
    <row r="237" spans="1:6" ht="15.75" thickBot="1" x14ac:dyDescent="0.3">
      <c r="A237" s="4" t="s">
        <v>55</v>
      </c>
      <c r="B237" s="5" t="s">
        <v>12</v>
      </c>
      <c r="C237" s="5" t="s">
        <v>23</v>
      </c>
      <c r="D237" s="5" t="s">
        <v>9</v>
      </c>
      <c r="E237" s="5" t="s">
        <v>10</v>
      </c>
      <c r="F237" s="5">
        <v>3784.5787529999998</v>
      </c>
    </row>
    <row r="238" spans="1:6" ht="15.75" thickBot="1" x14ac:dyDescent="0.3">
      <c r="A238" s="4" t="s">
        <v>102</v>
      </c>
      <c r="B238" s="5" t="s">
        <v>19</v>
      </c>
      <c r="C238" s="5" t="s">
        <v>34</v>
      </c>
      <c r="D238" s="5" t="s">
        <v>28</v>
      </c>
      <c r="E238" s="5" t="s">
        <v>10</v>
      </c>
      <c r="F238" s="5">
        <v>2788.31</v>
      </c>
    </row>
    <row r="239" spans="1:6" ht="15.75" thickBot="1" x14ac:dyDescent="0.3">
      <c r="A239" s="4" t="s">
        <v>150</v>
      </c>
      <c r="B239" s="5" t="s">
        <v>30</v>
      </c>
      <c r="C239" s="5" t="s">
        <v>13</v>
      </c>
      <c r="D239" s="5" t="s">
        <v>14</v>
      </c>
      <c r="E239" s="5" t="s">
        <v>15</v>
      </c>
      <c r="F239" s="5">
        <v>3315.9</v>
      </c>
    </row>
    <row r="240" spans="1:6" ht="15.75" thickBot="1" x14ac:dyDescent="0.3">
      <c r="A240" s="4" t="s">
        <v>159</v>
      </c>
      <c r="B240" s="5" t="s">
        <v>7</v>
      </c>
      <c r="C240" s="5" t="s">
        <v>34</v>
      </c>
      <c r="D240" s="5" t="s">
        <v>28</v>
      </c>
      <c r="E240" s="5" t="s">
        <v>24</v>
      </c>
      <c r="F240" s="5">
        <v>1940.67</v>
      </c>
    </row>
    <row r="241" spans="1:6" ht="15.75" thickBot="1" x14ac:dyDescent="0.3">
      <c r="A241" s="4" t="s">
        <v>160</v>
      </c>
      <c r="B241" s="5" t="s">
        <v>30</v>
      </c>
      <c r="C241" s="5" t="s">
        <v>13</v>
      </c>
      <c r="D241" s="5" t="s">
        <v>9</v>
      </c>
      <c r="E241" s="5" t="s">
        <v>24</v>
      </c>
      <c r="F241" s="5">
        <v>4052.32</v>
      </c>
    </row>
    <row r="242" spans="1:6" ht="15.75" thickBot="1" x14ac:dyDescent="0.3">
      <c r="A242" s="4" t="s">
        <v>161</v>
      </c>
      <c r="B242" s="5" t="s">
        <v>7</v>
      </c>
      <c r="C242" s="5" t="s">
        <v>34</v>
      </c>
      <c r="D242" s="5" t="s">
        <v>9</v>
      </c>
      <c r="E242" s="5" t="s">
        <v>10</v>
      </c>
      <c r="F242" s="5">
        <v>1277.295351</v>
      </c>
    </row>
    <row r="243" spans="1:6" ht="30.75" thickBot="1" x14ac:dyDescent="0.3">
      <c r="A243" s="4" t="s">
        <v>149</v>
      </c>
      <c r="B243" s="5" t="s">
        <v>17</v>
      </c>
      <c r="C243" s="5" t="s">
        <v>13</v>
      </c>
      <c r="D243" s="5" t="s">
        <v>28</v>
      </c>
      <c r="E243" s="5" t="s">
        <v>15</v>
      </c>
      <c r="F243" s="5">
        <v>1024.25</v>
      </c>
    </row>
    <row r="244" spans="1:6" ht="15.75" thickBot="1" x14ac:dyDescent="0.3">
      <c r="A244" s="4" t="s">
        <v>64</v>
      </c>
      <c r="B244" s="5" t="s">
        <v>30</v>
      </c>
      <c r="C244" s="5" t="s">
        <v>8</v>
      </c>
      <c r="D244" s="5" t="s">
        <v>28</v>
      </c>
      <c r="E244" s="5" t="s">
        <v>10</v>
      </c>
      <c r="F244" s="5">
        <v>167.21</v>
      </c>
    </row>
    <row r="245" spans="1:6" ht="15.75" thickBot="1" x14ac:dyDescent="0.3">
      <c r="A245" s="4" t="s">
        <v>162</v>
      </c>
      <c r="B245" s="5" t="s">
        <v>30</v>
      </c>
      <c r="C245" s="5" t="s">
        <v>23</v>
      </c>
      <c r="D245" s="5" t="s">
        <v>28</v>
      </c>
      <c r="E245" s="5" t="s">
        <v>10</v>
      </c>
      <c r="F245" s="5">
        <v>996.06</v>
      </c>
    </row>
    <row r="246" spans="1:6" ht="15.75" thickBot="1" x14ac:dyDescent="0.3">
      <c r="A246" s="4" t="s">
        <v>163</v>
      </c>
      <c r="B246" s="5" t="s">
        <v>19</v>
      </c>
      <c r="C246" s="5" t="s">
        <v>34</v>
      </c>
      <c r="D246" s="5" t="s">
        <v>28</v>
      </c>
      <c r="E246" s="5" t="s">
        <v>10</v>
      </c>
      <c r="F246" s="5">
        <v>1827.8</v>
      </c>
    </row>
    <row r="247" spans="1:6" ht="15.75" thickBot="1" x14ac:dyDescent="0.3">
      <c r="A247" s="4" t="s">
        <v>29</v>
      </c>
      <c r="B247" s="5" t="s">
        <v>30</v>
      </c>
      <c r="C247" s="5" t="s">
        <v>34</v>
      </c>
      <c r="D247" s="5" t="s">
        <v>28</v>
      </c>
      <c r="E247" s="5" t="s">
        <v>24</v>
      </c>
      <c r="F247" s="5">
        <v>4065.52</v>
      </c>
    </row>
    <row r="248" spans="1:6" ht="15.75" thickBot="1" x14ac:dyDescent="0.3">
      <c r="A248" s="4" t="s">
        <v>121</v>
      </c>
      <c r="B248" s="5" t="s">
        <v>30</v>
      </c>
      <c r="C248" s="5" t="s">
        <v>23</v>
      </c>
      <c r="D248" s="5" t="s">
        <v>9</v>
      </c>
      <c r="E248" s="5" t="s">
        <v>10</v>
      </c>
      <c r="F248" s="5">
        <v>484.81994279999998</v>
      </c>
    </row>
    <row r="249" spans="1:6" ht="15.75" thickBot="1" x14ac:dyDescent="0.3">
      <c r="A249" s="4" t="s">
        <v>164</v>
      </c>
      <c r="B249" s="5" t="s">
        <v>19</v>
      </c>
      <c r="C249" s="5" t="s">
        <v>8</v>
      </c>
      <c r="D249" s="5" t="s">
        <v>9</v>
      </c>
      <c r="E249" s="5" t="s">
        <v>24</v>
      </c>
      <c r="F249" s="5">
        <v>4023.0128370000002</v>
      </c>
    </row>
    <row r="250" spans="1:6" ht="15.75" thickBot="1" x14ac:dyDescent="0.3">
      <c r="A250" s="4" t="s">
        <v>87</v>
      </c>
      <c r="B250" s="5" t="s">
        <v>12</v>
      </c>
      <c r="C250" s="5" t="s">
        <v>8</v>
      </c>
      <c r="D250" s="5" t="s">
        <v>9</v>
      </c>
      <c r="E250" s="5" t="s">
        <v>24</v>
      </c>
      <c r="F250" s="5">
        <v>895.43359580000003</v>
      </c>
    </row>
    <row r="251" spans="1:6" ht="15.75" thickBot="1" x14ac:dyDescent="0.3">
      <c r="A251" s="4" t="s">
        <v>94</v>
      </c>
      <c r="B251" s="5" t="s">
        <v>7</v>
      </c>
      <c r="C251" s="5" t="s">
        <v>23</v>
      </c>
      <c r="D251" s="5" t="s">
        <v>9</v>
      </c>
      <c r="E251" s="5" t="s">
        <v>24</v>
      </c>
      <c r="F251" s="5">
        <v>1949.1030049999999</v>
      </c>
    </row>
    <row r="252" spans="1:6" ht="15.75" thickBot="1" x14ac:dyDescent="0.3">
      <c r="A252" s="4" t="s">
        <v>29</v>
      </c>
      <c r="B252" s="5" t="s">
        <v>30</v>
      </c>
      <c r="C252" s="5" t="s">
        <v>23</v>
      </c>
      <c r="D252" s="5" t="s">
        <v>28</v>
      </c>
      <c r="E252" s="5" t="s">
        <v>24</v>
      </c>
      <c r="F252" s="5">
        <v>3777.75</v>
      </c>
    </row>
    <row r="253" spans="1:6" ht="15.75" thickBot="1" x14ac:dyDescent="0.3">
      <c r="A253" s="4" t="s">
        <v>35</v>
      </c>
      <c r="B253" s="5" t="s">
        <v>19</v>
      </c>
      <c r="C253" s="5" t="s">
        <v>13</v>
      </c>
      <c r="D253" s="5" t="s">
        <v>14</v>
      </c>
      <c r="E253" s="5" t="s">
        <v>24</v>
      </c>
      <c r="F253" s="5">
        <v>3625.63</v>
      </c>
    </row>
    <row r="254" spans="1:6" ht="15.75" thickBot="1" x14ac:dyDescent="0.3">
      <c r="A254" s="4" t="s">
        <v>18</v>
      </c>
      <c r="B254" s="5" t="s">
        <v>19</v>
      </c>
      <c r="C254" s="5" t="s">
        <v>34</v>
      </c>
      <c r="D254" s="5" t="s">
        <v>14</v>
      </c>
      <c r="E254" s="5" t="s">
        <v>24</v>
      </c>
      <c r="F254" s="5">
        <v>2991.57</v>
      </c>
    </row>
    <row r="255" spans="1:6" ht="15.75" thickBot="1" x14ac:dyDescent="0.3">
      <c r="A255" s="4" t="s">
        <v>65</v>
      </c>
      <c r="B255" s="5" t="s">
        <v>30</v>
      </c>
      <c r="C255" s="5" t="s">
        <v>8</v>
      </c>
      <c r="D255" s="5" t="s">
        <v>14</v>
      </c>
      <c r="E255" s="5" t="s">
        <v>15</v>
      </c>
      <c r="F255" s="5">
        <v>1016.04</v>
      </c>
    </row>
    <row r="256" spans="1:6" ht="30.75" thickBot="1" x14ac:dyDescent="0.3">
      <c r="A256" s="4" t="s">
        <v>156</v>
      </c>
      <c r="B256" s="5" t="s">
        <v>17</v>
      </c>
      <c r="C256" s="5" t="s">
        <v>13</v>
      </c>
      <c r="D256" s="5" t="s">
        <v>14</v>
      </c>
      <c r="E256" s="5" t="s">
        <v>24</v>
      </c>
      <c r="F256" s="5">
        <v>162.68</v>
      </c>
    </row>
    <row r="257" spans="1:6" ht="15.75" thickBot="1" x14ac:dyDescent="0.3">
      <c r="A257" s="4" t="s">
        <v>48</v>
      </c>
      <c r="B257" s="5" t="s">
        <v>19</v>
      </c>
      <c r="C257" s="5" t="s">
        <v>23</v>
      </c>
      <c r="D257" s="5" t="s">
        <v>9</v>
      </c>
      <c r="E257" s="5" t="s">
        <v>10</v>
      </c>
      <c r="F257" s="5">
        <v>2442.2862220000002</v>
      </c>
    </row>
    <row r="258" spans="1:6" ht="15.75" thickBot="1" x14ac:dyDescent="0.3">
      <c r="A258" s="4" t="s">
        <v>165</v>
      </c>
      <c r="B258" s="5" t="s">
        <v>7</v>
      </c>
      <c r="C258" s="5" t="s">
        <v>8</v>
      </c>
      <c r="D258" s="5" t="s">
        <v>14</v>
      </c>
      <c r="E258" s="5" t="s">
        <v>15</v>
      </c>
      <c r="F258" s="5">
        <v>2499.21</v>
      </c>
    </row>
    <row r="259" spans="1:6" ht="30.75" thickBot="1" x14ac:dyDescent="0.3">
      <c r="A259" s="4" t="s">
        <v>156</v>
      </c>
      <c r="B259" s="5" t="s">
        <v>17</v>
      </c>
      <c r="C259" s="5" t="s">
        <v>13</v>
      </c>
      <c r="D259" s="5" t="s">
        <v>14</v>
      </c>
      <c r="E259" s="5" t="s">
        <v>15</v>
      </c>
      <c r="F259" s="5">
        <v>880</v>
      </c>
    </row>
    <row r="260" spans="1:6" ht="15.75" thickBot="1" x14ac:dyDescent="0.3">
      <c r="A260" s="4" t="s">
        <v>166</v>
      </c>
      <c r="B260" s="5" t="s">
        <v>7</v>
      </c>
      <c r="C260" s="5" t="s">
        <v>8</v>
      </c>
      <c r="D260" s="5" t="s">
        <v>9</v>
      </c>
      <c r="E260" s="5" t="s">
        <v>24</v>
      </c>
      <c r="F260" s="5">
        <v>1240.920038</v>
      </c>
    </row>
    <row r="261" spans="1:6" ht="15.75" thickBot="1" x14ac:dyDescent="0.3">
      <c r="A261" s="4" t="s">
        <v>47</v>
      </c>
      <c r="B261" s="5" t="s">
        <v>30</v>
      </c>
      <c r="C261" s="5" t="s">
        <v>23</v>
      </c>
      <c r="D261" s="5" t="s">
        <v>14</v>
      </c>
      <c r="E261" s="5" t="s">
        <v>15</v>
      </c>
      <c r="F261" s="5">
        <v>960.86</v>
      </c>
    </row>
    <row r="262" spans="1:6" ht="30.75" thickBot="1" x14ac:dyDescent="0.3">
      <c r="A262" s="4" t="s">
        <v>20</v>
      </c>
      <c r="B262" s="5" t="s">
        <v>17</v>
      </c>
      <c r="C262" s="5" t="s">
        <v>8</v>
      </c>
      <c r="D262" s="5" t="s">
        <v>9</v>
      </c>
      <c r="E262" s="5" t="s">
        <v>15</v>
      </c>
      <c r="F262" s="5">
        <v>4165.4782670000004</v>
      </c>
    </row>
    <row r="263" spans="1:6" ht="15.75" thickBot="1" x14ac:dyDescent="0.3">
      <c r="A263" s="4" t="s">
        <v>74</v>
      </c>
      <c r="B263" s="5" t="s">
        <v>19</v>
      </c>
      <c r="C263" s="5" t="s">
        <v>23</v>
      </c>
      <c r="D263" s="5" t="s">
        <v>28</v>
      </c>
      <c r="E263" s="5" t="s">
        <v>10</v>
      </c>
      <c r="F263" s="5">
        <v>2805.55</v>
      </c>
    </row>
    <row r="264" spans="1:6" ht="15.75" thickBot="1" x14ac:dyDescent="0.3">
      <c r="A264" s="4" t="s">
        <v>163</v>
      </c>
      <c r="B264" s="5" t="s">
        <v>19</v>
      </c>
      <c r="C264" s="5" t="s">
        <v>13</v>
      </c>
      <c r="D264" s="5" t="s">
        <v>9</v>
      </c>
      <c r="E264" s="5" t="s">
        <v>24</v>
      </c>
      <c r="F264" s="5">
        <v>5115.6804760000005</v>
      </c>
    </row>
    <row r="265" spans="1:6" ht="15.75" thickBot="1" x14ac:dyDescent="0.3">
      <c r="A265" s="4" t="s">
        <v>167</v>
      </c>
      <c r="B265" s="5" t="s">
        <v>30</v>
      </c>
      <c r="C265" s="5" t="s">
        <v>34</v>
      </c>
      <c r="D265" s="5" t="s">
        <v>9</v>
      </c>
      <c r="E265" s="5" t="s">
        <v>10</v>
      </c>
      <c r="F265" s="5">
        <v>771.92290009999999</v>
      </c>
    </row>
    <row r="266" spans="1:6" ht="15.75" thickBot="1" x14ac:dyDescent="0.3">
      <c r="A266" s="4" t="s">
        <v>163</v>
      </c>
      <c r="B266" s="5" t="s">
        <v>19</v>
      </c>
      <c r="C266" s="5" t="s">
        <v>8</v>
      </c>
      <c r="D266" s="5" t="s">
        <v>28</v>
      </c>
      <c r="E266" s="5" t="s">
        <v>10</v>
      </c>
      <c r="F266" s="5">
        <v>2773.86</v>
      </c>
    </row>
    <row r="267" spans="1:6" ht="30.75" thickBot="1" x14ac:dyDescent="0.3">
      <c r="A267" s="4" t="s">
        <v>168</v>
      </c>
      <c r="B267" s="5" t="s">
        <v>17</v>
      </c>
      <c r="C267" s="5" t="s">
        <v>34</v>
      </c>
      <c r="D267" s="5" t="s">
        <v>14</v>
      </c>
      <c r="E267" s="5" t="s">
        <v>10</v>
      </c>
      <c r="F267" s="5">
        <v>3950.71</v>
      </c>
    </row>
    <row r="268" spans="1:6" ht="15.75" thickBot="1" x14ac:dyDescent="0.3">
      <c r="A268" s="4" t="s">
        <v>97</v>
      </c>
      <c r="B268" s="5" t="s">
        <v>7</v>
      </c>
      <c r="C268" s="5" t="s">
        <v>34</v>
      </c>
      <c r="D268" s="5" t="s">
        <v>28</v>
      </c>
      <c r="E268" s="5" t="s">
        <v>24</v>
      </c>
      <c r="F268" s="5">
        <v>2266.44</v>
      </c>
    </row>
    <row r="269" spans="1:6" ht="15.75" thickBot="1" x14ac:dyDescent="0.3">
      <c r="A269" s="4" t="s">
        <v>46</v>
      </c>
      <c r="B269" s="5" t="s">
        <v>30</v>
      </c>
      <c r="C269" s="5" t="s">
        <v>23</v>
      </c>
      <c r="D269" s="5" t="s">
        <v>28</v>
      </c>
      <c r="E269" s="5" t="s">
        <v>24</v>
      </c>
      <c r="F269" s="5">
        <v>4964.76</v>
      </c>
    </row>
    <row r="270" spans="1:6" ht="15.75" thickBot="1" x14ac:dyDescent="0.3">
      <c r="A270" s="4" t="s">
        <v>100</v>
      </c>
      <c r="B270" s="5" t="s">
        <v>7</v>
      </c>
      <c r="C270" s="5" t="s">
        <v>13</v>
      </c>
      <c r="D270" s="5" t="s">
        <v>14</v>
      </c>
      <c r="E270" s="5" t="s">
        <v>15</v>
      </c>
      <c r="F270" s="5">
        <v>2700.64</v>
      </c>
    </row>
    <row r="271" spans="1:6" ht="15.75" thickBot="1" x14ac:dyDescent="0.3">
      <c r="A271" s="4" t="s">
        <v>132</v>
      </c>
      <c r="B271" s="5" t="s">
        <v>19</v>
      </c>
      <c r="C271" s="5" t="s">
        <v>8</v>
      </c>
      <c r="D271" s="5" t="s">
        <v>14</v>
      </c>
      <c r="E271" s="5" t="s">
        <v>10</v>
      </c>
      <c r="F271" s="5">
        <v>4643.79</v>
      </c>
    </row>
    <row r="272" spans="1:6" ht="30.75" thickBot="1" x14ac:dyDescent="0.3">
      <c r="A272" s="4" t="s">
        <v>20</v>
      </c>
      <c r="B272" s="5" t="s">
        <v>17</v>
      </c>
      <c r="C272" s="5" t="s">
        <v>8</v>
      </c>
      <c r="D272" s="5" t="s">
        <v>9</v>
      </c>
      <c r="E272" s="5" t="s">
        <v>24</v>
      </c>
      <c r="F272" s="5">
        <v>4947.7396909999998</v>
      </c>
    </row>
    <row r="273" spans="1:6" ht="15.75" thickBot="1" x14ac:dyDescent="0.3">
      <c r="A273" s="4" t="s">
        <v>107</v>
      </c>
      <c r="B273" s="5" t="s">
        <v>30</v>
      </c>
      <c r="C273" s="5" t="s">
        <v>8</v>
      </c>
      <c r="D273" s="5" t="s">
        <v>9</v>
      </c>
      <c r="E273" s="5" t="s">
        <v>10</v>
      </c>
      <c r="F273" s="5">
        <v>2116.6523769999999</v>
      </c>
    </row>
    <row r="274" spans="1:6" ht="15.75" thickBot="1" x14ac:dyDescent="0.3">
      <c r="A274" s="4" t="s">
        <v>169</v>
      </c>
      <c r="B274" s="5" t="s">
        <v>12</v>
      </c>
      <c r="C274" s="5" t="s">
        <v>13</v>
      </c>
      <c r="D274" s="5" t="s">
        <v>14</v>
      </c>
      <c r="E274" s="5" t="s">
        <v>10</v>
      </c>
      <c r="F274" s="5">
        <v>425.91</v>
      </c>
    </row>
    <row r="275" spans="1:6" ht="15.75" thickBot="1" x14ac:dyDescent="0.3">
      <c r="A275" s="4" t="s">
        <v>170</v>
      </c>
      <c r="B275" s="5" t="s">
        <v>12</v>
      </c>
      <c r="C275" s="5" t="s">
        <v>34</v>
      </c>
      <c r="D275" s="5" t="s">
        <v>28</v>
      </c>
      <c r="E275" s="5" t="s">
        <v>10</v>
      </c>
      <c r="F275" s="5">
        <v>466.45</v>
      </c>
    </row>
    <row r="276" spans="1:6" ht="15.75" thickBot="1" x14ac:dyDescent="0.3">
      <c r="A276" s="4" t="s">
        <v>97</v>
      </c>
      <c r="B276" s="5" t="s">
        <v>7</v>
      </c>
      <c r="C276" s="5" t="s">
        <v>23</v>
      </c>
      <c r="D276" s="5" t="s">
        <v>28</v>
      </c>
      <c r="E276" s="5" t="s">
        <v>15</v>
      </c>
      <c r="F276" s="5">
        <v>1868.24</v>
      </c>
    </row>
    <row r="277" spans="1:6" ht="30.75" thickBot="1" x14ac:dyDescent="0.3">
      <c r="A277" s="4" t="s">
        <v>156</v>
      </c>
      <c r="B277" s="5" t="s">
        <v>17</v>
      </c>
      <c r="C277" s="5" t="s">
        <v>13</v>
      </c>
      <c r="D277" s="5" t="s">
        <v>9</v>
      </c>
      <c r="E277" s="5" t="s">
        <v>10</v>
      </c>
      <c r="F277" s="5">
        <v>3497.3453829999999</v>
      </c>
    </row>
    <row r="278" spans="1:6" ht="15.75" thickBot="1" x14ac:dyDescent="0.3">
      <c r="A278" s="4" t="s">
        <v>25</v>
      </c>
      <c r="B278" s="5" t="s">
        <v>19</v>
      </c>
      <c r="C278" s="5" t="s">
        <v>8</v>
      </c>
      <c r="D278" s="5" t="s">
        <v>14</v>
      </c>
      <c r="E278" s="5" t="s">
        <v>15</v>
      </c>
      <c r="F278" s="5">
        <v>3774.06</v>
      </c>
    </row>
    <row r="279" spans="1:6" ht="30.75" thickBot="1" x14ac:dyDescent="0.3">
      <c r="A279" s="4" t="s">
        <v>129</v>
      </c>
      <c r="B279" s="5" t="s">
        <v>17</v>
      </c>
      <c r="C279" s="5" t="s">
        <v>8</v>
      </c>
      <c r="D279" s="5" t="s">
        <v>28</v>
      </c>
      <c r="E279" s="5" t="s">
        <v>24</v>
      </c>
      <c r="F279" s="5">
        <v>518.79999999999995</v>
      </c>
    </row>
    <row r="280" spans="1:6" ht="30.75" thickBot="1" x14ac:dyDescent="0.3">
      <c r="A280" s="4" t="s">
        <v>171</v>
      </c>
      <c r="B280" s="5" t="s">
        <v>17</v>
      </c>
      <c r="C280" s="5" t="s">
        <v>8</v>
      </c>
      <c r="D280" s="5" t="s">
        <v>28</v>
      </c>
      <c r="E280" s="5" t="s">
        <v>15</v>
      </c>
      <c r="F280" s="5">
        <v>2317.02</v>
      </c>
    </row>
    <row r="281" spans="1:6" ht="15.75" thickBot="1" x14ac:dyDescent="0.3">
      <c r="A281" s="4" t="s">
        <v>172</v>
      </c>
      <c r="B281" s="5" t="s">
        <v>7</v>
      </c>
      <c r="C281" s="5" t="s">
        <v>8</v>
      </c>
      <c r="D281" s="5" t="s">
        <v>14</v>
      </c>
      <c r="E281" s="5" t="s">
        <v>24</v>
      </c>
      <c r="F281" s="5">
        <v>3340.8</v>
      </c>
    </row>
    <row r="282" spans="1:6" ht="15.75" thickBot="1" x14ac:dyDescent="0.3">
      <c r="A282" s="4" t="s">
        <v>173</v>
      </c>
      <c r="B282" s="5" t="s">
        <v>30</v>
      </c>
      <c r="C282" s="5" t="s">
        <v>13</v>
      </c>
      <c r="D282" s="5" t="s">
        <v>28</v>
      </c>
      <c r="E282" s="5" t="s">
        <v>15</v>
      </c>
      <c r="F282" s="5">
        <v>3888.93</v>
      </c>
    </row>
    <row r="283" spans="1:6" ht="15.75" thickBot="1" x14ac:dyDescent="0.3">
      <c r="A283" s="4" t="s">
        <v>47</v>
      </c>
      <c r="B283" s="5" t="s">
        <v>30</v>
      </c>
      <c r="C283" s="5" t="s">
        <v>23</v>
      </c>
      <c r="D283" s="5" t="s">
        <v>9</v>
      </c>
      <c r="E283" s="5" t="s">
        <v>24</v>
      </c>
      <c r="F283" s="5">
        <v>4696.2290000000003</v>
      </c>
    </row>
    <row r="284" spans="1:6" ht="15.75" thickBot="1" x14ac:dyDescent="0.3">
      <c r="A284" s="4" t="s">
        <v>44</v>
      </c>
      <c r="B284" s="5" t="s">
        <v>19</v>
      </c>
      <c r="C284" s="5" t="s">
        <v>23</v>
      </c>
      <c r="D284" s="5" t="s">
        <v>28</v>
      </c>
      <c r="E284" s="5" t="s">
        <v>15</v>
      </c>
      <c r="F284" s="5">
        <v>149.05000000000001</v>
      </c>
    </row>
    <row r="285" spans="1:6" ht="15.75" thickBot="1" x14ac:dyDescent="0.3">
      <c r="A285" s="4" t="s">
        <v>77</v>
      </c>
      <c r="B285" s="5" t="s">
        <v>30</v>
      </c>
      <c r="C285" s="5" t="s">
        <v>13</v>
      </c>
      <c r="D285" s="5" t="s">
        <v>9</v>
      </c>
      <c r="E285" s="5" t="s">
        <v>24</v>
      </c>
      <c r="F285" s="5">
        <v>3665.9483260000002</v>
      </c>
    </row>
    <row r="286" spans="1:6" ht="15.75" thickBot="1" x14ac:dyDescent="0.3">
      <c r="A286" s="4" t="s">
        <v>49</v>
      </c>
      <c r="B286" s="5" t="s">
        <v>19</v>
      </c>
      <c r="C286" s="5" t="s">
        <v>13</v>
      </c>
      <c r="D286" s="5" t="s">
        <v>14</v>
      </c>
      <c r="E286" s="5" t="s">
        <v>10</v>
      </c>
      <c r="F286" s="5">
        <v>4101.93</v>
      </c>
    </row>
    <row r="287" spans="1:6" ht="15.75" thickBot="1" x14ac:dyDescent="0.3">
      <c r="A287" s="4" t="s">
        <v>123</v>
      </c>
      <c r="B287" s="5" t="s">
        <v>30</v>
      </c>
      <c r="C287" s="5" t="s">
        <v>34</v>
      </c>
      <c r="D287" s="5" t="s">
        <v>14</v>
      </c>
      <c r="E287" s="5" t="s">
        <v>24</v>
      </c>
      <c r="F287" s="5">
        <v>2897.14</v>
      </c>
    </row>
    <row r="288" spans="1:6" ht="15.75" thickBot="1" x14ac:dyDescent="0.3">
      <c r="A288" s="4" t="s">
        <v>63</v>
      </c>
      <c r="B288" s="5" t="s">
        <v>12</v>
      </c>
      <c r="C288" s="5" t="s">
        <v>34</v>
      </c>
      <c r="D288" s="5" t="s">
        <v>14</v>
      </c>
      <c r="E288" s="5" t="s">
        <v>15</v>
      </c>
      <c r="F288" s="5">
        <v>828.73</v>
      </c>
    </row>
    <row r="289" spans="1:6" ht="15.75" thickBot="1" x14ac:dyDescent="0.3">
      <c r="A289" s="4" t="s">
        <v>122</v>
      </c>
      <c r="B289" s="5" t="s">
        <v>19</v>
      </c>
      <c r="C289" s="5" t="s">
        <v>34</v>
      </c>
      <c r="D289" s="5" t="s">
        <v>28</v>
      </c>
      <c r="E289" s="5" t="s">
        <v>15</v>
      </c>
      <c r="F289" s="5">
        <v>3155.64</v>
      </c>
    </row>
    <row r="290" spans="1:6" ht="15.75" thickBot="1" x14ac:dyDescent="0.3">
      <c r="A290" s="4" t="s">
        <v>48</v>
      </c>
      <c r="B290" s="5" t="s">
        <v>19</v>
      </c>
      <c r="C290" s="5" t="s">
        <v>34</v>
      </c>
      <c r="D290" s="5" t="s">
        <v>14</v>
      </c>
      <c r="E290" s="5" t="s">
        <v>15</v>
      </c>
      <c r="F290" s="5">
        <v>3573.8</v>
      </c>
    </row>
    <row r="291" spans="1:6" ht="15.75" thickBot="1" x14ac:dyDescent="0.3">
      <c r="A291" s="4" t="s">
        <v>145</v>
      </c>
      <c r="B291" s="5" t="s">
        <v>7</v>
      </c>
      <c r="C291" s="5" t="s">
        <v>8</v>
      </c>
      <c r="D291" s="5" t="s">
        <v>28</v>
      </c>
      <c r="E291" s="5" t="s">
        <v>24</v>
      </c>
      <c r="F291" s="5">
        <v>4315.67</v>
      </c>
    </row>
    <row r="292" spans="1:6" ht="15.75" thickBot="1" x14ac:dyDescent="0.3">
      <c r="A292" s="4" t="s">
        <v>48</v>
      </c>
      <c r="B292" s="5" t="s">
        <v>19</v>
      </c>
      <c r="C292" s="5" t="s">
        <v>13</v>
      </c>
      <c r="D292" s="5" t="s">
        <v>14</v>
      </c>
      <c r="E292" s="5" t="s">
        <v>10</v>
      </c>
      <c r="F292" s="5">
        <v>265.31</v>
      </c>
    </row>
    <row r="293" spans="1:6" ht="15.75" thickBot="1" x14ac:dyDescent="0.3">
      <c r="A293" s="4" t="s">
        <v>40</v>
      </c>
      <c r="B293" s="5" t="s">
        <v>19</v>
      </c>
      <c r="C293" s="5" t="s">
        <v>8</v>
      </c>
      <c r="D293" s="5" t="s">
        <v>28</v>
      </c>
      <c r="E293" s="5" t="s">
        <v>24</v>
      </c>
      <c r="F293" s="5">
        <v>392.52</v>
      </c>
    </row>
    <row r="294" spans="1:6" ht="15.75" thickBot="1" x14ac:dyDescent="0.3">
      <c r="A294" s="4" t="s">
        <v>139</v>
      </c>
      <c r="B294" s="5" t="s">
        <v>7</v>
      </c>
      <c r="C294" s="5" t="s">
        <v>23</v>
      </c>
      <c r="D294" s="5" t="s">
        <v>28</v>
      </c>
      <c r="E294" s="5" t="s">
        <v>24</v>
      </c>
      <c r="F294" s="5">
        <v>3807.44</v>
      </c>
    </row>
    <row r="295" spans="1:6" ht="15.75" thickBot="1" x14ac:dyDescent="0.3">
      <c r="A295" s="4" t="s">
        <v>90</v>
      </c>
      <c r="B295" s="5" t="s">
        <v>19</v>
      </c>
      <c r="C295" s="5" t="s">
        <v>8</v>
      </c>
      <c r="D295" s="5" t="s">
        <v>9</v>
      </c>
      <c r="E295" s="5" t="s">
        <v>24</v>
      </c>
      <c r="F295" s="5">
        <v>3118.1759889999998</v>
      </c>
    </row>
    <row r="296" spans="1:6" ht="15.75" thickBot="1" x14ac:dyDescent="0.3">
      <c r="A296" s="4" t="s">
        <v>174</v>
      </c>
      <c r="B296" s="5" t="s">
        <v>19</v>
      </c>
      <c r="C296" s="5" t="s">
        <v>34</v>
      </c>
      <c r="D296" s="5" t="s">
        <v>14</v>
      </c>
      <c r="E296" s="5" t="s">
        <v>24</v>
      </c>
      <c r="F296" s="5">
        <v>1947.59</v>
      </c>
    </row>
    <row r="297" spans="1:6" ht="15.75" thickBot="1" x14ac:dyDescent="0.3">
      <c r="A297" s="4" t="s">
        <v>175</v>
      </c>
      <c r="B297" s="5" t="s">
        <v>7</v>
      </c>
      <c r="C297" s="5" t="s">
        <v>8</v>
      </c>
      <c r="D297" s="5" t="s">
        <v>28</v>
      </c>
      <c r="E297" s="5" t="s">
        <v>24</v>
      </c>
      <c r="F297" s="5">
        <v>4464.43</v>
      </c>
    </row>
    <row r="298" spans="1:6" ht="15.75" thickBot="1" x14ac:dyDescent="0.3">
      <c r="A298" s="4" t="s">
        <v>176</v>
      </c>
      <c r="B298" s="5" t="s">
        <v>19</v>
      </c>
      <c r="C298" s="5" t="s">
        <v>13</v>
      </c>
      <c r="D298" s="5" t="s">
        <v>14</v>
      </c>
      <c r="E298" s="5" t="s">
        <v>10</v>
      </c>
      <c r="F298" s="5">
        <v>2252.36</v>
      </c>
    </row>
    <row r="299" spans="1:6" ht="15.75" thickBot="1" x14ac:dyDescent="0.3">
      <c r="A299" s="4" t="s">
        <v>64</v>
      </c>
      <c r="B299" s="5" t="s">
        <v>30</v>
      </c>
      <c r="C299" s="5" t="s">
        <v>8</v>
      </c>
      <c r="D299" s="5" t="s">
        <v>9</v>
      </c>
      <c r="E299" s="5" t="s">
        <v>15</v>
      </c>
      <c r="F299" s="5">
        <v>2203.84</v>
      </c>
    </row>
    <row r="300" spans="1:6" ht="15.75" thickBot="1" x14ac:dyDescent="0.3">
      <c r="A300" s="4" t="s">
        <v>71</v>
      </c>
      <c r="B300" s="5" t="s">
        <v>7</v>
      </c>
      <c r="C300" s="5" t="s">
        <v>34</v>
      </c>
      <c r="D300" s="5" t="s">
        <v>14</v>
      </c>
      <c r="E300" s="5" t="s">
        <v>15</v>
      </c>
      <c r="F300" s="5">
        <v>673.38</v>
      </c>
    </row>
    <row r="301" spans="1:6" ht="15.75" thickBot="1" x14ac:dyDescent="0.3">
      <c r="A301" s="4" t="s">
        <v>153</v>
      </c>
      <c r="B301" s="5" t="s">
        <v>7</v>
      </c>
      <c r="C301" s="5" t="s">
        <v>23</v>
      </c>
      <c r="D301" s="5" t="s">
        <v>28</v>
      </c>
      <c r="E301" s="5" t="s">
        <v>10</v>
      </c>
      <c r="F301" s="5">
        <v>3879.17</v>
      </c>
    </row>
    <row r="302" spans="1:6" ht="15.75" thickBot="1" x14ac:dyDescent="0.3">
      <c r="A302" s="4" t="s">
        <v>150</v>
      </c>
      <c r="B302" s="5" t="s">
        <v>30</v>
      </c>
      <c r="C302" s="5" t="s">
        <v>8</v>
      </c>
      <c r="D302" s="5" t="s">
        <v>28</v>
      </c>
      <c r="E302" s="5" t="s">
        <v>15</v>
      </c>
      <c r="F302" s="5">
        <v>404.42</v>
      </c>
    </row>
    <row r="303" spans="1:6" ht="30.75" thickBot="1" x14ac:dyDescent="0.3">
      <c r="A303" s="4" t="s">
        <v>82</v>
      </c>
      <c r="B303" s="5" t="s">
        <v>17</v>
      </c>
      <c r="C303" s="5" t="s">
        <v>23</v>
      </c>
      <c r="D303" s="5" t="s">
        <v>9</v>
      </c>
      <c r="E303" s="5" t="s">
        <v>24</v>
      </c>
      <c r="F303" s="5">
        <v>3415.97</v>
      </c>
    </row>
    <row r="304" spans="1:6" ht="15.75" thickBot="1" x14ac:dyDescent="0.3">
      <c r="A304" s="4" t="s">
        <v>124</v>
      </c>
      <c r="B304" s="5" t="s">
        <v>12</v>
      </c>
      <c r="C304" s="5" t="s">
        <v>23</v>
      </c>
      <c r="D304" s="5" t="s">
        <v>9</v>
      </c>
      <c r="E304" s="5" t="s">
        <v>10</v>
      </c>
      <c r="F304" s="5">
        <v>3091.3923770000001</v>
      </c>
    </row>
    <row r="305" spans="1:6" ht="15.75" thickBot="1" x14ac:dyDescent="0.3">
      <c r="A305" s="4" t="s">
        <v>66</v>
      </c>
      <c r="B305" s="5" t="s">
        <v>30</v>
      </c>
      <c r="C305" s="5" t="s">
        <v>23</v>
      </c>
      <c r="D305" s="5" t="s">
        <v>28</v>
      </c>
      <c r="E305" s="5" t="s">
        <v>24</v>
      </c>
      <c r="F305" s="5">
        <v>3216.77</v>
      </c>
    </row>
    <row r="306" spans="1:6" ht="15.75" thickBot="1" x14ac:dyDescent="0.3">
      <c r="A306" s="4" t="s">
        <v>40</v>
      </c>
      <c r="B306" s="5" t="s">
        <v>19</v>
      </c>
      <c r="C306" s="5" t="s">
        <v>8</v>
      </c>
      <c r="D306" s="5" t="s">
        <v>9</v>
      </c>
      <c r="E306" s="5" t="s">
        <v>10</v>
      </c>
      <c r="F306" s="5">
        <v>2200.2044230000001</v>
      </c>
    </row>
    <row r="307" spans="1:6" ht="15.75" thickBot="1" x14ac:dyDescent="0.3">
      <c r="A307" s="4" t="s">
        <v>72</v>
      </c>
      <c r="B307" s="5" t="s">
        <v>19</v>
      </c>
      <c r="C307" s="5" t="s">
        <v>8</v>
      </c>
      <c r="D307" s="5" t="s">
        <v>14</v>
      </c>
      <c r="E307" s="5" t="s">
        <v>15</v>
      </c>
      <c r="F307" s="5">
        <v>4874.88</v>
      </c>
    </row>
    <row r="308" spans="1:6" ht="15.75" thickBot="1" x14ac:dyDescent="0.3">
      <c r="A308" s="4" t="s">
        <v>63</v>
      </c>
      <c r="B308" s="5" t="s">
        <v>12</v>
      </c>
      <c r="C308" s="5" t="s">
        <v>34</v>
      </c>
      <c r="D308" s="5" t="s">
        <v>14</v>
      </c>
      <c r="E308" s="5" t="s">
        <v>24</v>
      </c>
      <c r="F308" s="5">
        <v>3104.55</v>
      </c>
    </row>
    <row r="309" spans="1:6" ht="15.75" thickBot="1" x14ac:dyDescent="0.3">
      <c r="A309" s="4" t="s">
        <v>62</v>
      </c>
      <c r="B309" s="5" t="s">
        <v>30</v>
      </c>
      <c r="C309" s="5" t="s">
        <v>8</v>
      </c>
      <c r="D309" s="5" t="s">
        <v>9</v>
      </c>
      <c r="E309" s="5" t="s">
        <v>24</v>
      </c>
      <c r="F309" s="5">
        <v>3500.3246159999999</v>
      </c>
    </row>
    <row r="310" spans="1:6" ht="15.75" thickBot="1" x14ac:dyDescent="0.3">
      <c r="A310" s="4" t="s">
        <v>153</v>
      </c>
      <c r="B310" s="5" t="s">
        <v>7</v>
      </c>
      <c r="C310" s="5" t="s">
        <v>23</v>
      </c>
      <c r="D310" s="5" t="s">
        <v>9</v>
      </c>
      <c r="E310" s="5" t="s">
        <v>10</v>
      </c>
      <c r="F310" s="5">
        <v>3041.1635329999999</v>
      </c>
    </row>
    <row r="311" spans="1:6" ht="15.75" thickBot="1" x14ac:dyDescent="0.3">
      <c r="A311" s="4" t="s">
        <v>177</v>
      </c>
      <c r="B311" s="5" t="s">
        <v>7</v>
      </c>
      <c r="C311" s="5" t="s">
        <v>8</v>
      </c>
      <c r="D311" s="5" t="s">
        <v>9</v>
      </c>
      <c r="E311" s="5" t="s">
        <v>10</v>
      </c>
      <c r="F311" s="5">
        <v>4584.1555330000001</v>
      </c>
    </row>
    <row r="312" spans="1:6" ht="15.75" thickBot="1" x14ac:dyDescent="0.3">
      <c r="A312" s="4" t="s">
        <v>139</v>
      </c>
      <c r="B312" s="5" t="s">
        <v>7</v>
      </c>
      <c r="C312" s="5" t="s">
        <v>34</v>
      </c>
      <c r="D312" s="5" t="s">
        <v>9</v>
      </c>
      <c r="E312" s="5" t="s">
        <v>10</v>
      </c>
      <c r="F312" s="5">
        <v>3894.0086139999999</v>
      </c>
    </row>
    <row r="313" spans="1:6" ht="15.75" thickBot="1" x14ac:dyDescent="0.3">
      <c r="A313" s="4" t="s">
        <v>62</v>
      </c>
      <c r="B313" s="5" t="s">
        <v>30</v>
      </c>
      <c r="C313" s="5" t="s">
        <v>13</v>
      </c>
      <c r="D313" s="5" t="s">
        <v>14</v>
      </c>
      <c r="E313" s="5" t="s">
        <v>10</v>
      </c>
      <c r="F313" s="5">
        <v>1782.56</v>
      </c>
    </row>
    <row r="314" spans="1:6" ht="15.75" thickBot="1" x14ac:dyDescent="0.3">
      <c r="A314" s="4" t="s">
        <v>29</v>
      </c>
      <c r="B314" s="5" t="s">
        <v>30</v>
      </c>
      <c r="C314" s="5" t="s">
        <v>34</v>
      </c>
      <c r="D314" s="5" t="s">
        <v>28</v>
      </c>
      <c r="E314" s="5" t="s">
        <v>10</v>
      </c>
      <c r="F314" s="5">
        <v>4386.96</v>
      </c>
    </row>
    <row r="315" spans="1:6" ht="15.75" thickBot="1" x14ac:dyDescent="0.3">
      <c r="A315" s="4" t="s">
        <v>113</v>
      </c>
      <c r="B315" s="5" t="s">
        <v>30</v>
      </c>
      <c r="C315" s="5" t="s">
        <v>8</v>
      </c>
      <c r="D315" s="5" t="s">
        <v>28</v>
      </c>
      <c r="E315" s="5" t="s">
        <v>24</v>
      </c>
      <c r="F315" s="5">
        <v>644.96</v>
      </c>
    </row>
    <row r="316" spans="1:6" ht="15.75" thickBot="1" x14ac:dyDescent="0.3">
      <c r="A316" s="4" t="s">
        <v>178</v>
      </c>
      <c r="B316" s="5" t="s">
        <v>30</v>
      </c>
      <c r="C316" s="5" t="s">
        <v>34</v>
      </c>
      <c r="D316" s="5" t="s">
        <v>14</v>
      </c>
      <c r="E316" s="5" t="s">
        <v>10</v>
      </c>
      <c r="F316" s="5">
        <v>1942.26</v>
      </c>
    </row>
    <row r="317" spans="1:6" ht="15.75" thickBot="1" x14ac:dyDescent="0.3">
      <c r="A317" s="4" t="s">
        <v>81</v>
      </c>
      <c r="B317" s="5" t="s">
        <v>12</v>
      </c>
      <c r="C317" s="5" t="s">
        <v>34</v>
      </c>
      <c r="D317" s="5" t="s">
        <v>28</v>
      </c>
      <c r="E317" s="5" t="s">
        <v>10</v>
      </c>
      <c r="F317" s="5">
        <v>1990.87</v>
      </c>
    </row>
    <row r="318" spans="1:6" ht="15.75" thickBot="1" x14ac:dyDescent="0.3">
      <c r="A318" s="4" t="s">
        <v>71</v>
      </c>
      <c r="B318" s="5" t="s">
        <v>7</v>
      </c>
      <c r="C318" s="5" t="s">
        <v>23</v>
      </c>
      <c r="D318" s="5" t="s">
        <v>14</v>
      </c>
      <c r="E318" s="5" t="s">
        <v>15</v>
      </c>
      <c r="F318" s="5">
        <v>3260.58</v>
      </c>
    </row>
    <row r="319" spans="1:6" ht="15.75" thickBot="1" x14ac:dyDescent="0.3">
      <c r="A319" s="4" t="s">
        <v>50</v>
      </c>
      <c r="B319" s="5" t="s">
        <v>19</v>
      </c>
      <c r="C319" s="5" t="s">
        <v>34</v>
      </c>
      <c r="D319" s="5" t="s">
        <v>14</v>
      </c>
      <c r="E319" s="5" t="s">
        <v>10</v>
      </c>
      <c r="F319" s="5">
        <v>1079.0999999999999</v>
      </c>
    </row>
    <row r="320" spans="1:6" ht="15.75" thickBot="1" x14ac:dyDescent="0.3">
      <c r="A320" s="4" t="s">
        <v>95</v>
      </c>
      <c r="B320" s="5" t="s">
        <v>30</v>
      </c>
      <c r="C320" s="5" t="s">
        <v>23</v>
      </c>
      <c r="D320" s="5" t="s">
        <v>28</v>
      </c>
      <c r="E320" s="5" t="s">
        <v>15</v>
      </c>
      <c r="F320" s="5">
        <v>2675.56</v>
      </c>
    </row>
    <row r="321" spans="1:6" ht="15.75" thickBot="1" x14ac:dyDescent="0.3">
      <c r="A321" s="4" t="s">
        <v>11</v>
      </c>
      <c r="B321" s="5" t="s">
        <v>12</v>
      </c>
      <c r="C321" s="5" t="s">
        <v>13</v>
      </c>
      <c r="D321" s="5" t="s">
        <v>28</v>
      </c>
      <c r="E321" s="5" t="s">
        <v>15</v>
      </c>
      <c r="F321" s="5">
        <v>1583.52</v>
      </c>
    </row>
    <row r="322" spans="1:6" ht="15.75" thickBot="1" x14ac:dyDescent="0.3">
      <c r="A322" s="4" t="s">
        <v>179</v>
      </c>
      <c r="B322" s="5" t="s">
        <v>7</v>
      </c>
      <c r="C322" s="5" t="s">
        <v>23</v>
      </c>
      <c r="D322" s="5" t="s">
        <v>28</v>
      </c>
      <c r="E322" s="5" t="s">
        <v>15</v>
      </c>
      <c r="F322" s="5">
        <v>4798.47</v>
      </c>
    </row>
    <row r="323" spans="1:6" ht="30.75" thickBot="1" x14ac:dyDescent="0.3">
      <c r="A323" s="4" t="s">
        <v>148</v>
      </c>
      <c r="B323" s="5" t="s">
        <v>17</v>
      </c>
      <c r="C323" s="5" t="s">
        <v>13</v>
      </c>
      <c r="D323" s="5" t="s">
        <v>28</v>
      </c>
      <c r="E323" s="5" t="s">
        <v>24</v>
      </c>
      <c r="F323" s="5">
        <v>856.9</v>
      </c>
    </row>
    <row r="324" spans="1:6" ht="15.75" thickBot="1" x14ac:dyDescent="0.3">
      <c r="A324" s="4" t="s">
        <v>44</v>
      </c>
      <c r="B324" s="5" t="s">
        <v>19</v>
      </c>
      <c r="C324" s="5" t="s">
        <v>8</v>
      </c>
      <c r="D324" s="5" t="s">
        <v>9</v>
      </c>
      <c r="E324" s="5" t="s">
        <v>10</v>
      </c>
      <c r="F324" s="5">
        <v>1158.628164</v>
      </c>
    </row>
    <row r="325" spans="1:6" ht="15.75" thickBot="1" x14ac:dyDescent="0.3">
      <c r="A325" s="4" t="s">
        <v>164</v>
      </c>
      <c r="B325" s="5" t="s">
        <v>19</v>
      </c>
      <c r="C325" s="5" t="s">
        <v>8</v>
      </c>
      <c r="D325" s="5" t="s">
        <v>9</v>
      </c>
      <c r="E325" s="5" t="s">
        <v>15</v>
      </c>
      <c r="F325" s="5">
        <v>5208.6131420000002</v>
      </c>
    </row>
    <row r="326" spans="1:6" ht="15.75" thickBot="1" x14ac:dyDescent="0.3">
      <c r="A326" s="4" t="s">
        <v>180</v>
      </c>
      <c r="B326" s="5" t="s">
        <v>30</v>
      </c>
      <c r="C326" s="5" t="s">
        <v>8</v>
      </c>
      <c r="D326" s="5" t="s">
        <v>28</v>
      </c>
      <c r="E326" s="5" t="s">
        <v>15</v>
      </c>
      <c r="F326" s="5">
        <v>4745.3</v>
      </c>
    </row>
    <row r="327" spans="1:6" ht="15.75" thickBot="1" x14ac:dyDescent="0.3">
      <c r="A327" s="4" t="s">
        <v>181</v>
      </c>
      <c r="B327" s="5" t="s">
        <v>30</v>
      </c>
      <c r="C327" s="5" t="s">
        <v>34</v>
      </c>
      <c r="D327" s="5" t="s">
        <v>9</v>
      </c>
      <c r="E327" s="5" t="s">
        <v>10</v>
      </c>
      <c r="F327" s="5">
        <v>693.43404539999995</v>
      </c>
    </row>
    <row r="328" spans="1:6" ht="15.75" thickBot="1" x14ac:dyDescent="0.3">
      <c r="A328" s="4" t="s">
        <v>151</v>
      </c>
      <c r="B328" s="5" t="s">
        <v>12</v>
      </c>
      <c r="C328" s="5" t="s">
        <v>8</v>
      </c>
      <c r="D328" s="5" t="s">
        <v>14</v>
      </c>
      <c r="E328" s="5" t="s">
        <v>15</v>
      </c>
      <c r="F328" s="5">
        <v>3285.65</v>
      </c>
    </row>
    <row r="329" spans="1:6" ht="15.75" thickBot="1" x14ac:dyDescent="0.3">
      <c r="A329" s="4" t="s">
        <v>86</v>
      </c>
      <c r="B329" s="5" t="s">
        <v>19</v>
      </c>
      <c r="C329" s="5" t="s">
        <v>34</v>
      </c>
      <c r="D329" s="5" t="s">
        <v>28</v>
      </c>
      <c r="E329" s="5" t="s">
        <v>24</v>
      </c>
      <c r="F329" s="5">
        <v>2731.22</v>
      </c>
    </row>
    <row r="330" spans="1:6" ht="15.75" thickBot="1" x14ac:dyDescent="0.3">
      <c r="A330" s="4" t="s">
        <v>96</v>
      </c>
      <c r="B330" s="5" t="s">
        <v>19</v>
      </c>
      <c r="C330" s="5" t="s">
        <v>8</v>
      </c>
      <c r="D330" s="5" t="s">
        <v>9</v>
      </c>
      <c r="E330" s="5" t="s">
        <v>10</v>
      </c>
      <c r="F330" s="5">
        <v>2767.5414519999999</v>
      </c>
    </row>
    <row r="331" spans="1:6" ht="15.75" thickBot="1" x14ac:dyDescent="0.3">
      <c r="A331" s="4" t="s">
        <v>182</v>
      </c>
      <c r="B331" s="5" t="s">
        <v>12</v>
      </c>
      <c r="C331" s="5" t="s">
        <v>13</v>
      </c>
      <c r="D331" s="5" t="s">
        <v>28</v>
      </c>
      <c r="E331" s="5" t="s">
        <v>24</v>
      </c>
      <c r="F331" s="5">
        <v>1719.12</v>
      </c>
    </row>
    <row r="332" spans="1:6" ht="15.75" thickBot="1" x14ac:dyDescent="0.3">
      <c r="A332" s="4" t="s">
        <v>45</v>
      </c>
      <c r="B332" s="5" t="s">
        <v>7</v>
      </c>
      <c r="C332" s="5" t="s">
        <v>34</v>
      </c>
      <c r="D332" s="5" t="s">
        <v>14</v>
      </c>
      <c r="E332" s="5" t="s">
        <v>24</v>
      </c>
      <c r="F332" s="5">
        <v>2475.83</v>
      </c>
    </row>
    <row r="333" spans="1:6" ht="15.75" thickBot="1" x14ac:dyDescent="0.3">
      <c r="A333" s="4" t="s">
        <v>146</v>
      </c>
      <c r="B333" s="5" t="s">
        <v>7</v>
      </c>
      <c r="C333" s="5" t="s">
        <v>13</v>
      </c>
      <c r="D333" s="5" t="s">
        <v>9</v>
      </c>
      <c r="E333" s="5" t="s">
        <v>10</v>
      </c>
      <c r="F333" s="5">
        <v>891.04242390000002</v>
      </c>
    </row>
    <row r="334" spans="1:6" ht="15.75" thickBot="1" x14ac:dyDescent="0.3">
      <c r="A334" s="4" t="s">
        <v>183</v>
      </c>
      <c r="B334" s="5" t="s">
        <v>7</v>
      </c>
      <c r="C334" s="5" t="s">
        <v>34</v>
      </c>
      <c r="D334" s="5" t="s">
        <v>14</v>
      </c>
      <c r="E334" s="5" t="s">
        <v>10</v>
      </c>
      <c r="F334" s="5">
        <v>4421.93</v>
      </c>
    </row>
    <row r="335" spans="1:6" ht="15.75" thickBot="1" x14ac:dyDescent="0.3">
      <c r="A335" s="4" t="s">
        <v>46</v>
      </c>
      <c r="B335" s="5" t="s">
        <v>30</v>
      </c>
      <c r="C335" s="5" t="s">
        <v>23</v>
      </c>
      <c r="D335" s="5" t="s">
        <v>14</v>
      </c>
      <c r="E335" s="5" t="s">
        <v>10</v>
      </c>
      <c r="F335" s="5">
        <v>3545.18</v>
      </c>
    </row>
    <row r="336" spans="1:6" ht="15.75" thickBot="1" x14ac:dyDescent="0.3">
      <c r="A336" s="4" t="s">
        <v>120</v>
      </c>
      <c r="B336" s="5" t="s">
        <v>30</v>
      </c>
      <c r="C336" s="5" t="s">
        <v>34</v>
      </c>
      <c r="D336" s="5" t="s">
        <v>14</v>
      </c>
      <c r="E336" s="5" t="s">
        <v>15</v>
      </c>
      <c r="F336" s="5">
        <v>3073.82</v>
      </c>
    </row>
    <row r="337" spans="1:6" ht="15.75" thickBot="1" x14ac:dyDescent="0.3">
      <c r="A337" s="4" t="s">
        <v>146</v>
      </c>
      <c r="B337" s="5" t="s">
        <v>7</v>
      </c>
      <c r="C337" s="5" t="s">
        <v>13</v>
      </c>
      <c r="D337" s="5" t="s">
        <v>28</v>
      </c>
      <c r="E337" s="5" t="s">
        <v>15</v>
      </c>
      <c r="F337" s="5">
        <v>1458.83</v>
      </c>
    </row>
    <row r="338" spans="1:6" ht="15.75" thickBot="1" x14ac:dyDescent="0.3">
      <c r="A338" s="4" t="s">
        <v>184</v>
      </c>
      <c r="B338" s="5" t="s">
        <v>30</v>
      </c>
      <c r="C338" s="5" t="s">
        <v>8</v>
      </c>
      <c r="D338" s="5" t="s">
        <v>28</v>
      </c>
      <c r="E338" s="5" t="s">
        <v>24</v>
      </c>
      <c r="F338" s="5">
        <v>3457.1</v>
      </c>
    </row>
    <row r="339" spans="1:6" ht="15.75" thickBot="1" x14ac:dyDescent="0.3">
      <c r="A339" s="4" t="s">
        <v>52</v>
      </c>
      <c r="B339" s="5" t="s">
        <v>19</v>
      </c>
      <c r="C339" s="5" t="s">
        <v>8</v>
      </c>
      <c r="D339" s="5" t="s">
        <v>9</v>
      </c>
      <c r="E339" s="5" t="s">
        <v>15</v>
      </c>
      <c r="F339" s="5">
        <v>1857.3661520000001</v>
      </c>
    </row>
    <row r="340" spans="1:6" ht="15.75" thickBot="1" x14ac:dyDescent="0.3">
      <c r="A340" s="4" t="s">
        <v>63</v>
      </c>
      <c r="B340" s="5" t="s">
        <v>12</v>
      </c>
      <c r="C340" s="5" t="s">
        <v>34</v>
      </c>
      <c r="D340" s="5" t="s">
        <v>9</v>
      </c>
      <c r="E340" s="5" t="s">
        <v>10</v>
      </c>
      <c r="F340" s="5">
        <v>877.72838560000002</v>
      </c>
    </row>
    <row r="341" spans="1:6" ht="15.75" thickBot="1" x14ac:dyDescent="0.3">
      <c r="A341" s="4" t="s">
        <v>130</v>
      </c>
      <c r="B341" s="5" t="s">
        <v>12</v>
      </c>
      <c r="C341" s="5" t="s">
        <v>34</v>
      </c>
      <c r="D341" s="5" t="s">
        <v>9</v>
      </c>
      <c r="E341" s="5" t="s">
        <v>10</v>
      </c>
      <c r="F341" s="5">
        <v>1349.7273479999999</v>
      </c>
    </row>
    <row r="342" spans="1:6" ht="15.75" thickBot="1" x14ac:dyDescent="0.3">
      <c r="A342" s="4" t="s">
        <v>54</v>
      </c>
      <c r="B342" s="5" t="s">
        <v>12</v>
      </c>
      <c r="C342" s="5" t="s">
        <v>34</v>
      </c>
      <c r="D342" s="5" t="s">
        <v>9</v>
      </c>
      <c r="E342" s="5" t="s">
        <v>24</v>
      </c>
      <c r="F342" s="5">
        <v>5028.9440119999999</v>
      </c>
    </row>
    <row r="343" spans="1:6" ht="15.75" thickBot="1" x14ac:dyDescent="0.3">
      <c r="A343" s="4" t="s">
        <v>51</v>
      </c>
      <c r="B343" s="5" t="s">
        <v>30</v>
      </c>
      <c r="C343" s="5" t="s">
        <v>34</v>
      </c>
      <c r="D343" s="5" t="s">
        <v>9</v>
      </c>
      <c r="E343" s="5" t="s">
        <v>15</v>
      </c>
      <c r="F343" s="5">
        <v>4368.4298479999998</v>
      </c>
    </row>
    <row r="344" spans="1:6" ht="15.75" thickBot="1" x14ac:dyDescent="0.3">
      <c r="A344" s="4" t="s">
        <v>22</v>
      </c>
      <c r="B344" s="5" t="s">
        <v>12</v>
      </c>
      <c r="C344" s="5" t="s">
        <v>23</v>
      </c>
      <c r="D344" s="5" t="s">
        <v>14</v>
      </c>
      <c r="E344" s="5" t="s">
        <v>15</v>
      </c>
      <c r="F344" s="5">
        <v>3793.84</v>
      </c>
    </row>
    <row r="345" spans="1:6" ht="15.75" thickBot="1" x14ac:dyDescent="0.3">
      <c r="A345" s="4" t="s">
        <v>45</v>
      </c>
      <c r="B345" s="5" t="s">
        <v>7</v>
      </c>
      <c r="C345" s="5" t="s">
        <v>8</v>
      </c>
      <c r="D345" s="5" t="s">
        <v>28</v>
      </c>
      <c r="E345" s="5" t="s">
        <v>15</v>
      </c>
      <c r="F345" s="5">
        <v>944.95</v>
      </c>
    </row>
    <row r="346" spans="1:6" ht="15.75" thickBot="1" x14ac:dyDescent="0.3">
      <c r="A346" s="4" t="s">
        <v>103</v>
      </c>
      <c r="B346" s="5" t="s">
        <v>19</v>
      </c>
      <c r="C346" s="5" t="s">
        <v>23</v>
      </c>
      <c r="D346" s="5" t="s">
        <v>9</v>
      </c>
      <c r="E346" s="5" t="s">
        <v>15</v>
      </c>
      <c r="F346" s="5">
        <v>2973.3029620000002</v>
      </c>
    </row>
    <row r="347" spans="1:6" ht="15.75" thickBot="1" x14ac:dyDescent="0.3">
      <c r="A347" s="4" t="s">
        <v>110</v>
      </c>
      <c r="B347" s="5" t="s">
        <v>12</v>
      </c>
      <c r="C347" s="5" t="s">
        <v>8</v>
      </c>
      <c r="D347" s="5" t="s">
        <v>9</v>
      </c>
      <c r="E347" s="5" t="s">
        <v>24</v>
      </c>
      <c r="F347" s="5">
        <v>3422.23</v>
      </c>
    </row>
    <row r="348" spans="1:6" ht="15.75" thickBot="1" x14ac:dyDescent="0.3">
      <c r="A348" s="4" t="s">
        <v>48</v>
      </c>
      <c r="B348" s="5" t="s">
        <v>19</v>
      </c>
      <c r="C348" s="5" t="s">
        <v>13</v>
      </c>
      <c r="D348" s="5" t="s">
        <v>28</v>
      </c>
      <c r="E348" s="5" t="s">
        <v>15</v>
      </c>
      <c r="F348" s="5">
        <v>3754.94</v>
      </c>
    </row>
    <row r="349" spans="1:6" ht="15.75" thickBot="1" x14ac:dyDescent="0.3">
      <c r="A349" s="4" t="s">
        <v>172</v>
      </c>
      <c r="B349" s="5" t="s">
        <v>7</v>
      </c>
      <c r="C349" s="5" t="s">
        <v>8</v>
      </c>
      <c r="D349" s="5" t="s">
        <v>9</v>
      </c>
      <c r="E349" s="5" t="s">
        <v>24</v>
      </c>
      <c r="F349" s="5">
        <v>1213.4732180000001</v>
      </c>
    </row>
    <row r="350" spans="1:6" ht="15.75" thickBot="1" x14ac:dyDescent="0.3">
      <c r="A350" s="4" t="s">
        <v>115</v>
      </c>
      <c r="B350" s="5" t="s">
        <v>19</v>
      </c>
      <c r="C350" s="5" t="s">
        <v>13</v>
      </c>
      <c r="D350" s="5" t="s">
        <v>28</v>
      </c>
      <c r="E350" s="5" t="s">
        <v>24</v>
      </c>
      <c r="F350" s="5">
        <v>358.65</v>
      </c>
    </row>
    <row r="351" spans="1:6" ht="15.75" thickBot="1" x14ac:dyDescent="0.3">
      <c r="A351" s="4" t="s">
        <v>185</v>
      </c>
      <c r="B351" s="5" t="s">
        <v>30</v>
      </c>
      <c r="C351" s="5" t="s">
        <v>13</v>
      </c>
      <c r="D351" s="5" t="s">
        <v>14</v>
      </c>
      <c r="E351" s="5" t="s">
        <v>24</v>
      </c>
      <c r="F351" s="5">
        <v>3630.35</v>
      </c>
    </row>
    <row r="352" spans="1:6" ht="15.75" thickBot="1" x14ac:dyDescent="0.3">
      <c r="A352" s="4" t="s">
        <v>172</v>
      </c>
      <c r="B352" s="5" t="s">
        <v>7</v>
      </c>
      <c r="C352" s="5" t="s">
        <v>23</v>
      </c>
      <c r="D352" s="5" t="s">
        <v>28</v>
      </c>
      <c r="E352" s="5" t="s">
        <v>10</v>
      </c>
      <c r="F352" s="5">
        <v>3966.5</v>
      </c>
    </row>
    <row r="353" spans="1:6" ht="15.75" thickBot="1" x14ac:dyDescent="0.3">
      <c r="A353" s="4" t="s">
        <v>172</v>
      </c>
      <c r="B353" s="5" t="s">
        <v>7</v>
      </c>
      <c r="C353" s="5" t="s">
        <v>34</v>
      </c>
      <c r="D353" s="5" t="s">
        <v>9</v>
      </c>
      <c r="E353" s="5" t="s">
        <v>10</v>
      </c>
      <c r="F353" s="5">
        <v>3886.2318919999998</v>
      </c>
    </row>
    <row r="354" spans="1:6" ht="15.75" thickBot="1" x14ac:dyDescent="0.3">
      <c r="A354" s="4" t="s">
        <v>186</v>
      </c>
      <c r="B354" s="5" t="s">
        <v>30</v>
      </c>
      <c r="C354" s="5" t="s">
        <v>23</v>
      </c>
      <c r="D354" s="5" t="s">
        <v>9</v>
      </c>
      <c r="E354" s="5" t="s">
        <v>10</v>
      </c>
      <c r="F354" s="5">
        <v>1898.1840259999999</v>
      </c>
    </row>
    <row r="355" spans="1:6" ht="15.75" thickBot="1" x14ac:dyDescent="0.3">
      <c r="A355" s="4" t="s">
        <v>110</v>
      </c>
      <c r="B355" s="5" t="s">
        <v>12</v>
      </c>
      <c r="C355" s="5" t="s">
        <v>23</v>
      </c>
      <c r="D355" s="5" t="s">
        <v>28</v>
      </c>
      <c r="E355" s="5" t="s">
        <v>15</v>
      </c>
      <c r="F355" s="5">
        <v>1366.72</v>
      </c>
    </row>
    <row r="356" spans="1:6" ht="30.75" thickBot="1" x14ac:dyDescent="0.3">
      <c r="A356" s="4" t="s">
        <v>149</v>
      </c>
      <c r="B356" s="5" t="s">
        <v>17</v>
      </c>
      <c r="C356" s="5" t="s">
        <v>23</v>
      </c>
      <c r="D356" s="5" t="s">
        <v>9</v>
      </c>
      <c r="E356" s="5" t="s">
        <v>24</v>
      </c>
      <c r="F356" s="5">
        <v>1988.1353349999999</v>
      </c>
    </row>
    <row r="357" spans="1:6" ht="15.75" thickBot="1" x14ac:dyDescent="0.3">
      <c r="A357" s="4" t="s">
        <v>157</v>
      </c>
      <c r="B357" s="5" t="s">
        <v>30</v>
      </c>
      <c r="C357" s="5" t="s">
        <v>13</v>
      </c>
      <c r="D357" s="5" t="s">
        <v>28</v>
      </c>
      <c r="E357" s="5" t="s">
        <v>15</v>
      </c>
      <c r="F357" s="5">
        <v>2529.38</v>
      </c>
    </row>
    <row r="358" spans="1:6" ht="15.75" thickBot="1" x14ac:dyDescent="0.3">
      <c r="A358" s="4" t="s">
        <v>60</v>
      </c>
      <c r="B358" s="5" t="s">
        <v>12</v>
      </c>
      <c r="C358" s="5" t="s">
        <v>13</v>
      </c>
      <c r="D358" s="5" t="s">
        <v>28</v>
      </c>
      <c r="E358" s="5" t="s">
        <v>10</v>
      </c>
      <c r="F358" s="5">
        <v>3229.82</v>
      </c>
    </row>
    <row r="359" spans="1:6" ht="15.75" thickBot="1" x14ac:dyDescent="0.3">
      <c r="A359" s="4" t="s">
        <v>54</v>
      </c>
      <c r="B359" s="5" t="s">
        <v>12</v>
      </c>
      <c r="C359" s="5" t="s">
        <v>13</v>
      </c>
      <c r="D359" s="5" t="s">
        <v>14</v>
      </c>
      <c r="E359" s="5" t="s">
        <v>24</v>
      </c>
      <c r="F359" s="5">
        <v>1835.81</v>
      </c>
    </row>
    <row r="360" spans="1:6" ht="15.75" thickBot="1" x14ac:dyDescent="0.3">
      <c r="A360" s="4" t="s">
        <v>27</v>
      </c>
      <c r="B360" s="5" t="s">
        <v>12</v>
      </c>
      <c r="C360" s="5" t="s">
        <v>23</v>
      </c>
      <c r="D360" s="5" t="s">
        <v>9</v>
      </c>
      <c r="E360" s="5" t="s">
        <v>24</v>
      </c>
      <c r="F360" s="5">
        <v>4463.7645069999999</v>
      </c>
    </row>
    <row r="361" spans="1:6" ht="15.75" thickBot="1" x14ac:dyDescent="0.3">
      <c r="A361" s="4" t="s">
        <v>134</v>
      </c>
      <c r="B361" s="5" t="s">
        <v>7</v>
      </c>
      <c r="C361" s="5" t="s">
        <v>13</v>
      </c>
      <c r="D361" s="5" t="s">
        <v>9</v>
      </c>
      <c r="E361" s="5" t="s">
        <v>10</v>
      </c>
      <c r="F361" s="5">
        <v>2646.5870319999999</v>
      </c>
    </row>
    <row r="362" spans="1:6" ht="15.75" thickBot="1" x14ac:dyDescent="0.3">
      <c r="A362" s="4" t="s">
        <v>47</v>
      </c>
      <c r="B362" s="5" t="s">
        <v>30</v>
      </c>
      <c r="C362" s="5" t="s">
        <v>23</v>
      </c>
      <c r="D362" s="5" t="s">
        <v>9</v>
      </c>
      <c r="E362" s="5" t="s">
        <v>24</v>
      </c>
      <c r="F362" s="5">
        <v>3222.4658469999999</v>
      </c>
    </row>
    <row r="363" spans="1:6" ht="15.75" thickBot="1" x14ac:dyDescent="0.3">
      <c r="A363" s="4" t="s">
        <v>126</v>
      </c>
      <c r="B363" s="5" t="s">
        <v>30</v>
      </c>
      <c r="C363" s="5" t="s">
        <v>23</v>
      </c>
      <c r="D363" s="5" t="s">
        <v>14</v>
      </c>
      <c r="E363" s="5" t="s">
        <v>10</v>
      </c>
      <c r="F363" s="5">
        <v>3493.4</v>
      </c>
    </row>
    <row r="364" spans="1:6" ht="15.75" thickBot="1" x14ac:dyDescent="0.3">
      <c r="A364" s="4" t="s">
        <v>103</v>
      </c>
      <c r="B364" s="5" t="s">
        <v>19</v>
      </c>
      <c r="C364" s="5" t="s">
        <v>23</v>
      </c>
      <c r="D364" s="5" t="s">
        <v>28</v>
      </c>
      <c r="E364" s="5" t="s">
        <v>24</v>
      </c>
      <c r="F364" s="5">
        <v>871.61</v>
      </c>
    </row>
    <row r="365" spans="1:6" ht="30.75" thickBot="1" x14ac:dyDescent="0.3">
      <c r="A365" s="4" t="s">
        <v>80</v>
      </c>
      <c r="B365" s="5" t="s">
        <v>17</v>
      </c>
      <c r="C365" s="5" t="s">
        <v>23</v>
      </c>
      <c r="D365" s="5" t="s">
        <v>28</v>
      </c>
      <c r="E365" s="5" t="s">
        <v>15</v>
      </c>
      <c r="F365" s="5">
        <v>407.43</v>
      </c>
    </row>
    <row r="366" spans="1:6" ht="15.75" thickBot="1" x14ac:dyDescent="0.3">
      <c r="A366" s="4" t="s">
        <v>71</v>
      </c>
      <c r="B366" s="5" t="s">
        <v>7</v>
      </c>
      <c r="C366" s="5" t="s">
        <v>23</v>
      </c>
      <c r="D366" s="5" t="s">
        <v>28</v>
      </c>
      <c r="E366" s="5" t="s">
        <v>10</v>
      </c>
      <c r="F366" s="5">
        <v>4341.34</v>
      </c>
    </row>
    <row r="367" spans="1:6" ht="15.75" thickBot="1" x14ac:dyDescent="0.3">
      <c r="A367" s="4" t="s">
        <v>187</v>
      </c>
      <c r="B367" s="5" t="s">
        <v>19</v>
      </c>
      <c r="C367" s="5" t="s">
        <v>13</v>
      </c>
      <c r="D367" s="5" t="s">
        <v>9</v>
      </c>
      <c r="E367" s="5" t="s">
        <v>15</v>
      </c>
      <c r="F367" s="5">
        <v>1935.295691</v>
      </c>
    </row>
    <row r="368" spans="1:6" ht="15.75" thickBot="1" x14ac:dyDescent="0.3">
      <c r="A368" s="4" t="s">
        <v>160</v>
      </c>
      <c r="B368" s="5" t="s">
        <v>30</v>
      </c>
      <c r="C368" s="5" t="s">
        <v>23</v>
      </c>
      <c r="D368" s="5" t="s">
        <v>14</v>
      </c>
      <c r="E368" s="5" t="s">
        <v>10</v>
      </c>
      <c r="F368" s="5">
        <v>3547.68</v>
      </c>
    </row>
    <row r="369" spans="1:6" ht="30.75" thickBot="1" x14ac:dyDescent="0.3">
      <c r="A369" s="4" t="s">
        <v>149</v>
      </c>
      <c r="B369" s="5" t="s">
        <v>17</v>
      </c>
      <c r="C369" s="5" t="s">
        <v>34</v>
      </c>
      <c r="D369" s="5" t="s">
        <v>14</v>
      </c>
      <c r="E369" s="5" t="s">
        <v>24</v>
      </c>
      <c r="F369" s="5">
        <v>4904.09</v>
      </c>
    </row>
    <row r="370" spans="1:6" ht="15.75" thickBot="1" x14ac:dyDescent="0.3">
      <c r="A370" s="4" t="s">
        <v>33</v>
      </c>
      <c r="B370" s="5" t="s">
        <v>19</v>
      </c>
      <c r="C370" s="5" t="s">
        <v>8</v>
      </c>
      <c r="D370" s="5" t="s">
        <v>14</v>
      </c>
      <c r="E370" s="5" t="s">
        <v>10</v>
      </c>
      <c r="F370" s="5">
        <v>3391.08</v>
      </c>
    </row>
    <row r="371" spans="1:6" ht="15.75" thickBot="1" x14ac:dyDescent="0.3">
      <c r="A371" s="4" t="s">
        <v>64</v>
      </c>
      <c r="B371" s="5" t="s">
        <v>30</v>
      </c>
      <c r="C371" s="5" t="s">
        <v>8</v>
      </c>
      <c r="D371" s="5" t="s">
        <v>28</v>
      </c>
      <c r="E371" s="5" t="s">
        <v>10</v>
      </c>
      <c r="F371" s="5">
        <v>589.80999999999995</v>
      </c>
    </row>
    <row r="372" spans="1:6" ht="30.75" thickBot="1" x14ac:dyDescent="0.3">
      <c r="A372" s="4" t="s">
        <v>127</v>
      </c>
      <c r="B372" s="5" t="s">
        <v>17</v>
      </c>
      <c r="C372" s="5" t="s">
        <v>13</v>
      </c>
      <c r="D372" s="5" t="s">
        <v>28</v>
      </c>
      <c r="E372" s="5" t="s">
        <v>24</v>
      </c>
      <c r="F372" s="5">
        <v>1487.46</v>
      </c>
    </row>
    <row r="373" spans="1:6" ht="15.75" thickBot="1" x14ac:dyDescent="0.3">
      <c r="A373" s="4" t="s">
        <v>27</v>
      </c>
      <c r="B373" s="5" t="s">
        <v>12</v>
      </c>
      <c r="C373" s="5" t="s">
        <v>13</v>
      </c>
      <c r="D373" s="5" t="s">
        <v>14</v>
      </c>
      <c r="E373" s="5" t="s">
        <v>24</v>
      </c>
      <c r="F373" s="5">
        <v>2879.35</v>
      </c>
    </row>
    <row r="374" spans="1:6" ht="15.75" thickBot="1" x14ac:dyDescent="0.3">
      <c r="A374" s="4" t="s">
        <v>45</v>
      </c>
      <c r="B374" s="5" t="s">
        <v>7</v>
      </c>
      <c r="C374" s="5" t="s">
        <v>13</v>
      </c>
      <c r="D374" s="5" t="s">
        <v>28</v>
      </c>
      <c r="E374" s="5" t="s">
        <v>24</v>
      </c>
      <c r="F374" s="5">
        <v>3544.12</v>
      </c>
    </row>
    <row r="375" spans="1:6" ht="15.75" thickBot="1" x14ac:dyDescent="0.3">
      <c r="A375" s="4" t="s">
        <v>27</v>
      </c>
      <c r="B375" s="5" t="s">
        <v>12</v>
      </c>
      <c r="C375" s="5" t="s">
        <v>8</v>
      </c>
      <c r="D375" s="5" t="s">
        <v>14</v>
      </c>
      <c r="E375" s="5" t="s">
        <v>10</v>
      </c>
      <c r="F375" s="5">
        <v>646.33000000000004</v>
      </c>
    </row>
    <row r="376" spans="1:6" ht="15.75" thickBot="1" x14ac:dyDescent="0.3">
      <c r="A376" s="4" t="s">
        <v>144</v>
      </c>
      <c r="B376" s="5" t="s">
        <v>30</v>
      </c>
      <c r="C376" s="5" t="s">
        <v>23</v>
      </c>
      <c r="D376" s="5" t="s">
        <v>14</v>
      </c>
      <c r="E376" s="5" t="s">
        <v>10</v>
      </c>
      <c r="F376" s="5">
        <v>1569.86</v>
      </c>
    </row>
    <row r="377" spans="1:6" ht="15.75" thickBot="1" x14ac:dyDescent="0.3">
      <c r="A377" s="4" t="s">
        <v>166</v>
      </c>
      <c r="B377" s="5" t="s">
        <v>7</v>
      </c>
      <c r="C377" s="5" t="s">
        <v>34</v>
      </c>
      <c r="D377" s="5" t="s">
        <v>28</v>
      </c>
      <c r="E377" s="5" t="s">
        <v>15</v>
      </c>
      <c r="F377" s="5">
        <v>2728.09</v>
      </c>
    </row>
    <row r="378" spans="1:6" ht="30.75" thickBot="1" x14ac:dyDescent="0.3">
      <c r="A378" s="4" t="s">
        <v>76</v>
      </c>
      <c r="B378" s="5" t="s">
        <v>17</v>
      </c>
      <c r="C378" s="5" t="s">
        <v>23</v>
      </c>
      <c r="D378" s="5" t="s">
        <v>28</v>
      </c>
      <c r="E378" s="5" t="s">
        <v>15</v>
      </c>
      <c r="F378" s="5">
        <v>1865.65</v>
      </c>
    </row>
    <row r="379" spans="1:6" ht="15.75" thickBot="1" x14ac:dyDescent="0.3">
      <c r="A379" s="4" t="s">
        <v>138</v>
      </c>
      <c r="B379" s="5" t="s">
        <v>12</v>
      </c>
      <c r="C379" s="5" t="s">
        <v>13</v>
      </c>
      <c r="D379" s="5" t="s">
        <v>28</v>
      </c>
      <c r="E379" s="5" t="s">
        <v>10</v>
      </c>
      <c r="F379" s="5">
        <v>4048.31</v>
      </c>
    </row>
    <row r="380" spans="1:6" ht="15.75" thickBot="1" x14ac:dyDescent="0.3">
      <c r="A380" s="4" t="s">
        <v>39</v>
      </c>
      <c r="B380" s="5" t="s">
        <v>7</v>
      </c>
      <c r="C380" s="5" t="s">
        <v>34</v>
      </c>
      <c r="D380" s="5" t="s">
        <v>28</v>
      </c>
      <c r="E380" s="5" t="s">
        <v>15</v>
      </c>
      <c r="F380" s="5">
        <v>468.34</v>
      </c>
    </row>
    <row r="381" spans="1:6" ht="15.75" thickBot="1" x14ac:dyDescent="0.3">
      <c r="A381" s="4" t="s">
        <v>188</v>
      </c>
      <c r="B381" s="5" t="s">
        <v>19</v>
      </c>
      <c r="C381" s="5" t="s">
        <v>13</v>
      </c>
      <c r="D381" s="5" t="s">
        <v>28</v>
      </c>
      <c r="E381" s="5" t="s">
        <v>10</v>
      </c>
      <c r="F381" s="5">
        <v>802.1</v>
      </c>
    </row>
    <row r="382" spans="1:6" ht="15.75" thickBot="1" x14ac:dyDescent="0.3">
      <c r="A382" s="4" t="s">
        <v>101</v>
      </c>
      <c r="B382" s="5" t="s">
        <v>19</v>
      </c>
      <c r="C382" s="5" t="s">
        <v>34</v>
      </c>
      <c r="D382" s="5" t="s">
        <v>9</v>
      </c>
      <c r="E382" s="5" t="s">
        <v>10</v>
      </c>
      <c r="F382" s="5">
        <v>3548.259994</v>
      </c>
    </row>
    <row r="383" spans="1:6" ht="30.75" thickBot="1" x14ac:dyDescent="0.3">
      <c r="A383" s="4" t="s">
        <v>142</v>
      </c>
      <c r="B383" s="5" t="s">
        <v>17</v>
      </c>
      <c r="C383" s="5" t="s">
        <v>8</v>
      </c>
      <c r="D383" s="5" t="s">
        <v>14</v>
      </c>
      <c r="E383" s="5" t="s">
        <v>15</v>
      </c>
      <c r="F383" s="5">
        <v>647.30999999999995</v>
      </c>
    </row>
    <row r="384" spans="1:6" ht="15.75" thickBot="1" x14ac:dyDescent="0.3">
      <c r="A384" s="4" t="s">
        <v>178</v>
      </c>
      <c r="B384" s="5" t="s">
        <v>30</v>
      </c>
      <c r="C384" s="5" t="s">
        <v>34</v>
      </c>
      <c r="D384" s="5" t="s">
        <v>14</v>
      </c>
      <c r="E384" s="5" t="s">
        <v>24</v>
      </c>
      <c r="F384" s="5">
        <v>1024.8599999999999</v>
      </c>
    </row>
    <row r="385" spans="1:6" ht="15.75" thickBot="1" x14ac:dyDescent="0.3">
      <c r="A385" s="4" t="s">
        <v>172</v>
      </c>
      <c r="B385" s="5" t="s">
        <v>7</v>
      </c>
      <c r="C385" s="5" t="s">
        <v>23</v>
      </c>
      <c r="D385" s="5" t="s">
        <v>14</v>
      </c>
      <c r="E385" s="5" t="s">
        <v>24</v>
      </c>
      <c r="F385" s="5">
        <v>304.14999999999998</v>
      </c>
    </row>
    <row r="386" spans="1:6" ht="15.75" thickBot="1" x14ac:dyDescent="0.3">
      <c r="A386" s="4" t="s">
        <v>73</v>
      </c>
      <c r="B386" s="5" t="s">
        <v>30</v>
      </c>
      <c r="C386" s="5" t="s">
        <v>23</v>
      </c>
      <c r="D386" s="5" t="s">
        <v>28</v>
      </c>
      <c r="E386" s="5" t="s">
        <v>24</v>
      </c>
      <c r="F386" s="5">
        <v>4794.1899999999996</v>
      </c>
    </row>
    <row r="387" spans="1:6" ht="15.75" thickBot="1" x14ac:dyDescent="0.3">
      <c r="A387" s="4" t="s">
        <v>72</v>
      </c>
      <c r="B387" s="5" t="s">
        <v>19</v>
      </c>
      <c r="C387" s="5" t="s">
        <v>34</v>
      </c>
      <c r="D387" s="5" t="s">
        <v>28</v>
      </c>
      <c r="E387" s="5" t="s">
        <v>24</v>
      </c>
      <c r="F387" s="5">
        <v>2331.7399999999998</v>
      </c>
    </row>
    <row r="388" spans="1:6" ht="30.75" thickBot="1" x14ac:dyDescent="0.3">
      <c r="A388" s="4" t="s">
        <v>136</v>
      </c>
      <c r="B388" s="5" t="s">
        <v>17</v>
      </c>
      <c r="C388" s="5" t="s">
        <v>13</v>
      </c>
      <c r="D388" s="5" t="s">
        <v>28</v>
      </c>
      <c r="E388" s="5" t="s">
        <v>10</v>
      </c>
      <c r="F388" s="5">
        <v>4183.93</v>
      </c>
    </row>
    <row r="389" spans="1:6" ht="15.75" thickBot="1" x14ac:dyDescent="0.3">
      <c r="A389" s="4" t="s">
        <v>22</v>
      </c>
      <c r="B389" s="5" t="s">
        <v>12</v>
      </c>
      <c r="C389" s="5" t="s">
        <v>13</v>
      </c>
      <c r="D389" s="5" t="s">
        <v>14</v>
      </c>
      <c r="E389" s="5" t="s">
        <v>15</v>
      </c>
      <c r="F389" s="5">
        <v>1515.76</v>
      </c>
    </row>
    <row r="390" spans="1:6" ht="15.75" thickBot="1" x14ac:dyDescent="0.3">
      <c r="A390" s="4" t="s">
        <v>189</v>
      </c>
      <c r="B390" s="5" t="s">
        <v>19</v>
      </c>
      <c r="C390" s="5" t="s">
        <v>23</v>
      </c>
      <c r="D390" s="5" t="s">
        <v>9</v>
      </c>
      <c r="E390" s="5" t="s">
        <v>10</v>
      </c>
      <c r="F390" s="5">
        <v>4299.7299999999996</v>
      </c>
    </row>
    <row r="391" spans="1:6" ht="30.75" thickBot="1" x14ac:dyDescent="0.3">
      <c r="A391" s="4" t="s">
        <v>89</v>
      </c>
      <c r="B391" s="5" t="s">
        <v>17</v>
      </c>
      <c r="C391" s="5" t="s">
        <v>13</v>
      </c>
      <c r="D391" s="5" t="s">
        <v>28</v>
      </c>
      <c r="E391" s="5" t="s">
        <v>24</v>
      </c>
      <c r="F391" s="5">
        <v>303.22000000000003</v>
      </c>
    </row>
    <row r="392" spans="1:6" ht="15.75" thickBot="1" x14ac:dyDescent="0.3">
      <c r="A392" s="4" t="s">
        <v>121</v>
      </c>
      <c r="B392" s="5" t="s">
        <v>30</v>
      </c>
      <c r="C392" s="5" t="s">
        <v>8</v>
      </c>
      <c r="D392" s="5" t="s">
        <v>14</v>
      </c>
      <c r="E392" s="5" t="s">
        <v>10</v>
      </c>
      <c r="F392" s="5">
        <v>2427.3000000000002</v>
      </c>
    </row>
    <row r="393" spans="1:6" ht="30.75" thickBot="1" x14ac:dyDescent="0.3">
      <c r="A393" s="4" t="s">
        <v>190</v>
      </c>
      <c r="B393" s="5" t="s">
        <v>17</v>
      </c>
      <c r="C393" s="5" t="s">
        <v>13</v>
      </c>
      <c r="D393" s="5" t="s">
        <v>14</v>
      </c>
      <c r="E393" s="5" t="s">
        <v>15</v>
      </c>
      <c r="F393" s="5">
        <v>3481.31</v>
      </c>
    </row>
    <row r="394" spans="1:6" ht="15.75" thickBot="1" x14ac:dyDescent="0.3">
      <c r="A394" s="4" t="s">
        <v>96</v>
      </c>
      <c r="B394" s="5" t="s">
        <v>19</v>
      </c>
      <c r="C394" s="5" t="s">
        <v>23</v>
      </c>
      <c r="D394" s="5" t="s">
        <v>28</v>
      </c>
      <c r="E394" s="5" t="s">
        <v>10</v>
      </c>
      <c r="F394" s="5">
        <v>2451.0100000000002</v>
      </c>
    </row>
    <row r="395" spans="1:6" ht="15.75" thickBot="1" x14ac:dyDescent="0.3">
      <c r="A395" s="4" t="s">
        <v>50</v>
      </c>
      <c r="B395" s="5" t="s">
        <v>19</v>
      </c>
      <c r="C395" s="5" t="s">
        <v>8</v>
      </c>
      <c r="D395" s="5" t="s">
        <v>9</v>
      </c>
      <c r="E395" s="5" t="s">
        <v>10</v>
      </c>
      <c r="F395" s="5">
        <v>2726.5885549999998</v>
      </c>
    </row>
    <row r="396" spans="1:6" ht="30.75" thickBot="1" x14ac:dyDescent="0.3">
      <c r="A396" s="4" t="s">
        <v>171</v>
      </c>
      <c r="B396" s="5" t="s">
        <v>17</v>
      </c>
      <c r="C396" s="5" t="s">
        <v>13</v>
      </c>
      <c r="D396" s="5" t="s">
        <v>28</v>
      </c>
      <c r="E396" s="5" t="s">
        <v>24</v>
      </c>
      <c r="F396" s="5">
        <v>4059.4</v>
      </c>
    </row>
    <row r="397" spans="1:6" ht="15.75" thickBot="1" x14ac:dyDescent="0.3">
      <c r="A397" s="4" t="s">
        <v>152</v>
      </c>
      <c r="B397" s="5" t="s">
        <v>30</v>
      </c>
      <c r="C397" s="5" t="s">
        <v>34</v>
      </c>
      <c r="D397" s="5" t="s">
        <v>28</v>
      </c>
      <c r="E397" s="5" t="s">
        <v>10</v>
      </c>
      <c r="F397" s="5">
        <v>3874.1</v>
      </c>
    </row>
    <row r="398" spans="1:6" ht="15.75" thickBot="1" x14ac:dyDescent="0.3">
      <c r="A398" s="4" t="s">
        <v>146</v>
      </c>
      <c r="B398" s="5" t="s">
        <v>7</v>
      </c>
      <c r="C398" s="5" t="s">
        <v>34</v>
      </c>
      <c r="D398" s="5" t="s">
        <v>14</v>
      </c>
      <c r="E398" s="5" t="s">
        <v>10</v>
      </c>
      <c r="F398" s="5">
        <v>870.3</v>
      </c>
    </row>
    <row r="399" spans="1:6" ht="30.75" thickBot="1" x14ac:dyDescent="0.3">
      <c r="A399" s="4" t="s">
        <v>171</v>
      </c>
      <c r="B399" s="5" t="s">
        <v>17</v>
      </c>
      <c r="C399" s="5" t="s">
        <v>8</v>
      </c>
      <c r="D399" s="5" t="s">
        <v>28</v>
      </c>
      <c r="E399" s="5" t="s">
        <v>24</v>
      </c>
      <c r="F399" s="5">
        <v>1471.82</v>
      </c>
    </row>
    <row r="400" spans="1:6" ht="15.75" thickBot="1" x14ac:dyDescent="0.3">
      <c r="A400" s="4" t="s">
        <v>191</v>
      </c>
      <c r="B400" s="5" t="s">
        <v>12</v>
      </c>
      <c r="C400" s="5" t="s">
        <v>8</v>
      </c>
      <c r="D400" s="5" t="s">
        <v>9</v>
      </c>
      <c r="E400" s="5" t="s">
        <v>10</v>
      </c>
      <c r="F400" s="5">
        <v>3436.0007540000001</v>
      </c>
    </row>
    <row r="401" spans="1:6" ht="15.75" thickBot="1" x14ac:dyDescent="0.3">
      <c r="A401" s="4" t="s">
        <v>124</v>
      </c>
      <c r="B401" s="5" t="s">
        <v>12</v>
      </c>
      <c r="C401" s="5" t="s">
        <v>13</v>
      </c>
      <c r="D401" s="5" t="s">
        <v>9</v>
      </c>
      <c r="E401" s="5" t="s">
        <v>24</v>
      </c>
      <c r="F401" s="5">
        <v>479.22266450000001</v>
      </c>
    </row>
    <row r="402" spans="1:6" ht="15.75" thickBot="1" x14ac:dyDescent="0.3">
      <c r="A402" s="4" t="s">
        <v>183</v>
      </c>
      <c r="B402" s="5" t="s">
        <v>7</v>
      </c>
      <c r="C402" s="5" t="s">
        <v>23</v>
      </c>
      <c r="D402" s="5" t="s">
        <v>14</v>
      </c>
      <c r="E402" s="5" t="s">
        <v>15</v>
      </c>
      <c r="F402" s="5">
        <v>2840.69</v>
      </c>
    </row>
    <row r="403" spans="1:6" ht="15.75" thickBot="1" x14ac:dyDescent="0.3">
      <c r="A403" s="4" t="s">
        <v>71</v>
      </c>
      <c r="B403" s="5" t="s">
        <v>7</v>
      </c>
      <c r="C403" s="5" t="s">
        <v>13</v>
      </c>
      <c r="D403" s="5" t="s">
        <v>28</v>
      </c>
      <c r="E403" s="5" t="s">
        <v>15</v>
      </c>
      <c r="F403" s="5">
        <v>1808.08</v>
      </c>
    </row>
    <row r="404" spans="1:6" ht="15.75" thickBot="1" x14ac:dyDescent="0.3">
      <c r="A404" s="4" t="s">
        <v>128</v>
      </c>
      <c r="B404" s="5" t="s">
        <v>12</v>
      </c>
      <c r="C404" s="5" t="s">
        <v>34</v>
      </c>
      <c r="D404" s="5" t="s">
        <v>28</v>
      </c>
      <c r="E404" s="5" t="s">
        <v>24</v>
      </c>
      <c r="F404" s="5">
        <v>425.7</v>
      </c>
    </row>
    <row r="405" spans="1:6" ht="15.75" thickBot="1" x14ac:dyDescent="0.3">
      <c r="A405" s="4" t="s">
        <v>118</v>
      </c>
      <c r="B405" s="5" t="s">
        <v>30</v>
      </c>
      <c r="C405" s="5" t="s">
        <v>34</v>
      </c>
      <c r="D405" s="5" t="s">
        <v>14</v>
      </c>
      <c r="E405" s="5" t="s">
        <v>10</v>
      </c>
      <c r="F405" s="5">
        <v>981.92</v>
      </c>
    </row>
    <row r="406" spans="1:6" ht="30.75" thickBot="1" x14ac:dyDescent="0.3">
      <c r="A406" s="4" t="s">
        <v>37</v>
      </c>
      <c r="B406" s="5" t="s">
        <v>17</v>
      </c>
      <c r="C406" s="5" t="s">
        <v>8</v>
      </c>
      <c r="D406" s="5" t="s">
        <v>9</v>
      </c>
      <c r="E406" s="5" t="s">
        <v>15</v>
      </c>
      <c r="F406" s="5">
        <v>1089.2861559999999</v>
      </c>
    </row>
    <row r="407" spans="1:6" ht="15.75" thickBot="1" x14ac:dyDescent="0.3">
      <c r="A407" s="4" t="s">
        <v>192</v>
      </c>
      <c r="B407" s="5" t="s">
        <v>19</v>
      </c>
      <c r="C407" s="5" t="s">
        <v>34</v>
      </c>
      <c r="D407" s="5" t="s">
        <v>9</v>
      </c>
      <c r="E407" s="5" t="s">
        <v>24</v>
      </c>
      <c r="F407" s="5">
        <v>4336.6087239999997</v>
      </c>
    </row>
    <row r="408" spans="1:6" ht="30.75" thickBot="1" x14ac:dyDescent="0.3">
      <c r="A408" s="4" t="s">
        <v>58</v>
      </c>
      <c r="B408" s="5" t="s">
        <v>17</v>
      </c>
      <c r="C408" s="5" t="s">
        <v>23</v>
      </c>
      <c r="D408" s="5" t="s">
        <v>9</v>
      </c>
      <c r="E408" s="5" t="s">
        <v>15</v>
      </c>
      <c r="F408" s="5">
        <v>1820.9864809999999</v>
      </c>
    </row>
    <row r="409" spans="1:6" ht="30.75" thickBot="1" x14ac:dyDescent="0.3">
      <c r="A409" s="4" t="s">
        <v>80</v>
      </c>
      <c r="B409" s="5" t="s">
        <v>17</v>
      </c>
      <c r="C409" s="5" t="s">
        <v>13</v>
      </c>
      <c r="D409" s="5" t="s">
        <v>14</v>
      </c>
      <c r="E409" s="5" t="s">
        <v>15</v>
      </c>
      <c r="F409" s="5">
        <v>2772.88</v>
      </c>
    </row>
    <row r="410" spans="1:6" ht="15.75" thickBot="1" x14ac:dyDescent="0.3">
      <c r="A410" s="4" t="s">
        <v>75</v>
      </c>
      <c r="B410" s="5" t="s">
        <v>19</v>
      </c>
      <c r="C410" s="5" t="s">
        <v>13</v>
      </c>
      <c r="D410" s="5" t="s">
        <v>14</v>
      </c>
      <c r="E410" s="5" t="s">
        <v>24</v>
      </c>
      <c r="F410" s="5">
        <v>4985.09</v>
      </c>
    </row>
    <row r="411" spans="1:6" ht="15.75" thickBot="1" x14ac:dyDescent="0.3">
      <c r="A411" s="4" t="s">
        <v>188</v>
      </c>
      <c r="B411" s="5" t="s">
        <v>19</v>
      </c>
      <c r="C411" s="5" t="s">
        <v>23</v>
      </c>
      <c r="D411" s="5" t="s">
        <v>9</v>
      </c>
      <c r="E411" s="5" t="s">
        <v>10</v>
      </c>
      <c r="F411" s="5">
        <v>4859.13</v>
      </c>
    </row>
    <row r="412" spans="1:6" ht="15.75" thickBot="1" x14ac:dyDescent="0.3">
      <c r="A412" s="4" t="s">
        <v>39</v>
      </c>
      <c r="B412" s="5" t="s">
        <v>7</v>
      </c>
      <c r="C412" s="5" t="s">
        <v>34</v>
      </c>
      <c r="D412" s="5" t="s">
        <v>28</v>
      </c>
      <c r="E412" s="5" t="s">
        <v>15</v>
      </c>
      <c r="F412" s="5">
        <v>3855.03</v>
      </c>
    </row>
    <row r="413" spans="1:6" ht="15.75" thickBot="1" x14ac:dyDescent="0.3">
      <c r="A413" s="4" t="s">
        <v>111</v>
      </c>
      <c r="B413" s="5" t="s">
        <v>19</v>
      </c>
      <c r="C413" s="5" t="s">
        <v>8</v>
      </c>
      <c r="D413" s="5" t="s">
        <v>9</v>
      </c>
      <c r="E413" s="5" t="s">
        <v>24</v>
      </c>
      <c r="F413" s="5">
        <v>1087.933657</v>
      </c>
    </row>
    <row r="414" spans="1:6" ht="30.75" thickBot="1" x14ac:dyDescent="0.3">
      <c r="A414" s="4" t="s">
        <v>26</v>
      </c>
      <c r="B414" s="5" t="s">
        <v>17</v>
      </c>
      <c r="C414" s="5" t="s">
        <v>8</v>
      </c>
      <c r="D414" s="5" t="s">
        <v>14</v>
      </c>
      <c r="E414" s="5" t="s">
        <v>10</v>
      </c>
      <c r="F414" s="5">
        <v>3311.86</v>
      </c>
    </row>
    <row r="415" spans="1:6" ht="15.75" thickBot="1" x14ac:dyDescent="0.3">
      <c r="A415" s="4" t="s">
        <v>188</v>
      </c>
      <c r="B415" s="5" t="s">
        <v>19</v>
      </c>
      <c r="C415" s="5" t="s">
        <v>8</v>
      </c>
      <c r="D415" s="5" t="s">
        <v>9</v>
      </c>
      <c r="E415" s="5" t="s">
        <v>24</v>
      </c>
      <c r="F415" s="5">
        <v>3496.49</v>
      </c>
    </row>
    <row r="416" spans="1:6" ht="15.75" thickBot="1" x14ac:dyDescent="0.3">
      <c r="A416" s="4" t="s">
        <v>105</v>
      </c>
      <c r="B416" s="5" t="s">
        <v>30</v>
      </c>
      <c r="C416" s="5" t="s">
        <v>34</v>
      </c>
      <c r="D416" s="5" t="s">
        <v>28</v>
      </c>
      <c r="E416" s="5" t="s">
        <v>10</v>
      </c>
      <c r="F416" s="5">
        <v>3355.28</v>
      </c>
    </row>
    <row r="417" spans="1:6" ht="15.75" thickBot="1" x14ac:dyDescent="0.3">
      <c r="A417" s="4" t="s">
        <v>122</v>
      </c>
      <c r="B417" s="5" t="s">
        <v>19</v>
      </c>
      <c r="C417" s="5" t="s">
        <v>8</v>
      </c>
      <c r="D417" s="5" t="s">
        <v>9</v>
      </c>
      <c r="E417" s="5" t="s">
        <v>10</v>
      </c>
      <c r="F417" s="5">
        <v>4871.4203090000001</v>
      </c>
    </row>
    <row r="418" spans="1:6" ht="15.75" thickBot="1" x14ac:dyDescent="0.3">
      <c r="A418" s="4" t="s">
        <v>49</v>
      </c>
      <c r="B418" s="5" t="s">
        <v>19</v>
      </c>
      <c r="C418" s="5" t="s">
        <v>13</v>
      </c>
      <c r="D418" s="5" t="s">
        <v>9</v>
      </c>
      <c r="E418" s="5" t="s">
        <v>10</v>
      </c>
      <c r="F418" s="5">
        <v>1245.54</v>
      </c>
    </row>
    <row r="419" spans="1:6" ht="15.75" thickBot="1" x14ac:dyDescent="0.3">
      <c r="A419" s="4" t="s">
        <v>123</v>
      </c>
      <c r="B419" s="5" t="s">
        <v>30</v>
      </c>
      <c r="C419" s="5" t="s">
        <v>34</v>
      </c>
      <c r="D419" s="5" t="s">
        <v>14</v>
      </c>
      <c r="E419" s="5" t="s">
        <v>15</v>
      </c>
      <c r="F419" s="5">
        <v>2891.84</v>
      </c>
    </row>
    <row r="420" spans="1:6" ht="15.75" thickBot="1" x14ac:dyDescent="0.3">
      <c r="A420" s="4" t="s">
        <v>54</v>
      </c>
      <c r="B420" s="5" t="s">
        <v>12</v>
      </c>
      <c r="C420" s="5" t="s">
        <v>8</v>
      </c>
      <c r="D420" s="5" t="s">
        <v>14</v>
      </c>
      <c r="E420" s="5" t="s">
        <v>10</v>
      </c>
      <c r="F420" s="5">
        <v>2482.64</v>
      </c>
    </row>
    <row r="421" spans="1:6" ht="15.75" thickBot="1" x14ac:dyDescent="0.3">
      <c r="A421" s="4" t="s">
        <v>162</v>
      </c>
      <c r="B421" s="5" t="s">
        <v>30</v>
      </c>
      <c r="C421" s="5" t="s">
        <v>23</v>
      </c>
      <c r="D421" s="5" t="s">
        <v>9</v>
      </c>
      <c r="E421" s="5" t="s">
        <v>10</v>
      </c>
      <c r="F421" s="5">
        <v>3463.8851949999998</v>
      </c>
    </row>
    <row r="422" spans="1:6" ht="15.75" thickBot="1" x14ac:dyDescent="0.3">
      <c r="A422" s="4" t="s">
        <v>193</v>
      </c>
      <c r="B422" s="5" t="s">
        <v>12</v>
      </c>
      <c r="C422" s="5" t="s">
        <v>8</v>
      </c>
      <c r="D422" s="5" t="s">
        <v>9</v>
      </c>
      <c r="E422" s="5" t="s">
        <v>24</v>
      </c>
      <c r="F422" s="5">
        <v>2901.3369090000001</v>
      </c>
    </row>
    <row r="423" spans="1:6" ht="30.75" thickBot="1" x14ac:dyDescent="0.3">
      <c r="A423" s="4" t="s">
        <v>194</v>
      </c>
      <c r="B423" s="5" t="s">
        <v>17</v>
      </c>
      <c r="C423" s="5" t="s">
        <v>34</v>
      </c>
      <c r="D423" s="5" t="s">
        <v>14</v>
      </c>
      <c r="E423" s="5" t="s">
        <v>15</v>
      </c>
      <c r="F423" s="5">
        <v>1323.76</v>
      </c>
    </row>
    <row r="424" spans="1:6" ht="30.75" thickBot="1" x14ac:dyDescent="0.3">
      <c r="A424" s="4" t="s">
        <v>190</v>
      </c>
      <c r="B424" s="5" t="s">
        <v>17</v>
      </c>
      <c r="C424" s="5" t="s">
        <v>8</v>
      </c>
      <c r="D424" s="5" t="s">
        <v>9</v>
      </c>
      <c r="E424" s="5" t="s">
        <v>24</v>
      </c>
      <c r="F424" s="5">
        <v>2332.1231010000001</v>
      </c>
    </row>
    <row r="425" spans="1:6" ht="15.75" thickBot="1" x14ac:dyDescent="0.3">
      <c r="A425" s="4" t="s">
        <v>141</v>
      </c>
      <c r="B425" s="5" t="s">
        <v>7</v>
      </c>
      <c r="C425" s="5" t="s">
        <v>8</v>
      </c>
      <c r="D425" s="5" t="s">
        <v>28</v>
      </c>
      <c r="E425" s="5" t="s">
        <v>24</v>
      </c>
      <c r="F425" s="5">
        <v>462.78</v>
      </c>
    </row>
    <row r="426" spans="1:6" ht="15.75" thickBot="1" x14ac:dyDescent="0.3">
      <c r="A426" s="4" t="s">
        <v>193</v>
      </c>
      <c r="B426" s="5" t="s">
        <v>12</v>
      </c>
      <c r="C426" s="5" t="s">
        <v>23</v>
      </c>
      <c r="D426" s="5" t="s">
        <v>14</v>
      </c>
      <c r="E426" s="5" t="s">
        <v>15</v>
      </c>
      <c r="F426" s="5">
        <v>1229.33</v>
      </c>
    </row>
    <row r="427" spans="1:6" ht="15.75" thickBot="1" x14ac:dyDescent="0.3">
      <c r="A427" s="4" t="s">
        <v>92</v>
      </c>
      <c r="B427" s="5" t="s">
        <v>30</v>
      </c>
      <c r="C427" s="5" t="s">
        <v>13</v>
      </c>
      <c r="D427" s="5" t="s">
        <v>14</v>
      </c>
      <c r="E427" s="5" t="s">
        <v>15</v>
      </c>
      <c r="F427" s="5">
        <v>3457.79</v>
      </c>
    </row>
    <row r="428" spans="1:6" ht="30.75" thickBot="1" x14ac:dyDescent="0.3">
      <c r="A428" s="4" t="s">
        <v>89</v>
      </c>
      <c r="B428" s="5" t="s">
        <v>17</v>
      </c>
      <c r="C428" s="5" t="s">
        <v>8</v>
      </c>
      <c r="D428" s="5" t="s">
        <v>14</v>
      </c>
      <c r="E428" s="5" t="s">
        <v>15</v>
      </c>
      <c r="F428" s="5">
        <v>3519.41</v>
      </c>
    </row>
    <row r="429" spans="1:6" ht="30.75" thickBot="1" x14ac:dyDescent="0.3">
      <c r="A429" s="4" t="s">
        <v>171</v>
      </c>
      <c r="B429" s="5" t="s">
        <v>17</v>
      </c>
      <c r="C429" s="5" t="s">
        <v>8</v>
      </c>
      <c r="D429" s="5" t="s">
        <v>28</v>
      </c>
      <c r="E429" s="5" t="s">
        <v>24</v>
      </c>
      <c r="F429" s="5">
        <v>2913.47</v>
      </c>
    </row>
    <row r="430" spans="1:6" ht="15.75" thickBot="1" x14ac:dyDescent="0.3">
      <c r="A430" s="4" t="s">
        <v>195</v>
      </c>
      <c r="B430" s="5" t="s">
        <v>7</v>
      </c>
      <c r="C430" s="5" t="s">
        <v>34</v>
      </c>
      <c r="D430" s="5" t="s">
        <v>28</v>
      </c>
      <c r="E430" s="5" t="s">
        <v>15</v>
      </c>
      <c r="F430" s="5">
        <v>1431.51</v>
      </c>
    </row>
    <row r="431" spans="1:6" ht="15.75" thickBot="1" x14ac:dyDescent="0.3">
      <c r="A431" s="4" t="s">
        <v>85</v>
      </c>
      <c r="B431" s="5" t="s">
        <v>30</v>
      </c>
      <c r="C431" s="5" t="s">
        <v>34</v>
      </c>
      <c r="D431" s="5" t="s">
        <v>28</v>
      </c>
      <c r="E431" s="5" t="s">
        <v>24</v>
      </c>
      <c r="F431" s="5">
        <v>2346.0500000000002</v>
      </c>
    </row>
    <row r="432" spans="1:6" ht="15.75" thickBot="1" x14ac:dyDescent="0.3">
      <c r="A432" s="4" t="s">
        <v>122</v>
      </c>
      <c r="B432" s="5" t="s">
        <v>19</v>
      </c>
      <c r="C432" s="5" t="s">
        <v>8</v>
      </c>
      <c r="D432" s="5" t="s">
        <v>28</v>
      </c>
      <c r="E432" s="5" t="s">
        <v>15</v>
      </c>
      <c r="F432" s="5">
        <v>4191.3599999999997</v>
      </c>
    </row>
    <row r="433" spans="1:6" ht="15.75" thickBot="1" x14ac:dyDescent="0.3">
      <c r="A433" s="4" t="s">
        <v>87</v>
      </c>
      <c r="B433" s="5" t="s">
        <v>12</v>
      </c>
      <c r="C433" s="5" t="s">
        <v>34</v>
      </c>
      <c r="D433" s="5" t="s">
        <v>9</v>
      </c>
      <c r="E433" s="5" t="s">
        <v>15</v>
      </c>
      <c r="F433" s="5">
        <v>2422.4672390000001</v>
      </c>
    </row>
    <row r="434" spans="1:6" ht="30.75" thickBot="1" x14ac:dyDescent="0.3">
      <c r="A434" s="4" t="s">
        <v>76</v>
      </c>
      <c r="B434" s="5" t="s">
        <v>17</v>
      </c>
      <c r="C434" s="5" t="s">
        <v>13</v>
      </c>
      <c r="D434" s="5" t="s">
        <v>9</v>
      </c>
      <c r="E434" s="5" t="s">
        <v>10</v>
      </c>
      <c r="F434" s="5">
        <v>3331.6588299999999</v>
      </c>
    </row>
    <row r="435" spans="1:6" ht="15.75" thickBot="1" x14ac:dyDescent="0.3">
      <c r="A435" s="4" t="s">
        <v>164</v>
      </c>
      <c r="B435" s="5" t="s">
        <v>19</v>
      </c>
      <c r="C435" s="5" t="s">
        <v>34</v>
      </c>
      <c r="D435" s="5" t="s">
        <v>14</v>
      </c>
      <c r="E435" s="5" t="s">
        <v>15</v>
      </c>
      <c r="F435" s="5">
        <v>1833.49</v>
      </c>
    </row>
    <row r="436" spans="1:6" ht="30.75" thickBot="1" x14ac:dyDescent="0.3">
      <c r="A436" s="4" t="s">
        <v>137</v>
      </c>
      <c r="B436" s="5" t="s">
        <v>17</v>
      </c>
      <c r="C436" s="5" t="s">
        <v>23</v>
      </c>
      <c r="D436" s="5" t="s">
        <v>14</v>
      </c>
      <c r="E436" s="5" t="s">
        <v>10</v>
      </c>
      <c r="F436" s="5">
        <v>4018.22</v>
      </c>
    </row>
    <row r="437" spans="1:6" ht="30.75" thickBot="1" x14ac:dyDescent="0.3">
      <c r="A437" s="4" t="s">
        <v>140</v>
      </c>
      <c r="B437" s="5" t="s">
        <v>17</v>
      </c>
      <c r="C437" s="5" t="s">
        <v>23</v>
      </c>
      <c r="D437" s="5" t="s">
        <v>9</v>
      </c>
      <c r="E437" s="5" t="s">
        <v>10</v>
      </c>
      <c r="F437" s="5">
        <v>2681.922975</v>
      </c>
    </row>
    <row r="438" spans="1:6" ht="30.75" thickBot="1" x14ac:dyDescent="0.3">
      <c r="A438" s="4" t="s">
        <v>89</v>
      </c>
      <c r="B438" s="5" t="s">
        <v>17</v>
      </c>
      <c r="C438" s="5" t="s">
        <v>13</v>
      </c>
      <c r="D438" s="5" t="s">
        <v>9</v>
      </c>
      <c r="E438" s="5" t="s">
        <v>24</v>
      </c>
      <c r="F438" s="5">
        <v>1889.493285</v>
      </c>
    </row>
    <row r="439" spans="1:6" ht="15.75" thickBot="1" x14ac:dyDescent="0.3">
      <c r="A439" s="4" t="s">
        <v>196</v>
      </c>
      <c r="B439" s="5" t="s">
        <v>30</v>
      </c>
      <c r="C439" s="5" t="s">
        <v>34</v>
      </c>
      <c r="D439" s="5" t="s">
        <v>14</v>
      </c>
      <c r="E439" s="5" t="s">
        <v>10</v>
      </c>
      <c r="F439" s="5">
        <v>1407.92</v>
      </c>
    </row>
    <row r="440" spans="1:6" ht="15.75" thickBot="1" x14ac:dyDescent="0.3">
      <c r="A440" s="4" t="s">
        <v>99</v>
      </c>
      <c r="B440" s="5" t="s">
        <v>19</v>
      </c>
      <c r="C440" s="5" t="s">
        <v>34</v>
      </c>
      <c r="D440" s="5" t="s">
        <v>14</v>
      </c>
      <c r="E440" s="5" t="s">
        <v>15</v>
      </c>
      <c r="F440" s="5">
        <v>4935.72</v>
      </c>
    </row>
    <row r="441" spans="1:6" ht="30.75" thickBot="1" x14ac:dyDescent="0.3">
      <c r="A441" s="4" t="s">
        <v>59</v>
      </c>
      <c r="B441" s="5" t="s">
        <v>17</v>
      </c>
      <c r="C441" s="5" t="s">
        <v>8</v>
      </c>
      <c r="D441" s="5" t="s">
        <v>9</v>
      </c>
      <c r="E441" s="5" t="s">
        <v>15</v>
      </c>
      <c r="F441" s="5">
        <v>2103.19</v>
      </c>
    </row>
    <row r="442" spans="1:6" ht="30.75" thickBot="1" x14ac:dyDescent="0.3">
      <c r="A442" s="4" t="s">
        <v>148</v>
      </c>
      <c r="B442" s="5" t="s">
        <v>17</v>
      </c>
      <c r="C442" s="5" t="s">
        <v>23</v>
      </c>
      <c r="D442" s="5" t="s">
        <v>28</v>
      </c>
      <c r="E442" s="5" t="s">
        <v>10</v>
      </c>
      <c r="F442" s="5">
        <v>2046.76</v>
      </c>
    </row>
    <row r="443" spans="1:6" ht="15.75" thickBot="1" x14ac:dyDescent="0.3">
      <c r="A443" s="4" t="s">
        <v>85</v>
      </c>
      <c r="B443" s="5" t="s">
        <v>30</v>
      </c>
      <c r="C443" s="5" t="s">
        <v>8</v>
      </c>
      <c r="D443" s="5" t="s">
        <v>14</v>
      </c>
      <c r="E443" s="5" t="s">
        <v>24</v>
      </c>
      <c r="F443" s="5">
        <v>3397.43</v>
      </c>
    </row>
    <row r="444" spans="1:6" ht="15.75" thickBot="1" x14ac:dyDescent="0.3">
      <c r="A444" s="4" t="s">
        <v>195</v>
      </c>
      <c r="B444" s="5" t="s">
        <v>7</v>
      </c>
      <c r="C444" s="5" t="s">
        <v>13</v>
      </c>
      <c r="D444" s="5" t="s">
        <v>9</v>
      </c>
      <c r="E444" s="5" t="s">
        <v>10</v>
      </c>
      <c r="F444" s="5">
        <v>3221.574627</v>
      </c>
    </row>
    <row r="445" spans="1:6" ht="15.75" thickBot="1" x14ac:dyDescent="0.3">
      <c r="A445" s="4" t="s">
        <v>121</v>
      </c>
      <c r="B445" s="5" t="s">
        <v>30</v>
      </c>
      <c r="C445" s="5" t="s">
        <v>13</v>
      </c>
      <c r="D445" s="5" t="s">
        <v>9</v>
      </c>
      <c r="E445" s="5" t="s">
        <v>15</v>
      </c>
      <c r="F445" s="5">
        <v>4882.4680390000003</v>
      </c>
    </row>
    <row r="446" spans="1:6" ht="15.75" thickBot="1" x14ac:dyDescent="0.3">
      <c r="A446" s="4" t="s">
        <v>197</v>
      </c>
      <c r="B446" s="5" t="s">
        <v>30</v>
      </c>
      <c r="C446" s="5" t="s">
        <v>13</v>
      </c>
      <c r="D446" s="5" t="s">
        <v>28</v>
      </c>
      <c r="E446" s="5" t="s">
        <v>24</v>
      </c>
      <c r="F446" s="5">
        <v>2857.09</v>
      </c>
    </row>
    <row r="447" spans="1:6" ht="30.75" thickBot="1" x14ac:dyDescent="0.3">
      <c r="A447" s="4" t="s">
        <v>143</v>
      </c>
      <c r="B447" s="5" t="s">
        <v>17</v>
      </c>
      <c r="C447" s="5" t="s">
        <v>8</v>
      </c>
      <c r="D447" s="5" t="s">
        <v>14</v>
      </c>
      <c r="E447" s="5" t="s">
        <v>24</v>
      </c>
      <c r="F447" s="5">
        <v>1140.1600000000001</v>
      </c>
    </row>
    <row r="448" spans="1:6" ht="15.75" thickBot="1" x14ac:dyDescent="0.3">
      <c r="A448" s="4" t="s">
        <v>52</v>
      </c>
      <c r="B448" s="5" t="s">
        <v>19</v>
      </c>
      <c r="C448" s="5" t="s">
        <v>34</v>
      </c>
      <c r="D448" s="5" t="s">
        <v>9</v>
      </c>
      <c r="E448" s="5" t="s">
        <v>24</v>
      </c>
      <c r="F448" s="5">
        <v>2822.9423630000001</v>
      </c>
    </row>
    <row r="449" spans="1:6" ht="30.75" thickBot="1" x14ac:dyDescent="0.3">
      <c r="A449" s="4" t="s">
        <v>129</v>
      </c>
      <c r="B449" s="5" t="s">
        <v>17</v>
      </c>
      <c r="C449" s="5" t="s">
        <v>23</v>
      </c>
      <c r="D449" s="5" t="s">
        <v>28</v>
      </c>
      <c r="E449" s="5" t="s">
        <v>15</v>
      </c>
      <c r="F449" s="5">
        <v>727.78</v>
      </c>
    </row>
    <row r="450" spans="1:6" ht="15.75" thickBot="1" x14ac:dyDescent="0.3">
      <c r="A450" s="4" t="s">
        <v>183</v>
      </c>
      <c r="B450" s="5" t="s">
        <v>7</v>
      </c>
      <c r="C450" s="5" t="s">
        <v>8</v>
      </c>
      <c r="D450" s="5" t="s">
        <v>9</v>
      </c>
      <c r="E450" s="5" t="s">
        <v>10</v>
      </c>
      <c r="F450" s="5">
        <v>367.90000450000002</v>
      </c>
    </row>
    <row r="451" spans="1:6" ht="15.75" thickBot="1" x14ac:dyDescent="0.3">
      <c r="A451" s="4" t="s">
        <v>198</v>
      </c>
      <c r="B451" s="5" t="s">
        <v>12</v>
      </c>
      <c r="C451" s="5" t="s">
        <v>34</v>
      </c>
      <c r="D451" s="5" t="s">
        <v>14</v>
      </c>
      <c r="E451" s="5" t="s">
        <v>10</v>
      </c>
      <c r="F451" s="5">
        <v>2303.56</v>
      </c>
    </row>
    <row r="452" spans="1:6" ht="30.75" thickBot="1" x14ac:dyDescent="0.3">
      <c r="A452" s="4" t="s">
        <v>147</v>
      </c>
      <c r="B452" s="5" t="s">
        <v>17</v>
      </c>
      <c r="C452" s="5" t="s">
        <v>34</v>
      </c>
      <c r="D452" s="5" t="s">
        <v>14</v>
      </c>
      <c r="E452" s="5" t="s">
        <v>15</v>
      </c>
      <c r="F452" s="5">
        <v>1650.12</v>
      </c>
    </row>
    <row r="453" spans="1:6" ht="15.75" thickBot="1" x14ac:dyDescent="0.3">
      <c r="A453" s="4" t="s">
        <v>134</v>
      </c>
      <c r="B453" s="5" t="s">
        <v>7</v>
      </c>
      <c r="C453" s="5" t="s">
        <v>8</v>
      </c>
      <c r="D453" s="5" t="s">
        <v>9</v>
      </c>
      <c r="E453" s="5" t="s">
        <v>15</v>
      </c>
      <c r="F453" s="5">
        <v>4564.4035119999999</v>
      </c>
    </row>
    <row r="454" spans="1:6" ht="15.75" thickBot="1" x14ac:dyDescent="0.3">
      <c r="A454" s="4" t="s">
        <v>124</v>
      </c>
      <c r="B454" s="5" t="s">
        <v>12</v>
      </c>
      <c r="C454" s="5" t="s">
        <v>8</v>
      </c>
      <c r="D454" s="5" t="s">
        <v>14</v>
      </c>
      <c r="E454" s="5" t="s">
        <v>24</v>
      </c>
      <c r="F454" s="5">
        <v>3466.51</v>
      </c>
    </row>
    <row r="455" spans="1:6" ht="15.75" thickBot="1" x14ac:dyDescent="0.3">
      <c r="A455" s="4" t="s">
        <v>172</v>
      </c>
      <c r="B455" s="5" t="s">
        <v>7</v>
      </c>
      <c r="C455" s="5" t="s">
        <v>13</v>
      </c>
      <c r="D455" s="5" t="s">
        <v>14</v>
      </c>
      <c r="E455" s="5" t="s">
        <v>15</v>
      </c>
      <c r="F455" s="5">
        <v>4237.8100000000004</v>
      </c>
    </row>
    <row r="456" spans="1:6" ht="15.75" thickBot="1" x14ac:dyDescent="0.3">
      <c r="A456" s="4" t="s">
        <v>36</v>
      </c>
      <c r="B456" s="5" t="s">
        <v>12</v>
      </c>
      <c r="C456" s="5" t="s">
        <v>23</v>
      </c>
      <c r="D456" s="5" t="s">
        <v>28</v>
      </c>
      <c r="E456" s="5" t="s">
        <v>24</v>
      </c>
      <c r="F456" s="5">
        <v>323.04000000000002</v>
      </c>
    </row>
    <row r="457" spans="1:6" ht="15.75" thickBot="1" x14ac:dyDescent="0.3">
      <c r="A457" s="4" t="s">
        <v>134</v>
      </c>
      <c r="B457" s="5" t="s">
        <v>7</v>
      </c>
      <c r="C457" s="5" t="s">
        <v>23</v>
      </c>
      <c r="D457" s="5" t="s">
        <v>28</v>
      </c>
      <c r="E457" s="5" t="s">
        <v>24</v>
      </c>
      <c r="F457" s="5">
        <v>3867.63</v>
      </c>
    </row>
    <row r="458" spans="1:6" ht="15.75" thickBot="1" x14ac:dyDescent="0.3">
      <c r="A458" s="4" t="s">
        <v>172</v>
      </c>
      <c r="B458" s="5" t="s">
        <v>7</v>
      </c>
      <c r="C458" s="5" t="s">
        <v>23</v>
      </c>
      <c r="D458" s="5" t="s">
        <v>9</v>
      </c>
      <c r="E458" s="5" t="s">
        <v>15</v>
      </c>
      <c r="F458" s="5">
        <v>748.11408010000002</v>
      </c>
    </row>
    <row r="459" spans="1:6" ht="30.75" thickBot="1" x14ac:dyDescent="0.3">
      <c r="A459" s="4" t="s">
        <v>37</v>
      </c>
      <c r="B459" s="5" t="s">
        <v>17</v>
      </c>
      <c r="C459" s="5" t="s">
        <v>23</v>
      </c>
      <c r="D459" s="5" t="s">
        <v>9</v>
      </c>
      <c r="E459" s="5" t="s">
        <v>15</v>
      </c>
      <c r="F459" s="5">
        <v>654.85997269999996</v>
      </c>
    </row>
    <row r="460" spans="1:6" ht="15.75" thickBot="1" x14ac:dyDescent="0.3">
      <c r="A460" s="4" t="s">
        <v>50</v>
      </c>
      <c r="B460" s="5" t="s">
        <v>19</v>
      </c>
      <c r="C460" s="5" t="s">
        <v>8</v>
      </c>
      <c r="D460" s="5" t="s">
        <v>14</v>
      </c>
      <c r="E460" s="5" t="s">
        <v>24</v>
      </c>
      <c r="F460" s="5">
        <v>2241.89</v>
      </c>
    </row>
    <row r="461" spans="1:6" ht="15.75" thickBot="1" x14ac:dyDescent="0.3">
      <c r="A461" s="4" t="s">
        <v>48</v>
      </c>
      <c r="B461" s="5" t="s">
        <v>19</v>
      </c>
      <c r="C461" s="5" t="s">
        <v>13</v>
      </c>
      <c r="D461" s="5" t="s">
        <v>28</v>
      </c>
      <c r="E461" s="5" t="s">
        <v>10</v>
      </c>
      <c r="F461" s="5">
        <v>3489.31</v>
      </c>
    </row>
    <row r="462" spans="1:6" ht="15.75" thickBot="1" x14ac:dyDescent="0.3">
      <c r="A462" s="4" t="s">
        <v>123</v>
      </c>
      <c r="B462" s="5" t="s">
        <v>30</v>
      </c>
      <c r="C462" s="5" t="s">
        <v>23</v>
      </c>
      <c r="D462" s="5" t="s">
        <v>14</v>
      </c>
      <c r="E462" s="5" t="s">
        <v>15</v>
      </c>
      <c r="F462" s="5">
        <v>2200.2199999999998</v>
      </c>
    </row>
    <row r="463" spans="1:6" ht="15.75" thickBot="1" x14ac:dyDescent="0.3">
      <c r="A463" s="4" t="s">
        <v>198</v>
      </c>
      <c r="B463" s="5" t="s">
        <v>12</v>
      </c>
      <c r="C463" s="5" t="s">
        <v>23</v>
      </c>
      <c r="D463" s="5" t="s">
        <v>14</v>
      </c>
      <c r="E463" s="5" t="s">
        <v>15</v>
      </c>
      <c r="F463" s="5">
        <v>3247.72</v>
      </c>
    </row>
    <row r="464" spans="1:6" ht="15.75" thickBot="1" x14ac:dyDescent="0.3">
      <c r="A464" s="4" t="s">
        <v>69</v>
      </c>
      <c r="B464" s="5" t="s">
        <v>7</v>
      </c>
      <c r="C464" s="5" t="s">
        <v>13</v>
      </c>
      <c r="D464" s="5" t="s">
        <v>28</v>
      </c>
      <c r="E464" s="5" t="s">
        <v>24</v>
      </c>
      <c r="F464" s="5">
        <v>3855.39</v>
      </c>
    </row>
    <row r="465" spans="1:6" ht="15.75" thickBot="1" x14ac:dyDescent="0.3">
      <c r="A465" s="4" t="s">
        <v>35</v>
      </c>
      <c r="B465" s="5" t="s">
        <v>19</v>
      </c>
      <c r="C465" s="5" t="s">
        <v>8</v>
      </c>
      <c r="D465" s="5" t="s">
        <v>9</v>
      </c>
      <c r="E465" s="5" t="s">
        <v>24</v>
      </c>
      <c r="F465" s="5">
        <v>3111.261825</v>
      </c>
    </row>
    <row r="466" spans="1:6" ht="15.75" thickBot="1" x14ac:dyDescent="0.3">
      <c r="A466" s="4" t="s">
        <v>29</v>
      </c>
      <c r="B466" s="5" t="s">
        <v>30</v>
      </c>
      <c r="C466" s="5" t="s">
        <v>34</v>
      </c>
      <c r="D466" s="5" t="s">
        <v>14</v>
      </c>
      <c r="E466" s="5" t="s">
        <v>10</v>
      </c>
      <c r="F466" s="5">
        <v>2036.83</v>
      </c>
    </row>
    <row r="467" spans="1:6" ht="15.75" thickBot="1" x14ac:dyDescent="0.3">
      <c r="A467" s="4" t="s">
        <v>63</v>
      </c>
      <c r="B467" s="5" t="s">
        <v>12</v>
      </c>
      <c r="C467" s="5" t="s">
        <v>8</v>
      </c>
      <c r="D467" s="5" t="s">
        <v>14</v>
      </c>
      <c r="E467" s="5" t="s">
        <v>15</v>
      </c>
      <c r="F467" s="5">
        <v>4876.37</v>
      </c>
    </row>
    <row r="468" spans="1:6" ht="30.75" thickBot="1" x14ac:dyDescent="0.3">
      <c r="A468" s="4" t="s">
        <v>149</v>
      </c>
      <c r="B468" s="5" t="s">
        <v>17</v>
      </c>
      <c r="C468" s="5" t="s">
        <v>8</v>
      </c>
      <c r="D468" s="5" t="s">
        <v>14</v>
      </c>
      <c r="E468" s="5" t="s">
        <v>24</v>
      </c>
      <c r="F468" s="5">
        <v>4256.16</v>
      </c>
    </row>
    <row r="469" spans="1:6" ht="15.75" thickBot="1" x14ac:dyDescent="0.3">
      <c r="A469" s="4" t="s">
        <v>36</v>
      </c>
      <c r="B469" s="5" t="s">
        <v>12</v>
      </c>
      <c r="C469" s="5" t="s">
        <v>13</v>
      </c>
      <c r="D469" s="5" t="s">
        <v>14</v>
      </c>
      <c r="E469" s="5" t="s">
        <v>15</v>
      </c>
      <c r="F469" s="5">
        <v>4947.18</v>
      </c>
    </row>
    <row r="470" spans="1:6" ht="15.75" thickBot="1" x14ac:dyDescent="0.3">
      <c r="A470" s="4" t="s">
        <v>38</v>
      </c>
      <c r="B470" s="5" t="s">
        <v>30</v>
      </c>
      <c r="C470" s="5" t="s">
        <v>34</v>
      </c>
      <c r="D470" s="5" t="s">
        <v>28</v>
      </c>
      <c r="E470" s="5" t="s">
        <v>10</v>
      </c>
      <c r="F470" s="5">
        <v>425.91</v>
      </c>
    </row>
    <row r="471" spans="1:6" ht="15.75" thickBot="1" x14ac:dyDescent="0.3">
      <c r="A471" s="4" t="s">
        <v>182</v>
      </c>
      <c r="B471" s="5" t="s">
        <v>12</v>
      </c>
      <c r="C471" s="5" t="s">
        <v>8</v>
      </c>
      <c r="D471" s="5" t="s">
        <v>28</v>
      </c>
      <c r="E471" s="5" t="s">
        <v>10</v>
      </c>
      <c r="F471" s="5">
        <v>4620.84</v>
      </c>
    </row>
    <row r="472" spans="1:6" ht="15.75" thickBot="1" x14ac:dyDescent="0.3">
      <c r="A472" s="4" t="s">
        <v>87</v>
      </c>
      <c r="B472" s="5" t="s">
        <v>12</v>
      </c>
      <c r="C472" s="5" t="s">
        <v>8</v>
      </c>
      <c r="D472" s="5" t="s">
        <v>9</v>
      </c>
      <c r="E472" s="5" t="s">
        <v>24</v>
      </c>
      <c r="F472" s="5">
        <v>4302.503428</v>
      </c>
    </row>
    <row r="473" spans="1:6" ht="15.75" thickBot="1" x14ac:dyDescent="0.3">
      <c r="A473" s="4" t="s">
        <v>159</v>
      </c>
      <c r="B473" s="5" t="s">
        <v>7</v>
      </c>
      <c r="C473" s="5" t="s">
        <v>34</v>
      </c>
      <c r="D473" s="5" t="s">
        <v>14</v>
      </c>
      <c r="E473" s="5" t="s">
        <v>15</v>
      </c>
      <c r="F473" s="5">
        <v>2571.46</v>
      </c>
    </row>
    <row r="474" spans="1:6" ht="15.75" thickBot="1" x14ac:dyDescent="0.3">
      <c r="A474" s="4" t="s">
        <v>106</v>
      </c>
      <c r="B474" s="5" t="s">
        <v>12</v>
      </c>
      <c r="C474" s="5" t="s">
        <v>8</v>
      </c>
      <c r="D474" s="5" t="s">
        <v>14</v>
      </c>
      <c r="E474" s="5" t="s">
        <v>15</v>
      </c>
      <c r="F474" s="5">
        <v>968.92</v>
      </c>
    </row>
    <row r="475" spans="1:6" ht="15.75" thickBot="1" x14ac:dyDescent="0.3">
      <c r="A475" s="4" t="s">
        <v>18</v>
      </c>
      <c r="B475" s="5" t="s">
        <v>19</v>
      </c>
      <c r="C475" s="5" t="s">
        <v>23</v>
      </c>
      <c r="D475" s="5" t="s">
        <v>9</v>
      </c>
      <c r="E475" s="5" t="s">
        <v>24</v>
      </c>
      <c r="F475" s="5">
        <v>2916.987545</v>
      </c>
    </row>
    <row r="476" spans="1:6" ht="15.75" thickBot="1" x14ac:dyDescent="0.3">
      <c r="A476" s="4" t="s">
        <v>33</v>
      </c>
      <c r="B476" s="5" t="s">
        <v>19</v>
      </c>
      <c r="C476" s="5" t="s">
        <v>8</v>
      </c>
      <c r="D476" s="5" t="s">
        <v>9</v>
      </c>
      <c r="E476" s="5" t="s">
        <v>10</v>
      </c>
      <c r="F476" s="5">
        <v>4400.8911360000002</v>
      </c>
    </row>
    <row r="477" spans="1:6" ht="15.75" thickBot="1" x14ac:dyDescent="0.3">
      <c r="A477" s="4" t="s">
        <v>195</v>
      </c>
      <c r="B477" s="5" t="s">
        <v>7</v>
      </c>
      <c r="C477" s="5" t="s">
        <v>13</v>
      </c>
      <c r="D477" s="5" t="s">
        <v>9</v>
      </c>
      <c r="E477" s="5" t="s">
        <v>10</v>
      </c>
      <c r="F477" s="5">
        <v>1791.2917809999999</v>
      </c>
    </row>
    <row r="478" spans="1:6" ht="15.75" thickBot="1" x14ac:dyDescent="0.3">
      <c r="A478" s="4" t="s">
        <v>61</v>
      </c>
      <c r="B478" s="5" t="s">
        <v>30</v>
      </c>
      <c r="C478" s="5" t="s">
        <v>8</v>
      </c>
      <c r="D478" s="5" t="s">
        <v>14</v>
      </c>
      <c r="E478" s="5" t="s">
        <v>15</v>
      </c>
      <c r="F478" s="5">
        <v>594.47</v>
      </c>
    </row>
    <row r="479" spans="1:6" ht="30.75" thickBot="1" x14ac:dyDescent="0.3">
      <c r="A479" s="4" t="s">
        <v>199</v>
      </c>
      <c r="B479" s="5" t="s">
        <v>17</v>
      </c>
      <c r="C479" s="5" t="s">
        <v>34</v>
      </c>
      <c r="D479" s="5" t="s">
        <v>28</v>
      </c>
      <c r="E479" s="5" t="s">
        <v>15</v>
      </c>
      <c r="F479" s="5">
        <v>2602.85</v>
      </c>
    </row>
    <row r="480" spans="1:6" ht="15.75" thickBot="1" x14ac:dyDescent="0.3">
      <c r="A480" s="4" t="s">
        <v>31</v>
      </c>
      <c r="B480" s="5" t="s">
        <v>30</v>
      </c>
      <c r="C480" s="5" t="s">
        <v>8</v>
      </c>
      <c r="D480" s="5" t="s">
        <v>14</v>
      </c>
      <c r="E480" s="5" t="s">
        <v>24</v>
      </c>
      <c r="F480" s="5">
        <v>558.53</v>
      </c>
    </row>
    <row r="481" spans="1:6" ht="15.75" thickBot="1" x14ac:dyDescent="0.3">
      <c r="A481" s="4" t="s">
        <v>105</v>
      </c>
      <c r="B481" s="5" t="s">
        <v>30</v>
      </c>
      <c r="C481" s="5" t="s">
        <v>23</v>
      </c>
      <c r="D481" s="5" t="s">
        <v>28</v>
      </c>
      <c r="E481" s="5" t="s">
        <v>24</v>
      </c>
      <c r="F481" s="5">
        <v>3004.54</v>
      </c>
    </row>
    <row r="482" spans="1:6" ht="30.75" thickBot="1" x14ac:dyDescent="0.3">
      <c r="A482" s="4" t="s">
        <v>104</v>
      </c>
      <c r="B482" s="5" t="s">
        <v>17</v>
      </c>
      <c r="C482" s="5" t="s">
        <v>34</v>
      </c>
      <c r="D482" s="5" t="s">
        <v>14</v>
      </c>
      <c r="E482" s="5" t="s">
        <v>15</v>
      </c>
      <c r="F482" s="5">
        <v>1288.92</v>
      </c>
    </row>
    <row r="483" spans="1:6" ht="15.75" thickBot="1" x14ac:dyDescent="0.3">
      <c r="A483" s="4" t="s">
        <v>200</v>
      </c>
      <c r="B483" s="5" t="s">
        <v>30</v>
      </c>
      <c r="C483" s="5" t="s">
        <v>8</v>
      </c>
      <c r="D483" s="5" t="s">
        <v>9</v>
      </c>
      <c r="E483" s="5" t="s">
        <v>24</v>
      </c>
      <c r="F483" s="5">
        <v>4950.7719509999997</v>
      </c>
    </row>
    <row r="484" spans="1:6" ht="15.75" thickBot="1" x14ac:dyDescent="0.3">
      <c r="A484" s="4" t="s">
        <v>33</v>
      </c>
      <c r="B484" s="5" t="s">
        <v>19</v>
      </c>
      <c r="C484" s="5" t="s">
        <v>34</v>
      </c>
      <c r="D484" s="5" t="s">
        <v>28</v>
      </c>
      <c r="E484" s="5" t="s">
        <v>24</v>
      </c>
      <c r="F484" s="5">
        <v>3982.02</v>
      </c>
    </row>
    <row r="485" spans="1:6" ht="15.75" thickBot="1" x14ac:dyDescent="0.3">
      <c r="A485" s="4" t="s">
        <v>196</v>
      </c>
      <c r="B485" s="5" t="s">
        <v>30</v>
      </c>
      <c r="C485" s="5" t="s">
        <v>8</v>
      </c>
      <c r="D485" s="5" t="s">
        <v>28</v>
      </c>
      <c r="E485" s="5" t="s">
        <v>24</v>
      </c>
      <c r="F485" s="5">
        <v>106.32</v>
      </c>
    </row>
    <row r="486" spans="1:6" ht="15.75" thickBot="1" x14ac:dyDescent="0.3">
      <c r="A486" s="4" t="s">
        <v>201</v>
      </c>
      <c r="B486" s="5" t="s">
        <v>12</v>
      </c>
      <c r="C486" s="5" t="s">
        <v>34</v>
      </c>
      <c r="D486" s="5" t="s">
        <v>9</v>
      </c>
      <c r="E486" s="5" t="s">
        <v>10</v>
      </c>
      <c r="F486" s="5">
        <v>1752.0338509999999</v>
      </c>
    </row>
    <row r="487" spans="1:6" ht="30.75" thickBot="1" x14ac:dyDescent="0.3">
      <c r="A487" s="4" t="s">
        <v>129</v>
      </c>
      <c r="B487" s="5" t="s">
        <v>17</v>
      </c>
      <c r="C487" s="5" t="s">
        <v>13</v>
      </c>
      <c r="D487" s="5" t="s">
        <v>28</v>
      </c>
      <c r="E487" s="5" t="s">
        <v>15</v>
      </c>
      <c r="F487" s="5">
        <v>2963</v>
      </c>
    </row>
    <row r="488" spans="1:6" ht="15.75" thickBot="1" x14ac:dyDescent="0.3">
      <c r="A488" s="4" t="s">
        <v>180</v>
      </c>
      <c r="B488" s="5" t="s">
        <v>30</v>
      </c>
      <c r="C488" s="5" t="s">
        <v>13</v>
      </c>
      <c r="D488" s="5" t="s">
        <v>28</v>
      </c>
      <c r="E488" s="5" t="s">
        <v>10</v>
      </c>
      <c r="F488" s="5">
        <v>2067.13</v>
      </c>
    </row>
    <row r="489" spans="1:6" ht="15.75" thickBot="1" x14ac:dyDescent="0.3">
      <c r="A489" s="4" t="s">
        <v>181</v>
      </c>
      <c r="B489" s="5" t="s">
        <v>30</v>
      </c>
      <c r="C489" s="5" t="s">
        <v>8</v>
      </c>
      <c r="D489" s="5" t="s">
        <v>28</v>
      </c>
      <c r="E489" s="5" t="s">
        <v>15</v>
      </c>
      <c r="F489" s="5">
        <v>1493.38</v>
      </c>
    </row>
    <row r="490" spans="1:6" ht="15.75" thickBot="1" x14ac:dyDescent="0.3">
      <c r="A490" s="4" t="s">
        <v>173</v>
      </c>
      <c r="B490" s="5" t="s">
        <v>30</v>
      </c>
      <c r="C490" s="5" t="s">
        <v>8</v>
      </c>
      <c r="D490" s="5" t="s">
        <v>9</v>
      </c>
      <c r="E490" s="5" t="s">
        <v>24</v>
      </c>
      <c r="F490" s="5">
        <v>1311.8245979999999</v>
      </c>
    </row>
    <row r="491" spans="1:6" ht="15.75" thickBot="1" x14ac:dyDescent="0.3">
      <c r="A491" s="4" t="s">
        <v>200</v>
      </c>
      <c r="B491" s="5" t="s">
        <v>30</v>
      </c>
      <c r="C491" s="5" t="s">
        <v>8</v>
      </c>
      <c r="D491" s="5" t="s">
        <v>9</v>
      </c>
      <c r="E491" s="5" t="s">
        <v>15</v>
      </c>
      <c r="F491" s="5">
        <v>3998.6273169999999</v>
      </c>
    </row>
    <row r="492" spans="1:6" ht="15.75" thickBot="1" x14ac:dyDescent="0.3">
      <c r="A492" s="4" t="s">
        <v>33</v>
      </c>
      <c r="B492" s="5" t="s">
        <v>19</v>
      </c>
      <c r="C492" s="5" t="s">
        <v>34</v>
      </c>
      <c r="D492" s="5" t="s">
        <v>14</v>
      </c>
      <c r="E492" s="5" t="s">
        <v>10</v>
      </c>
      <c r="F492" s="5">
        <v>4224.63</v>
      </c>
    </row>
    <row r="493" spans="1:6" ht="15.75" thickBot="1" x14ac:dyDescent="0.3">
      <c r="A493" s="4" t="s">
        <v>96</v>
      </c>
      <c r="B493" s="5" t="s">
        <v>19</v>
      </c>
      <c r="C493" s="5" t="s">
        <v>34</v>
      </c>
      <c r="D493" s="5" t="s">
        <v>9</v>
      </c>
      <c r="E493" s="5" t="s">
        <v>15</v>
      </c>
      <c r="F493" s="5">
        <v>2249.1121229999999</v>
      </c>
    </row>
    <row r="494" spans="1:6" ht="15.75" thickBot="1" x14ac:dyDescent="0.3">
      <c r="A494" s="4" t="s">
        <v>105</v>
      </c>
      <c r="B494" s="5" t="s">
        <v>30</v>
      </c>
      <c r="C494" s="5" t="s">
        <v>23</v>
      </c>
      <c r="D494" s="5" t="s">
        <v>28</v>
      </c>
      <c r="E494" s="5" t="s">
        <v>24</v>
      </c>
      <c r="F494" s="5">
        <v>1492.82</v>
      </c>
    </row>
    <row r="495" spans="1:6" ht="15.75" thickBot="1" x14ac:dyDescent="0.3">
      <c r="A495" s="4" t="s">
        <v>132</v>
      </c>
      <c r="B495" s="5" t="s">
        <v>19</v>
      </c>
      <c r="C495" s="5" t="s">
        <v>8</v>
      </c>
      <c r="D495" s="5" t="s">
        <v>9</v>
      </c>
      <c r="E495" s="5" t="s">
        <v>24</v>
      </c>
      <c r="F495" s="5">
        <v>4652.8755929999998</v>
      </c>
    </row>
    <row r="496" spans="1:6" ht="15.75" thickBot="1" x14ac:dyDescent="0.3">
      <c r="A496" s="4" t="s">
        <v>69</v>
      </c>
      <c r="B496" s="5" t="s">
        <v>7</v>
      </c>
      <c r="C496" s="5" t="s">
        <v>34</v>
      </c>
      <c r="D496" s="5" t="s">
        <v>14</v>
      </c>
      <c r="E496" s="5" t="s">
        <v>10</v>
      </c>
      <c r="F496" s="5">
        <v>2725.88</v>
      </c>
    </row>
    <row r="497" spans="1:6" ht="15.75" thickBot="1" x14ac:dyDescent="0.3">
      <c r="A497" s="4" t="s">
        <v>75</v>
      </c>
      <c r="B497" s="5" t="s">
        <v>19</v>
      </c>
      <c r="C497" s="5" t="s">
        <v>23</v>
      </c>
      <c r="D497" s="5" t="s">
        <v>9</v>
      </c>
      <c r="E497" s="5" t="s">
        <v>24</v>
      </c>
      <c r="F497" s="5">
        <v>3666.3757099999998</v>
      </c>
    </row>
    <row r="498" spans="1:6" ht="15.75" thickBot="1" x14ac:dyDescent="0.3">
      <c r="A498" s="4" t="s">
        <v>202</v>
      </c>
      <c r="B498" s="5" t="s">
        <v>12</v>
      </c>
      <c r="C498" s="5" t="s">
        <v>23</v>
      </c>
      <c r="D498" s="5" t="s">
        <v>28</v>
      </c>
      <c r="E498" s="5" t="s">
        <v>15</v>
      </c>
      <c r="F498" s="5">
        <v>216.52</v>
      </c>
    </row>
    <row r="499" spans="1:6" ht="15.75" thickBot="1" x14ac:dyDescent="0.3">
      <c r="A499" s="4" t="s">
        <v>203</v>
      </c>
      <c r="B499" s="5" t="s">
        <v>12</v>
      </c>
      <c r="C499" s="5" t="s">
        <v>34</v>
      </c>
      <c r="D499" s="5" t="s">
        <v>14</v>
      </c>
      <c r="E499" s="5" t="s">
        <v>10</v>
      </c>
      <c r="F499" s="5">
        <v>1898.59</v>
      </c>
    </row>
    <row r="500" spans="1:6" ht="15.75" thickBot="1" x14ac:dyDescent="0.3">
      <c r="A500" s="4" t="s">
        <v>94</v>
      </c>
      <c r="B500" s="5" t="s">
        <v>7</v>
      </c>
      <c r="C500" s="5" t="s">
        <v>23</v>
      </c>
      <c r="D500" s="5" t="s">
        <v>9</v>
      </c>
      <c r="E500" s="5" t="s">
        <v>10</v>
      </c>
      <c r="F500" s="5">
        <v>3557.5735020000002</v>
      </c>
    </row>
    <row r="501" spans="1:6" ht="30.75" thickBot="1" x14ac:dyDescent="0.3">
      <c r="A501" s="4" t="s">
        <v>116</v>
      </c>
      <c r="B501" s="5" t="s">
        <v>17</v>
      </c>
      <c r="C501" s="5" t="s">
        <v>13</v>
      </c>
      <c r="D501" s="5" t="s">
        <v>9</v>
      </c>
      <c r="E501" s="5" t="s">
        <v>15</v>
      </c>
      <c r="F501" s="5">
        <v>1488.084012</v>
      </c>
    </row>
    <row r="502" spans="1:6" ht="15.75" thickBot="1" x14ac:dyDescent="0.3">
      <c r="A502" s="4" t="s">
        <v>6</v>
      </c>
      <c r="B502" s="5" t="s">
        <v>7</v>
      </c>
      <c r="C502" s="5" t="s">
        <v>23</v>
      </c>
      <c r="D502" s="5" t="s">
        <v>14</v>
      </c>
      <c r="E502" s="5" t="s">
        <v>10</v>
      </c>
      <c r="F502" s="5">
        <v>4949.0200000000004</v>
      </c>
    </row>
    <row r="503" spans="1:6" ht="15.75" thickBot="1" x14ac:dyDescent="0.3">
      <c r="A503" s="4" t="s">
        <v>56</v>
      </c>
      <c r="B503" s="5" t="s">
        <v>19</v>
      </c>
      <c r="C503" s="5" t="s">
        <v>34</v>
      </c>
      <c r="D503" s="5" t="s">
        <v>9</v>
      </c>
      <c r="E503" s="5" t="s">
        <v>15</v>
      </c>
      <c r="F503" s="5">
        <v>601.16792499999997</v>
      </c>
    </row>
    <row r="504" spans="1:6" ht="15.75" thickBot="1" x14ac:dyDescent="0.3">
      <c r="A504" s="4" t="s">
        <v>32</v>
      </c>
      <c r="B504" s="5" t="s">
        <v>7</v>
      </c>
      <c r="C504" s="5" t="s">
        <v>23</v>
      </c>
      <c r="D504" s="5" t="s">
        <v>9</v>
      </c>
      <c r="E504" s="5" t="s">
        <v>15</v>
      </c>
      <c r="F504" s="5">
        <v>4121.8599999999997</v>
      </c>
    </row>
    <row r="505" spans="1:6" ht="15.75" thickBot="1" x14ac:dyDescent="0.3">
      <c r="A505" s="4" t="s">
        <v>96</v>
      </c>
      <c r="B505" s="5" t="s">
        <v>19</v>
      </c>
      <c r="C505" s="5" t="s">
        <v>13</v>
      </c>
      <c r="D505" s="5" t="s">
        <v>28</v>
      </c>
      <c r="E505" s="5" t="s">
        <v>15</v>
      </c>
      <c r="F505" s="5">
        <v>2038.67</v>
      </c>
    </row>
    <row r="506" spans="1:6" ht="15.75" thickBot="1" x14ac:dyDescent="0.3">
      <c r="A506" s="4" t="s">
        <v>151</v>
      </c>
      <c r="B506" s="5" t="s">
        <v>12</v>
      </c>
      <c r="C506" s="5" t="s">
        <v>23</v>
      </c>
      <c r="D506" s="5" t="s">
        <v>14</v>
      </c>
      <c r="E506" s="5" t="s">
        <v>10</v>
      </c>
      <c r="F506" s="5">
        <v>1823.3</v>
      </c>
    </row>
    <row r="507" spans="1:6" ht="15.75" thickBot="1" x14ac:dyDescent="0.3">
      <c r="A507" s="4" t="s">
        <v>204</v>
      </c>
      <c r="B507" s="5" t="s">
        <v>30</v>
      </c>
      <c r="C507" s="5" t="s">
        <v>8</v>
      </c>
      <c r="D507" s="5" t="s">
        <v>9</v>
      </c>
      <c r="E507" s="5" t="s">
        <v>10</v>
      </c>
      <c r="F507" s="5">
        <v>380.59776870000002</v>
      </c>
    </row>
    <row r="508" spans="1:6" ht="15.75" thickBot="1" x14ac:dyDescent="0.3">
      <c r="A508" s="4" t="s">
        <v>189</v>
      </c>
      <c r="B508" s="5" t="s">
        <v>19</v>
      </c>
      <c r="C508" s="5" t="s">
        <v>13</v>
      </c>
      <c r="D508" s="5" t="s">
        <v>28</v>
      </c>
      <c r="E508" s="5" t="s">
        <v>15</v>
      </c>
      <c r="F508" s="5">
        <v>3069.63</v>
      </c>
    </row>
    <row r="509" spans="1:6" ht="15.75" thickBot="1" x14ac:dyDescent="0.3">
      <c r="A509" s="4" t="s">
        <v>121</v>
      </c>
      <c r="B509" s="5" t="s">
        <v>30</v>
      </c>
      <c r="C509" s="5" t="s">
        <v>8</v>
      </c>
      <c r="D509" s="5" t="s">
        <v>28</v>
      </c>
      <c r="E509" s="5" t="s">
        <v>15</v>
      </c>
      <c r="F509" s="5">
        <v>1532.06</v>
      </c>
    </row>
    <row r="510" spans="1:6" ht="15.75" thickBot="1" x14ac:dyDescent="0.3">
      <c r="A510" s="4" t="s">
        <v>125</v>
      </c>
      <c r="B510" s="5" t="s">
        <v>7</v>
      </c>
      <c r="C510" s="5" t="s">
        <v>8</v>
      </c>
      <c r="D510" s="5" t="s">
        <v>28</v>
      </c>
      <c r="E510" s="5" t="s">
        <v>10</v>
      </c>
      <c r="F510" s="5">
        <v>3269.38</v>
      </c>
    </row>
    <row r="511" spans="1:6" ht="15.75" thickBot="1" x14ac:dyDescent="0.3">
      <c r="A511" s="4" t="s">
        <v>75</v>
      </c>
      <c r="B511" s="5" t="s">
        <v>19</v>
      </c>
      <c r="C511" s="5" t="s">
        <v>8</v>
      </c>
      <c r="D511" s="5" t="s">
        <v>9</v>
      </c>
      <c r="E511" s="5" t="s">
        <v>10</v>
      </c>
      <c r="F511" s="5">
        <v>2397.750059</v>
      </c>
    </row>
    <row r="512" spans="1:6" ht="30.75" thickBot="1" x14ac:dyDescent="0.3">
      <c r="A512" s="4" t="s">
        <v>58</v>
      </c>
      <c r="B512" s="5" t="s">
        <v>17</v>
      </c>
      <c r="C512" s="5" t="s">
        <v>34</v>
      </c>
      <c r="D512" s="5" t="s">
        <v>14</v>
      </c>
      <c r="E512" s="5" t="s">
        <v>10</v>
      </c>
      <c r="F512" s="5">
        <v>1104.3599999999999</v>
      </c>
    </row>
    <row r="513" spans="1:6" ht="30.75" thickBot="1" x14ac:dyDescent="0.3">
      <c r="A513" s="4" t="s">
        <v>89</v>
      </c>
      <c r="B513" s="5" t="s">
        <v>17</v>
      </c>
      <c r="C513" s="5" t="s">
        <v>8</v>
      </c>
      <c r="D513" s="5" t="s">
        <v>9</v>
      </c>
      <c r="E513" s="5" t="s">
        <v>24</v>
      </c>
      <c r="F513" s="5">
        <v>5406.2894820000001</v>
      </c>
    </row>
    <row r="514" spans="1:6" ht="15.75" thickBot="1" x14ac:dyDescent="0.3">
      <c r="A514" s="4" t="s">
        <v>97</v>
      </c>
      <c r="B514" s="5" t="s">
        <v>7</v>
      </c>
      <c r="C514" s="5" t="s">
        <v>8</v>
      </c>
      <c r="D514" s="5" t="s">
        <v>28</v>
      </c>
      <c r="E514" s="5" t="s">
        <v>15</v>
      </c>
      <c r="F514" s="5">
        <v>2419.31</v>
      </c>
    </row>
    <row r="515" spans="1:6" ht="15.75" thickBot="1" x14ac:dyDescent="0.3">
      <c r="A515" s="4" t="s">
        <v>153</v>
      </c>
      <c r="B515" s="5" t="s">
        <v>7</v>
      </c>
      <c r="C515" s="5" t="s">
        <v>34</v>
      </c>
      <c r="D515" s="5" t="s">
        <v>9</v>
      </c>
      <c r="E515" s="5" t="s">
        <v>24</v>
      </c>
      <c r="F515" s="5">
        <v>1984.2661450000001</v>
      </c>
    </row>
    <row r="516" spans="1:6" ht="15.75" thickBot="1" x14ac:dyDescent="0.3">
      <c r="A516" s="4" t="s">
        <v>74</v>
      </c>
      <c r="B516" s="5" t="s">
        <v>19</v>
      </c>
      <c r="C516" s="5" t="s">
        <v>13</v>
      </c>
      <c r="D516" s="5" t="s">
        <v>28</v>
      </c>
      <c r="E516" s="5" t="s">
        <v>15</v>
      </c>
      <c r="F516" s="5">
        <v>2554.5100000000002</v>
      </c>
    </row>
    <row r="517" spans="1:6" ht="15.75" thickBot="1" x14ac:dyDescent="0.3">
      <c r="A517" s="4" t="s">
        <v>193</v>
      </c>
      <c r="B517" s="5" t="s">
        <v>12</v>
      </c>
      <c r="C517" s="5" t="s">
        <v>23</v>
      </c>
      <c r="D517" s="5" t="s">
        <v>14</v>
      </c>
      <c r="E517" s="5" t="s">
        <v>10</v>
      </c>
      <c r="F517" s="5">
        <v>2087.4</v>
      </c>
    </row>
    <row r="518" spans="1:6" ht="15.75" thickBot="1" x14ac:dyDescent="0.3">
      <c r="A518" s="4" t="s">
        <v>121</v>
      </c>
      <c r="B518" s="5" t="s">
        <v>30</v>
      </c>
      <c r="C518" s="5" t="s">
        <v>34</v>
      </c>
      <c r="D518" s="5" t="s">
        <v>28</v>
      </c>
      <c r="E518" s="5" t="s">
        <v>15</v>
      </c>
      <c r="F518" s="5">
        <v>3785.96</v>
      </c>
    </row>
    <row r="519" spans="1:6" ht="15.75" thickBot="1" x14ac:dyDescent="0.3">
      <c r="A519" s="4" t="s">
        <v>110</v>
      </c>
      <c r="B519" s="5" t="s">
        <v>12</v>
      </c>
      <c r="C519" s="5" t="s">
        <v>23</v>
      </c>
      <c r="D519" s="5" t="s">
        <v>14</v>
      </c>
      <c r="E519" s="5" t="s">
        <v>15</v>
      </c>
      <c r="F519" s="5">
        <v>4818.79</v>
      </c>
    </row>
    <row r="520" spans="1:6" ht="15.75" thickBot="1" x14ac:dyDescent="0.3">
      <c r="A520" s="4" t="s">
        <v>105</v>
      </c>
      <c r="B520" s="5" t="s">
        <v>30</v>
      </c>
      <c r="C520" s="5" t="s">
        <v>13</v>
      </c>
      <c r="D520" s="5" t="s">
        <v>14</v>
      </c>
      <c r="E520" s="5" t="s">
        <v>15</v>
      </c>
      <c r="F520" s="5">
        <v>4888.34</v>
      </c>
    </row>
    <row r="521" spans="1:6" ht="30.75" thickBot="1" x14ac:dyDescent="0.3">
      <c r="A521" s="4" t="s">
        <v>16</v>
      </c>
      <c r="B521" s="5" t="s">
        <v>17</v>
      </c>
      <c r="C521" s="5" t="s">
        <v>34</v>
      </c>
      <c r="D521" s="5" t="s">
        <v>14</v>
      </c>
      <c r="E521" s="5" t="s">
        <v>15</v>
      </c>
      <c r="F521" s="5">
        <v>3595.37</v>
      </c>
    </row>
    <row r="522" spans="1:6" ht="15.75" thickBot="1" x14ac:dyDescent="0.3">
      <c r="A522" s="4" t="s">
        <v>109</v>
      </c>
      <c r="B522" s="5" t="s">
        <v>12</v>
      </c>
      <c r="C522" s="5" t="s">
        <v>34</v>
      </c>
      <c r="D522" s="5" t="s">
        <v>14</v>
      </c>
      <c r="E522" s="5" t="s">
        <v>10</v>
      </c>
      <c r="F522" s="5">
        <v>4258.79</v>
      </c>
    </row>
    <row r="523" spans="1:6" ht="15.75" thickBot="1" x14ac:dyDescent="0.3">
      <c r="A523" s="4" t="s">
        <v>186</v>
      </c>
      <c r="B523" s="5" t="s">
        <v>30</v>
      </c>
      <c r="C523" s="5" t="s">
        <v>34</v>
      </c>
      <c r="D523" s="5" t="s">
        <v>28</v>
      </c>
      <c r="E523" s="5" t="s">
        <v>15</v>
      </c>
      <c r="F523" s="5">
        <v>2679.07</v>
      </c>
    </row>
    <row r="524" spans="1:6" ht="15.75" thickBot="1" x14ac:dyDescent="0.3">
      <c r="A524" s="4" t="s">
        <v>53</v>
      </c>
      <c r="B524" s="5" t="s">
        <v>7</v>
      </c>
      <c r="C524" s="5" t="s">
        <v>8</v>
      </c>
      <c r="D524" s="5" t="s">
        <v>28</v>
      </c>
      <c r="E524" s="5" t="s">
        <v>24</v>
      </c>
      <c r="F524" s="5">
        <v>3884.75</v>
      </c>
    </row>
    <row r="525" spans="1:6" ht="15.75" thickBot="1" x14ac:dyDescent="0.3">
      <c r="A525" s="4" t="s">
        <v>52</v>
      </c>
      <c r="B525" s="5" t="s">
        <v>19</v>
      </c>
      <c r="C525" s="5" t="s">
        <v>34</v>
      </c>
      <c r="D525" s="5" t="s">
        <v>28</v>
      </c>
      <c r="E525" s="5" t="s">
        <v>24</v>
      </c>
      <c r="F525" s="5">
        <v>3771</v>
      </c>
    </row>
    <row r="526" spans="1:6" ht="15.75" thickBot="1" x14ac:dyDescent="0.3">
      <c r="A526" s="4" t="s">
        <v>152</v>
      </c>
      <c r="B526" s="5" t="s">
        <v>30</v>
      </c>
      <c r="C526" s="5" t="s">
        <v>8</v>
      </c>
      <c r="D526" s="5" t="s">
        <v>9</v>
      </c>
      <c r="E526" s="5" t="s">
        <v>10</v>
      </c>
      <c r="F526" s="5">
        <v>3711.3889049999998</v>
      </c>
    </row>
    <row r="527" spans="1:6" ht="15.75" thickBot="1" x14ac:dyDescent="0.3">
      <c r="A527" s="4" t="s">
        <v>74</v>
      </c>
      <c r="B527" s="5" t="s">
        <v>19</v>
      </c>
      <c r="C527" s="5" t="s">
        <v>34</v>
      </c>
      <c r="D527" s="5" t="s">
        <v>14</v>
      </c>
      <c r="E527" s="5" t="s">
        <v>15</v>
      </c>
      <c r="F527" s="5">
        <v>506.34</v>
      </c>
    </row>
    <row r="528" spans="1:6" ht="15.75" thickBot="1" x14ac:dyDescent="0.3">
      <c r="A528" s="4" t="s">
        <v>67</v>
      </c>
      <c r="B528" s="5" t="s">
        <v>7</v>
      </c>
      <c r="C528" s="5" t="s">
        <v>8</v>
      </c>
      <c r="D528" s="5" t="s">
        <v>9</v>
      </c>
      <c r="E528" s="5" t="s">
        <v>10</v>
      </c>
      <c r="F528" s="5">
        <v>2868.75</v>
      </c>
    </row>
    <row r="529" spans="1:6" ht="15.75" thickBot="1" x14ac:dyDescent="0.3">
      <c r="A529" s="4" t="s">
        <v>180</v>
      </c>
      <c r="B529" s="5" t="s">
        <v>30</v>
      </c>
      <c r="C529" s="5" t="s">
        <v>13</v>
      </c>
      <c r="D529" s="5" t="s">
        <v>28</v>
      </c>
      <c r="E529" s="5" t="s">
        <v>15</v>
      </c>
      <c r="F529" s="5">
        <v>4633.6899999999996</v>
      </c>
    </row>
    <row r="530" spans="1:6" ht="15.75" thickBot="1" x14ac:dyDescent="0.3">
      <c r="A530" s="4" t="s">
        <v>63</v>
      </c>
      <c r="B530" s="5" t="s">
        <v>12</v>
      </c>
      <c r="C530" s="5" t="s">
        <v>23</v>
      </c>
      <c r="D530" s="5" t="s">
        <v>28</v>
      </c>
      <c r="E530" s="5" t="s">
        <v>15</v>
      </c>
      <c r="F530" s="5">
        <v>822.11</v>
      </c>
    </row>
    <row r="531" spans="1:6" ht="15.75" thickBot="1" x14ac:dyDescent="0.3">
      <c r="A531" s="4" t="s">
        <v>119</v>
      </c>
      <c r="B531" s="5" t="s">
        <v>30</v>
      </c>
      <c r="C531" s="5" t="s">
        <v>34</v>
      </c>
      <c r="D531" s="5" t="s">
        <v>28</v>
      </c>
      <c r="E531" s="5" t="s">
        <v>24</v>
      </c>
      <c r="F531" s="5">
        <v>381.04</v>
      </c>
    </row>
    <row r="532" spans="1:6" ht="15.75" thickBot="1" x14ac:dyDescent="0.3">
      <c r="A532" s="4" t="s">
        <v>113</v>
      </c>
      <c r="B532" s="5" t="s">
        <v>30</v>
      </c>
      <c r="C532" s="5" t="s">
        <v>23</v>
      </c>
      <c r="D532" s="5" t="s">
        <v>14</v>
      </c>
      <c r="E532" s="5" t="s">
        <v>10</v>
      </c>
      <c r="F532" s="5">
        <v>4854.5</v>
      </c>
    </row>
    <row r="533" spans="1:6" ht="15.75" thickBot="1" x14ac:dyDescent="0.3">
      <c r="A533" s="4" t="s">
        <v>38</v>
      </c>
      <c r="B533" s="5" t="s">
        <v>30</v>
      </c>
      <c r="C533" s="5" t="s">
        <v>34</v>
      </c>
      <c r="D533" s="5" t="s">
        <v>14</v>
      </c>
      <c r="E533" s="5" t="s">
        <v>10</v>
      </c>
      <c r="F533" s="5">
        <v>4069.56</v>
      </c>
    </row>
    <row r="534" spans="1:6" ht="15.75" thickBot="1" x14ac:dyDescent="0.3">
      <c r="A534" s="4" t="s">
        <v>141</v>
      </c>
      <c r="B534" s="5" t="s">
        <v>7</v>
      </c>
      <c r="C534" s="5" t="s">
        <v>8</v>
      </c>
      <c r="D534" s="5" t="s">
        <v>28</v>
      </c>
      <c r="E534" s="5" t="s">
        <v>24</v>
      </c>
      <c r="F534" s="5">
        <v>4573.76</v>
      </c>
    </row>
    <row r="535" spans="1:6" ht="15.75" thickBot="1" x14ac:dyDescent="0.3">
      <c r="A535" s="4" t="s">
        <v>160</v>
      </c>
      <c r="B535" s="5" t="s">
        <v>30</v>
      </c>
      <c r="C535" s="5" t="s">
        <v>34</v>
      </c>
      <c r="D535" s="5" t="s">
        <v>28</v>
      </c>
      <c r="E535" s="5" t="s">
        <v>15</v>
      </c>
      <c r="F535" s="5">
        <v>202.63</v>
      </c>
    </row>
    <row r="536" spans="1:6" ht="15.75" thickBot="1" x14ac:dyDescent="0.3">
      <c r="A536" s="4" t="s">
        <v>107</v>
      </c>
      <c r="B536" s="5" t="s">
        <v>30</v>
      </c>
      <c r="C536" s="5" t="s">
        <v>34</v>
      </c>
      <c r="D536" s="5" t="s">
        <v>14</v>
      </c>
      <c r="E536" s="5" t="s">
        <v>10</v>
      </c>
      <c r="F536" s="5">
        <v>948.57</v>
      </c>
    </row>
    <row r="537" spans="1:6" ht="15.75" thickBot="1" x14ac:dyDescent="0.3">
      <c r="A537" s="4" t="s">
        <v>155</v>
      </c>
      <c r="B537" s="5" t="s">
        <v>7</v>
      </c>
      <c r="C537" s="5" t="s">
        <v>23</v>
      </c>
      <c r="D537" s="5" t="s">
        <v>9</v>
      </c>
      <c r="E537" s="5" t="s">
        <v>24</v>
      </c>
      <c r="F537" s="5">
        <v>1391.940732</v>
      </c>
    </row>
    <row r="538" spans="1:6" ht="15.75" thickBot="1" x14ac:dyDescent="0.3">
      <c r="A538" s="4" t="s">
        <v>103</v>
      </c>
      <c r="B538" s="5" t="s">
        <v>19</v>
      </c>
      <c r="C538" s="5" t="s">
        <v>8</v>
      </c>
      <c r="D538" s="5" t="s">
        <v>9</v>
      </c>
      <c r="E538" s="5" t="s">
        <v>10</v>
      </c>
      <c r="F538" s="5">
        <v>262.76459319999998</v>
      </c>
    </row>
    <row r="539" spans="1:6" ht="15.75" thickBot="1" x14ac:dyDescent="0.3">
      <c r="A539" s="4" t="s">
        <v>53</v>
      </c>
      <c r="B539" s="5" t="s">
        <v>7</v>
      </c>
      <c r="C539" s="5" t="s">
        <v>23</v>
      </c>
      <c r="D539" s="5" t="s">
        <v>28</v>
      </c>
      <c r="E539" s="5" t="s">
        <v>24</v>
      </c>
      <c r="F539" s="5">
        <v>1987.36</v>
      </c>
    </row>
    <row r="540" spans="1:6" ht="15.75" thickBot="1" x14ac:dyDescent="0.3">
      <c r="A540" s="4" t="s">
        <v>178</v>
      </c>
      <c r="B540" s="5" t="s">
        <v>30</v>
      </c>
      <c r="C540" s="5" t="s">
        <v>34</v>
      </c>
      <c r="D540" s="5" t="s">
        <v>14</v>
      </c>
      <c r="E540" s="5" t="s">
        <v>10</v>
      </c>
      <c r="F540" s="5">
        <v>4710.57</v>
      </c>
    </row>
    <row r="541" spans="1:6" ht="15.75" thickBot="1" x14ac:dyDescent="0.3">
      <c r="A541" s="4" t="s">
        <v>135</v>
      </c>
      <c r="B541" s="5" t="s">
        <v>12</v>
      </c>
      <c r="C541" s="5" t="s">
        <v>23</v>
      </c>
      <c r="D541" s="5" t="s">
        <v>9</v>
      </c>
      <c r="E541" s="5" t="s">
        <v>15</v>
      </c>
      <c r="F541" s="5">
        <v>897.12</v>
      </c>
    </row>
    <row r="542" spans="1:6" ht="15.75" thickBot="1" x14ac:dyDescent="0.3">
      <c r="A542" s="4" t="s">
        <v>52</v>
      </c>
      <c r="B542" s="5" t="s">
        <v>19</v>
      </c>
      <c r="C542" s="5" t="s">
        <v>8</v>
      </c>
      <c r="D542" s="5" t="s">
        <v>28</v>
      </c>
      <c r="E542" s="5" t="s">
        <v>10</v>
      </c>
      <c r="F542" s="5">
        <v>4466.1000000000004</v>
      </c>
    </row>
    <row r="543" spans="1:6" ht="15.75" thickBot="1" x14ac:dyDescent="0.3">
      <c r="A543" s="4" t="s">
        <v>55</v>
      </c>
      <c r="B543" s="5" t="s">
        <v>12</v>
      </c>
      <c r="C543" s="5" t="s">
        <v>13</v>
      </c>
      <c r="D543" s="5" t="s">
        <v>28</v>
      </c>
      <c r="E543" s="5" t="s">
        <v>24</v>
      </c>
      <c r="F543" s="5">
        <v>4306.16</v>
      </c>
    </row>
    <row r="544" spans="1:6" ht="30.75" thickBot="1" x14ac:dyDescent="0.3">
      <c r="A544" s="4" t="s">
        <v>205</v>
      </c>
      <c r="B544" s="5" t="s">
        <v>17</v>
      </c>
      <c r="C544" s="5" t="s">
        <v>13</v>
      </c>
      <c r="D544" s="5" t="s">
        <v>28</v>
      </c>
      <c r="E544" s="5" t="s">
        <v>24</v>
      </c>
      <c r="F544" s="5">
        <v>3510.58</v>
      </c>
    </row>
    <row r="545" spans="1:6" ht="15.75" thickBot="1" x14ac:dyDescent="0.3">
      <c r="A545" s="4" t="s">
        <v>50</v>
      </c>
      <c r="B545" s="5" t="s">
        <v>19</v>
      </c>
      <c r="C545" s="5" t="s">
        <v>13</v>
      </c>
      <c r="D545" s="5" t="s">
        <v>14</v>
      </c>
      <c r="E545" s="5" t="s">
        <v>24</v>
      </c>
      <c r="F545" s="5">
        <v>1053.8399999999999</v>
      </c>
    </row>
    <row r="546" spans="1:6" ht="15.75" thickBot="1" x14ac:dyDescent="0.3">
      <c r="A546" s="4" t="s">
        <v>185</v>
      </c>
      <c r="B546" s="5" t="s">
        <v>30</v>
      </c>
      <c r="C546" s="5" t="s">
        <v>13</v>
      </c>
      <c r="D546" s="5" t="s">
        <v>14</v>
      </c>
      <c r="E546" s="5" t="s">
        <v>15</v>
      </c>
      <c r="F546" s="5">
        <v>1084.81</v>
      </c>
    </row>
    <row r="547" spans="1:6" ht="15.75" thickBot="1" x14ac:dyDescent="0.3">
      <c r="A547" s="4" t="s">
        <v>124</v>
      </c>
      <c r="B547" s="5" t="s">
        <v>12</v>
      </c>
      <c r="C547" s="5" t="s">
        <v>34</v>
      </c>
      <c r="D547" s="5" t="s">
        <v>14</v>
      </c>
      <c r="E547" s="5" t="s">
        <v>10</v>
      </c>
      <c r="F547" s="5">
        <v>618.54</v>
      </c>
    </row>
    <row r="548" spans="1:6" ht="15.75" thickBot="1" x14ac:dyDescent="0.3">
      <c r="A548" s="4" t="s">
        <v>138</v>
      </c>
      <c r="B548" s="5" t="s">
        <v>12</v>
      </c>
      <c r="C548" s="5" t="s">
        <v>13</v>
      </c>
      <c r="D548" s="5" t="s">
        <v>28</v>
      </c>
      <c r="E548" s="5" t="s">
        <v>24</v>
      </c>
      <c r="F548" s="5">
        <v>3730.83</v>
      </c>
    </row>
    <row r="549" spans="1:6" ht="15.75" thickBot="1" x14ac:dyDescent="0.3">
      <c r="A549" s="4" t="s">
        <v>178</v>
      </c>
      <c r="B549" s="5" t="s">
        <v>30</v>
      </c>
      <c r="C549" s="5" t="s">
        <v>8</v>
      </c>
      <c r="D549" s="5" t="s">
        <v>9</v>
      </c>
      <c r="E549" s="5" t="s">
        <v>24</v>
      </c>
      <c r="F549" s="5">
        <v>3608.0164239999999</v>
      </c>
    </row>
    <row r="550" spans="1:6" ht="30.75" thickBot="1" x14ac:dyDescent="0.3">
      <c r="A550" s="4" t="s">
        <v>129</v>
      </c>
      <c r="B550" s="5" t="s">
        <v>17</v>
      </c>
      <c r="C550" s="5" t="s">
        <v>34</v>
      </c>
      <c r="D550" s="5" t="s">
        <v>14</v>
      </c>
      <c r="E550" s="5" t="s">
        <v>24</v>
      </c>
      <c r="F550" s="5">
        <v>4037.93</v>
      </c>
    </row>
    <row r="551" spans="1:6" ht="15.75" thickBot="1" x14ac:dyDescent="0.3">
      <c r="A551" s="4" t="s">
        <v>35</v>
      </c>
      <c r="B551" s="5" t="s">
        <v>19</v>
      </c>
      <c r="C551" s="5" t="s">
        <v>8</v>
      </c>
      <c r="D551" s="5" t="s">
        <v>9</v>
      </c>
      <c r="E551" s="5" t="s">
        <v>24</v>
      </c>
      <c r="F551" s="5">
        <v>454.38129889999999</v>
      </c>
    </row>
    <row r="552" spans="1:6" ht="15.75" thickBot="1" x14ac:dyDescent="0.3">
      <c r="A552" s="4" t="s">
        <v>118</v>
      </c>
      <c r="B552" s="5" t="s">
        <v>30</v>
      </c>
      <c r="C552" s="5" t="s">
        <v>34</v>
      </c>
      <c r="D552" s="5" t="s">
        <v>14</v>
      </c>
      <c r="E552" s="5" t="s">
        <v>24</v>
      </c>
      <c r="F552" s="5">
        <v>3824.73</v>
      </c>
    </row>
    <row r="553" spans="1:6" ht="30.75" thickBot="1" x14ac:dyDescent="0.3">
      <c r="A553" s="4" t="s">
        <v>127</v>
      </c>
      <c r="B553" s="5" t="s">
        <v>17</v>
      </c>
      <c r="C553" s="5" t="s">
        <v>23</v>
      </c>
      <c r="D553" s="5" t="s">
        <v>9</v>
      </c>
      <c r="E553" s="5" t="s">
        <v>15</v>
      </c>
      <c r="F553" s="5">
        <v>2188.666952</v>
      </c>
    </row>
    <row r="554" spans="1:6" ht="15.75" thickBot="1" x14ac:dyDescent="0.3">
      <c r="A554" s="4" t="s">
        <v>57</v>
      </c>
      <c r="B554" s="5" t="s">
        <v>19</v>
      </c>
      <c r="C554" s="5" t="s">
        <v>23</v>
      </c>
      <c r="D554" s="5" t="s">
        <v>14</v>
      </c>
      <c r="E554" s="5" t="s">
        <v>24</v>
      </c>
      <c r="F554" s="5">
        <v>1638.41</v>
      </c>
    </row>
    <row r="555" spans="1:6" ht="15.75" thickBot="1" x14ac:dyDescent="0.3">
      <c r="A555" s="4" t="s">
        <v>41</v>
      </c>
      <c r="B555" s="5" t="s">
        <v>30</v>
      </c>
      <c r="C555" s="5" t="s">
        <v>8</v>
      </c>
      <c r="D555" s="5" t="s">
        <v>14</v>
      </c>
      <c r="E555" s="5" t="s">
        <v>15</v>
      </c>
      <c r="F555" s="5">
        <v>4638.62</v>
      </c>
    </row>
    <row r="556" spans="1:6" ht="15.75" thickBot="1" x14ac:dyDescent="0.3">
      <c r="A556" s="4" t="s">
        <v>21</v>
      </c>
      <c r="B556" s="5" t="s">
        <v>19</v>
      </c>
      <c r="C556" s="5" t="s">
        <v>13</v>
      </c>
      <c r="D556" s="5" t="s">
        <v>14</v>
      </c>
      <c r="E556" s="5" t="s">
        <v>15</v>
      </c>
      <c r="F556" s="5">
        <v>2700.91</v>
      </c>
    </row>
    <row r="557" spans="1:6" ht="15.75" thickBot="1" x14ac:dyDescent="0.3">
      <c r="A557" s="4" t="s">
        <v>36</v>
      </c>
      <c r="B557" s="5" t="s">
        <v>12</v>
      </c>
      <c r="C557" s="5" t="s">
        <v>8</v>
      </c>
      <c r="D557" s="5" t="s">
        <v>14</v>
      </c>
      <c r="E557" s="5" t="s">
        <v>24</v>
      </c>
      <c r="F557" s="5">
        <v>4888.18</v>
      </c>
    </row>
    <row r="558" spans="1:6" ht="30.75" thickBot="1" x14ac:dyDescent="0.3">
      <c r="A558" s="4" t="s">
        <v>79</v>
      </c>
      <c r="B558" s="5" t="s">
        <v>17</v>
      </c>
      <c r="C558" s="5" t="s">
        <v>8</v>
      </c>
      <c r="D558" s="5" t="s">
        <v>9</v>
      </c>
      <c r="E558" s="5" t="s">
        <v>10</v>
      </c>
      <c r="F558" s="5">
        <v>1395.928737</v>
      </c>
    </row>
    <row r="559" spans="1:6" ht="15.75" thickBot="1" x14ac:dyDescent="0.3">
      <c r="A559" s="4" t="s">
        <v>186</v>
      </c>
      <c r="B559" s="5" t="s">
        <v>30</v>
      </c>
      <c r="C559" s="5" t="s">
        <v>34</v>
      </c>
      <c r="D559" s="5" t="s">
        <v>28</v>
      </c>
      <c r="E559" s="5" t="s">
        <v>24</v>
      </c>
      <c r="F559" s="5">
        <v>2978</v>
      </c>
    </row>
    <row r="560" spans="1:6" ht="15.75" thickBot="1" x14ac:dyDescent="0.3">
      <c r="A560" s="4" t="s">
        <v>183</v>
      </c>
      <c r="B560" s="5" t="s">
        <v>7</v>
      </c>
      <c r="C560" s="5" t="s">
        <v>23</v>
      </c>
      <c r="D560" s="5" t="s">
        <v>14</v>
      </c>
      <c r="E560" s="5" t="s">
        <v>10</v>
      </c>
      <c r="F560" s="5">
        <v>2047.72</v>
      </c>
    </row>
    <row r="561" spans="1:6" ht="15.75" thickBot="1" x14ac:dyDescent="0.3">
      <c r="A561" s="4" t="s">
        <v>206</v>
      </c>
      <c r="B561" s="5" t="s">
        <v>19</v>
      </c>
      <c r="C561" s="5" t="s">
        <v>23</v>
      </c>
      <c r="D561" s="5" t="s">
        <v>14</v>
      </c>
      <c r="E561" s="5" t="s">
        <v>15</v>
      </c>
      <c r="F561" s="5">
        <v>2384.92</v>
      </c>
    </row>
    <row r="562" spans="1:6" ht="30.75" thickBot="1" x14ac:dyDescent="0.3">
      <c r="A562" s="4" t="s">
        <v>80</v>
      </c>
      <c r="B562" s="5" t="s">
        <v>17</v>
      </c>
      <c r="C562" s="5" t="s">
        <v>23</v>
      </c>
      <c r="D562" s="5" t="s">
        <v>9</v>
      </c>
      <c r="E562" s="5" t="s">
        <v>10</v>
      </c>
      <c r="F562" s="5">
        <v>1560.1904489999999</v>
      </c>
    </row>
    <row r="563" spans="1:6" ht="15.75" thickBot="1" x14ac:dyDescent="0.3">
      <c r="A563" s="4" t="s">
        <v>64</v>
      </c>
      <c r="B563" s="5" t="s">
        <v>30</v>
      </c>
      <c r="C563" s="5" t="s">
        <v>8</v>
      </c>
      <c r="D563" s="5" t="s">
        <v>14</v>
      </c>
      <c r="E563" s="5" t="s">
        <v>24</v>
      </c>
      <c r="F563" s="5">
        <v>4290.7299999999996</v>
      </c>
    </row>
    <row r="564" spans="1:6" ht="15.75" thickBot="1" x14ac:dyDescent="0.3">
      <c r="A564" s="4" t="s">
        <v>192</v>
      </c>
      <c r="B564" s="5" t="s">
        <v>19</v>
      </c>
      <c r="C564" s="5" t="s">
        <v>8</v>
      </c>
      <c r="D564" s="5" t="s">
        <v>9</v>
      </c>
      <c r="E564" s="5" t="s">
        <v>24</v>
      </c>
      <c r="F564" s="5">
        <v>2521.882044</v>
      </c>
    </row>
    <row r="565" spans="1:6" ht="15.75" thickBot="1" x14ac:dyDescent="0.3">
      <c r="A565" s="4" t="s">
        <v>177</v>
      </c>
      <c r="B565" s="5" t="s">
        <v>7</v>
      </c>
      <c r="C565" s="5" t="s">
        <v>13</v>
      </c>
      <c r="D565" s="5" t="s">
        <v>28</v>
      </c>
      <c r="E565" s="5" t="s">
        <v>15</v>
      </c>
      <c r="F565" s="5">
        <v>3941.05</v>
      </c>
    </row>
    <row r="566" spans="1:6" ht="15.75" thickBot="1" x14ac:dyDescent="0.3">
      <c r="A566" s="4" t="s">
        <v>189</v>
      </c>
      <c r="B566" s="5" t="s">
        <v>19</v>
      </c>
      <c r="C566" s="5" t="s">
        <v>23</v>
      </c>
      <c r="D566" s="5" t="s">
        <v>14</v>
      </c>
      <c r="E566" s="5" t="s">
        <v>24</v>
      </c>
      <c r="F566" s="5">
        <v>992.87</v>
      </c>
    </row>
    <row r="567" spans="1:6" ht="15.75" thickBot="1" x14ac:dyDescent="0.3">
      <c r="A567" s="4" t="s">
        <v>74</v>
      </c>
      <c r="B567" s="5" t="s">
        <v>19</v>
      </c>
      <c r="C567" s="5" t="s">
        <v>34</v>
      </c>
      <c r="D567" s="5" t="s">
        <v>14</v>
      </c>
      <c r="E567" s="5" t="s">
        <v>10</v>
      </c>
      <c r="F567" s="5">
        <v>3998.2</v>
      </c>
    </row>
    <row r="568" spans="1:6" ht="30.75" thickBot="1" x14ac:dyDescent="0.3">
      <c r="A568" s="4" t="s">
        <v>116</v>
      </c>
      <c r="B568" s="5" t="s">
        <v>17</v>
      </c>
      <c r="C568" s="5" t="s">
        <v>13</v>
      </c>
      <c r="D568" s="5" t="s">
        <v>28</v>
      </c>
      <c r="E568" s="5" t="s">
        <v>24</v>
      </c>
      <c r="F568" s="5">
        <v>951.15</v>
      </c>
    </row>
    <row r="569" spans="1:6" ht="30.75" thickBot="1" x14ac:dyDescent="0.3">
      <c r="A569" s="4" t="s">
        <v>207</v>
      </c>
      <c r="B569" s="5" t="s">
        <v>17</v>
      </c>
      <c r="C569" s="5" t="s">
        <v>34</v>
      </c>
      <c r="D569" s="5" t="s">
        <v>9</v>
      </c>
      <c r="E569" s="5" t="s">
        <v>10</v>
      </c>
      <c r="F569" s="5">
        <v>602.29235949999998</v>
      </c>
    </row>
    <row r="570" spans="1:6" ht="15.75" thickBot="1" x14ac:dyDescent="0.3">
      <c r="A570" s="4" t="s">
        <v>21</v>
      </c>
      <c r="B570" s="5" t="s">
        <v>19</v>
      </c>
      <c r="C570" s="5" t="s">
        <v>13</v>
      </c>
      <c r="D570" s="5" t="s">
        <v>14</v>
      </c>
      <c r="E570" s="5" t="s">
        <v>15</v>
      </c>
      <c r="F570" s="5">
        <v>4791.01</v>
      </c>
    </row>
    <row r="571" spans="1:6" ht="15.75" thickBot="1" x14ac:dyDescent="0.3">
      <c r="A571" s="4" t="s">
        <v>70</v>
      </c>
      <c r="B571" s="5" t="s">
        <v>19</v>
      </c>
      <c r="C571" s="5" t="s">
        <v>23</v>
      </c>
      <c r="D571" s="5" t="s">
        <v>14</v>
      </c>
      <c r="E571" s="5" t="s">
        <v>15</v>
      </c>
      <c r="F571" s="5">
        <v>2408.38</v>
      </c>
    </row>
    <row r="572" spans="1:6" ht="15.75" thickBot="1" x14ac:dyDescent="0.3">
      <c r="A572" s="4" t="s">
        <v>40</v>
      </c>
      <c r="B572" s="5" t="s">
        <v>19</v>
      </c>
      <c r="C572" s="5" t="s">
        <v>13</v>
      </c>
      <c r="D572" s="5" t="s">
        <v>9</v>
      </c>
      <c r="E572" s="5" t="s">
        <v>10</v>
      </c>
      <c r="F572" s="5">
        <v>2703.065008</v>
      </c>
    </row>
    <row r="573" spans="1:6" ht="15.75" thickBot="1" x14ac:dyDescent="0.3">
      <c r="A573" s="4" t="s">
        <v>189</v>
      </c>
      <c r="B573" s="5" t="s">
        <v>19</v>
      </c>
      <c r="C573" s="5" t="s">
        <v>34</v>
      </c>
      <c r="D573" s="5" t="s">
        <v>28</v>
      </c>
      <c r="E573" s="5" t="s">
        <v>15</v>
      </c>
      <c r="F573" s="5">
        <v>4204.6899999999996</v>
      </c>
    </row>
    <row r="574" spans="1:6" ht="15.75" thickBot="1" x14ac:dyDescent="0.3">
      <c r="A574" s="4" t="s">
        <v>18</v>
      </c>
      <c r="B574" s="5" t="s">
        <v>19</v>
      </c>
      <c r="C574" s="5" t="s">
        <v>34</v>
      </c>
      <c r="D574" s="5" t="s">
        <v>9</v>
      </c>
      <c r="E574" s="5" t="s">
        <v>24</v>
      </c>
      <c r="F574" s="5">
        <v>947.61289599999998</v>
      </c>
    </row>
    <row r="575" spans="1:6" ht="15.75" thickBot="1" x14ac:dyDescent="0.3">
      <c r="A575" s="4" t="s">
        <v>157</v>
      </c>
      <c r="B575" s="5" t="s">
        <v>30</v>
      </c>
      <c r="C575" s="5" t="s">
        <v>13</v>
      </c>
      <c r="D575" s="5" t="s">
        <v>28</v>
      </c>
      <c r="E575" s="5" t="s">
        <v>10</v>
      </c>
      <c r="F575" s="5">
        <v>3632.9</v>
      </c>
    </row>
    <row r="576" spans="1:6" ht="15.75" thickBot="1" x14ac:dyDescent="0.3">
      <c r="A576" s="4" t="s">
        <v>108</v>
      </c>
      <c r="B576" s="5" t="s">
        <v>7</v>
      </c>
      <c r="C576" s="5" t="s">
        <v>8</v>
      </c>
      <c r="D576" s="5" t="s">
        <v>9</v>
      </c>
      <c r="E576" s="5" t="s">
        <v>15</v>
      </c>
      <c r="F576" s="5">
        <v>3124.8907899999999</v>
      </c>
    </row>
    <row r="577" spans="1:6" ht="15.75" thickBot="1" x14ac:dyDescent="0.3">
      <c r="A577" s="4" t="s">
        <v>63</v>
      </c>
      <c r="B577" s="5" t="s">
        <v>12</v>
      </c>
      <c r="C577" s="5" t="s">
        <v>34</v>
      </c>
      <c r="D577" s="5" t="s">
        <v>14</v>
      </c>
      <c r="E577" s="5" t="s">
        <v>24</v>
      </c>
      <c r="F577" s="5">
        <v>4679.05</v>
      </c>
    </row>
    <row r="578" spans="1:6" ht="30.75" thickBot="1" x14ac:dyDescent="0.3">
      <c r="A578" s="4" t="s">
        <v>147</v>
      </c>
      <c r="B578" s="5" t="s">
        <v>17</v>
      </c>
      <c r="C578" s="5" t="s">
        <v>8</v>
      </c>
      <c r="D578" s="5" t="s">
        <v>9</v>
      </c>
      <c r="E578" s="5" t="s">
        <v>10</v>
      </c>
      <c r="F578" s="5">
        <v>4154.095757</v>
      </c>
    </row>
    <row r="579" spans="1:6" ht="15.75" thickBot="1" x14ac:dyDescent="0.3">
      <c r="A579" s="4" t="s">
        <v>118</v>
      </c>
      <c r="B579" s="5" t="s">
        <v>30</v>
      </c>
      <c r="C579" s="5" t="s">
        <v>8</v>
      </c>
      <c r="D579" s="5" t="s">
        <v>14</v>
      </c>
      <c r="E579" s="5" t="s">
        <v>10</v>
      </c>
      <c r="F579" s="5">
        <v>132.24</v>
      </c>
    </row>
    <row r="580" spans="1:6" ht="15.75" thickBot="1" x14ac:dyDescent="0.3">
      <c r="A580" s="4" t="s">
        <v>201</v>
      </c>
      <c r="B580" s="5" t="s">
        <v>12</v>
      </c>
      <c r="C580" s="5" t="s">
        <v>34</v>
      </c>
      <c r="D580" s="5" t="s">
        <v>14</v>
      </c>
      <c r="E580" s="5" t="s">
        <v>15</v>
      </c>
      <c r="F580" s="5">
        <v>3066.65</v>
      </c>
    </row>
    <row r="581" spans="1:6" ht="30.75" thickBot="1" x14ac:dyDescent="0.3">
      <c r="A581" s="4" t="s">
        <v>142</v>
      </c>
      <c r="B581" s="5" t="s">
        <v>17</v>
      </c>
      <c r="C581" s="5" t="s">
        <v>23</v>
      </c>
      <c r="D581" s="5" t="s">
        <v>9</v>
      </c>
      <c r="E581" s="5" t="s">
        <v>15</v>
      </c>
      <c r="F581" s="5">
        <v>1342.8827699999999</v>
      </c>
    </row>
    <row r="582" spans="1:6" ht="15.75" thickBot="1" x14ac:dyDescent="0.3">
      <c r="A582" s="4" t="s">
        <v>65</v>
      </c>
      <c r="B582" s="5" t="s">
        <v>30</v>
      </c>
      <c r="C582" s="5" t="s">
        <v>23</v>
      </c>
      <c r="D582" s="5" t="s">
        <v>14</v>
      </c>
      <c r="E582" s="5" t="s">
        <v>24</v>
      </c>
      <c r="F582" s="5">
        <v>3919.95</v>
      </c>
    </row>
    <row r="583" spans="1:6" ht="30.75" thickBot="1" x14ac:dyDescent="0.3">
      <c r="A583" s="4" t="s">
        <v>143</v>
      </c>
      <c r="B583" s="5" t="s">
        <v>17</v>
      </c>
      <c r="C583" s="5" t="s">
        <v>8</v>
      </c>
      <c r="D583" s="5" t="s">
        <v>14</v>
      </c>
      <c r="E583" s="5" t="s">
        <v>24</v>
      </c>
      <c r="F583" s="5">
        <v>4408.78</v>
      </c>
    </row>
    <row r="584" spans="1:6" ht="15.75" thickBot="1" x14ac:dyDescent="0.3">
      <c r="A584" s="4" t="s">
        <v>120</v>
      </c>
      <c r="B584" s="5" t="s">
        <v>30</v>
      </c>
      <c r="C584" s="5" t="s">
        <v>34</v>
      </c>
      <c r="D584" s="5" t="s">
        <v>14</v>
      </c>
      <c r="E584" s="5" t="s">
        <v>15</v>
      </c>
      <c r="F584" s="5">
        <v>4970.6899999999996</v>
      </c>
    </row>
    <row r="585" spans="1:6" ht="15.75" thickBot="1" x14ac:dyDescent="0.3">
      <c r="A585" s="4" t="s">
        <v>192</v>
      </c>
      <c r="B585" s="5" t="s">
        <v>19</v>
      </c>
      <c r="C585" s="5" t="s">
        <v>8</v>
      </c>
      <c r="D585" s="5" t="s">
        <v>9</v>
      </c>
      <c r="E585" s="5" t="s">
        <v>15</v>
      </c>
      <c r="F585" s="5">
        <v>1694.1939150000001</v>
      </c>
    </row>
    <row r="586" spans="1:6" ht="15.75" thickBot="1" x14ac:dyDescent="0.3">
      <c r="A586" s="4" t="s">
        <v>103</v>
      </c>
      <c r="B586" s="5" t="s">
        <v>19</v>
      </c>
      <c r="C586" s="5" t="s">
        <v>34</v>
      </c>
      <c r="D586" s="5" t="s">
        <v>14</v>
      </c>
      <c r="E586" s="5" t="s">
        <v>15</v>
      </c>
      <c r="F586" s="5">
        <v>4225.8</v>
      </c>
    </row>
    <row r="587" spans="1:6" ht="30.75" thickBot="1" x14ac:dyDescent="0.3">
      <c r="A587" s="4" t="s">
        <v>89</v>
      </c>
      <c r="B587" s="5" t="s">
        <v>17</v>
      </c>
      <c r="C587" s="5" t="s">
        <v>8</v>
      </c>
      <c r="D587" s="5" t="s">
        <v>14</v>
      </c>
      <c r="E587" s="5" t="s">
        <v>15</v>
      </c>
      <c r="F587" s="5">
        <v>2933.56</v>
      </c>
    </row>
    <row r="588" spans="1:6" ht="15.75" thickBot="1" x14ac:dyDescent="0.3">
      <c r="A588" s="4" t="s">
        <v>111</v>
      </c>
      <c r="B588" s="5" t="s">
        <v>19</v>
      </c>
      <c r="C588" s="5" t="s">
        <v>23</v>
      </c>
      <c r="D588" s="5" t="s">
        <v>9</v>
      </c>
      <c r="E588" s="5" t="s">
        <v>10</v>
      </c>
      <c r="F588" s="5">
        <v>1192.3339940000001</v>
      </c>
    </row>
    <row r="589" spans="1:6" ht="15.75" thickBot="1" x14ac:dyDescent="0.3">
      <c r="A589" s="4" t="s">
        <v>183</v>
      </c>
      <c r="B589" s="5" t="s">
        <v>7</v>
      </c>
      <c r="C589" s="5" t="s">
        <v>8</v>
      </c>
      <c r="D589" s="5" t="s">
        <v>14</v>
      </c>
      <c r="E589" s="5" t="s">
        <v>24</v>
      </c>
      <c r="F589" s="5">
        <v>2457.1</v>
      </c>
    </row>
    <row r="590" spans="1:6" ht="30.75" thickBot="1" x14ac:dyDescent="0.3">
      <c r="A590" s="4" t="s">
        <v>116</v>
      </c>
      <c r="B590" s="5" t="s">
        <v>17</v>
      </c>
      <c r="C590" s="5" t="s">
        <v>13</v>
      </c>
      <c r="D590" s="5" t="s">
        <v>28</v>
      </c>
      <c r="E590" s="5" t="s">
        <v>24</v>
      </c>
      <c r="F590" s="5">
        <v>3801.93</v>
      </c>
    </row>
    <row r="591" spans="1:6" ht="15.75" thickBot="1" x14ac:dyDescent="0.3">
      <c r="A591" s="4" t="s">
        <v>72</v>
      </c>
      <c r="B591" s="5" t="s">
        <v>19</v>
      </c>
      <c r="C591" s="5" t="s">
        <v>34</v>
      </c>
      <c r="D591" s="5" t="s">
        <v>28</v>
      </c>
      <c r="E591" s="5" t="s">
        <v>24</v>
      </c>
      <c r="F591" s="5">
        <v>2334.69</v>
      </c>
    </row>
    <row r="592" spans="1:6" ht="15.75" thickBot="1" x14ac:dyDescent="0.3">
      <c r="A592" s="4" t="s">
        <v>94</v>
      </c>
      <c r="B592" s="5" t="s">
        <v>7</v>
      </c>
      <c r="C592" s="5" t="s">
        <v>13</v>
      </c>
      <c r="D592" s="5" t="s">
        <v>28</v>
      </c>
      <c r="E592" s="5" t="s">
        <v>10</v>
      </c>
      <c r="F592" s="5">
        <v>4761.95</v>
      </c>
    </row>
    <row r="593" spans="1:6" ht="15.75" thickBot="1" x14ac:dyDescent="0.3">
      <c r="A593" s="4" t="s">
        <v>135</v>
      </c>
      <c r="B593" s="5" t="s">
        <v>12</v>
      </c>
      <c r="C593" s="5" t="s">
        <v>34</v>
      </c>
      <c r="D593" s="5" t="s">
        <v>14</v>
      </c>
      <c r="E593" s="5" t="s">
        <v>24</v>
      </c>
      <c r="F593" s="5">
        <v>4516.03</v>
      </c>
    </row>
    <row r="594" spans="1:6" ht="30.75" thickBot="1" x14ac:dyDescent="0.3">
      <c r="A594" s="4" t="s">
        <v>190</v>
      </c>
      <c r="B594" s="5" t="s">
        <v>17</v>
      </c>
      <c r="C594" s="5" t="s">
        <v>8</v>
      </c>
      <c r="D594" s="5" t="s">
        <v>9</v>
      </c>
      <c r="E594" s="5" t="s">
        <v>24</v>
      </c>
      <c r="F594" s="5">
        <v>4645.5949979999996</v>
      </c>
    </row>
    <row r="595" spans="1:6" ht="15.75" thickBot="1" x14ac:dyDescent="0.3">
      <c r="A595" s="4" t="s">
        <v>63</v>
      </c>
      <c r="B595" s="5" t="s">
        <v>12</v>
      </c>
      <c r="C595" s="5" t="s">
        <v>23</v>
      </c>
      <c r="D595" s="5" t="s">
        <v>28</v>
      </c>
      <c r="E595" s="5" t="s">
        <v>24</v>
      </c>
      <c r="F595" s="5">
        <v>3245.36</v>
      </c>
    </row>
    <row r="596" spans="1:6" ht="15.75" thickBot="1" x14ac:dyDescent="0.3">
      <c r="A596" s="4" t="s">
        <v>208</v>
      </c>
      <c r="B596" s="5" t="s">
        <v>19</v>
      </c>
      <c r="C596" s="5" t="s">
        <v>23</v>
      </c>
      <c r="D596" s="5" t="s">
        <v>14</v>
      </c>
      <c r="E596" s="5" t="s">
        <v>10</v>
      </c>
      <c r="F596" s="5">
        <v>3907.47</v>
      </c>
    </row>
    <row r="597" spans="1:6" ht="15.75" thickBot="1" x14ac:dyDescent="0.3">
      <c r="A597" s="4" t="s">
        <v>176</v>
      </c>
      <c r="B597" s="5" t="s">
        <v>19</v>
      </c>
      <c r="C597" s="5" t="s">
        <v>13</v>
      </c>
      <c r="D597" s="5" t="s">
        <v>9</v>
      </c>
      <c r="E597" s="5" t="s">
        <v>10</v>
      </c>
      <c r="F597" s="5">
        <v>1337.8548840000001</v>
      </c>
    </row>
    <row r="598" spans="1:6" ht="30.75" thickBot="1" x14ac:dyDescent="0.3">
      <c r="A598" s="4" t="s">
        <v>43</v>
      </c>
      <c r="B598" s="5" t="s">
        <v>17</v>
      </c>
      <c r="C598" s="5" t="s">
        <v>23</v>
      </c>
      <c r="D598" s="5" t="s">
        <v>28</v>
      </c>
      <c r="E598" s="5" t="s">
        <v>10</v>
      </c>
      <c r="F598" s="5">
        <v>3487.09</v>
      </c>
    </row>
    <row r="599" spans="1:6" ht="15.75" thickBot="1" x14ac:dyDescent="0.3">
      <c r="A599" s="4" t="s">
        <v>209</v>
      </c>
      <c r="B599" s="5" t="s">
        <v>7</v>
      </c>
      <c r="C599" s="5" t="s">
        <v>23</v>
      </c>
      <c r="D599" s="5" t="s">
        <v>9</v>
      </c>
      <c r="E599" s="5" t="s">
        <v>15</v>
      </c>
      <c r="F599" s="5">
        <v>4959.5938470000001</v>
      </c>
    </row>
    <row r="600" spans="1:6" ht="30.75" thickBot="1" x14ac:dyDescent="0.3">
      <c r="A600" s="4" t="s">
        <v>129</v>
      </c>
      <c r="B600" s="5" t="s">
        <v>17</v>
      </c>
      <c r="C600" s="5" t="s">
        <v>8</v>
      </c>
      <c r="D600" s="5" t="s">
        <v>28</v>
      </c>
      <c r="E600" s="5" t="s">
        <v>15</v>
      </c>
      <c r="F600" s="5">
        <v>4294.03</v>
      </c>
    </row>
    <row r="601" spans="1:6" ht="15.75" thickBot="1" x14ac:dyDescent="0.3">
      <c r="A601" s="4" t="s">
        <v>25</v>
      </c>
      <c r="B601" s="5" t="s">
        <v>19</v>
      </c>
      <c r="C601" s="5" t="s">
        <v>8</v>
      </c>
      <c r="D601" s="5" t="s">
        <v>14</v>
      </c>
      <c r="E601" s="5" t="s">
        <v>10</v>
      </c>
      <c r="F601" s="5">
        <v>648.78</v>
      </c>
    </row>
    <row r="602" spans="1:6" ht="15.75" thickBot="1" x14ac:dyDescent="0.3">
      <c r="A602" s="4" t="s">
        <v>25</v>
      </c>
      <c r="B602" s="5" t="s">
        <v>19</v>
      </c>
      <c r="C602" s="5" t="s">
        <v>13</v>
      </c>
      <c r="D602" s="5" t="s">
        <v>14</v>
      </c>
      <c r="E602" s="5" t="s">
        <v>10</v>
      </c>
      <c r="F602" s="5">
        <v>3771.9</v>
      </c>
    </row>
    <row r="603" spans="1:6" ht="30.75" thickBot="1" x14ac:dyDescent="0.3">
      <c r="A603" s="4" t="s">
        <v>116</v>
      </c>
      <c r="B603" s="5" t="s">
        <v>17</v>
      </c>
      <c r="C603" s="5" t="s">
        <v>34</v>
      </c>
      <c r="D603" s="5" t="s">
        <v>9</v>
      </c>
      <c r="E603" s="5" t="s">
        <v>24</v>
      </c>
      <c r="F603" s="5">
        <v>3071.55413</v>
      </c>
    </row>
    <row r="604" spans="1:6" ht="15.75" thickBot="1" x14ac:dyDescent="0.3">
      <c r="A604" s="4" t="s">
        <v>50</v>
      </c>
      <c r="B604" s="5" t="s">
        <v>19</v>
      </c>
      <c r="C604" s="5" t="s">
        <v>13</v>
      </c>
      <c r="D604" s="5" t="s">
        <v>28</v>
      </c>
      <c r="E604" s="5" t="s">
        <v>24</v>
      </c>
      <c r="F604" s="5">
        <v>2591.1799999999998</v>
      </c>
    </row>
    <row r="605" spans="1:6" ht="15.75" thickBot="1" x14ac:dyDescent="0.3">
      <c r="A605" s="4" t="s">
        <v>36</v>
      </c>
      <c r="B605" s="5" t="s">
        <v>12</v>
      </c>
      <c r="C605" s="5" t="s">
        <v>23</v>
      </c>
      <c r="D605" s="5" t="s">
        <v>14</v>
      </c>
      <c r="E605" s="5" t="s">
        <v>15</v>
      </c>
      <c r="F605" s="5">
        <v>3280.07</v>
      </c>
    </row>
    <row r="606" spans="1:6" ht="15.75" thickBot="1" x14ac:dyDescent="0.3">
      <c r="A606" s="4" t="s">
        <v>46</v>
      </c>
      <c r="B606" s="5" t="s">
        <v>30</v>
      </c>
      <c r="C606" s="5" t="s">
        <v>34</v>
      </c>
      <c r="D606" s="5" t="s">
        <v>28</v>
      </c>
      <c r="E606" s="5" t="s">
        <v>15</v>
      </c>
      <c r="F606" s="5">
        <v>632.11</v>
      </c>
    </row>
    <row r="607" spans="1:6" ht="15.75" thickBot="1" x14ac:dyDescent="0.3">
      <c r="A607" s="4" t="s">
        <v>175</v>
      </c>
      <c r="B607" s="5" t="s">
        <v>7</v>
      </c>
      <c r="C607" s="5" t="s">
        <v>13</v>
      </c>
      <c r="D607" s="5" t="s">
        <v>14</v>
      </c>
      <c r="E607" s="5" t="s">
        <v>10</v>
      </c>
      <c r="F607" s="5">
        <v>2914.08</v>
      </c>
    </row>
    <row r="608" spans="1:6" ht="15.75" thickBot="1" x14ac:dyDescent="0.3">
      <c r="A608" s="4" t="s">
        <v>63</v>
      </c>
      <c r="B608" s="5" t="s">
        <v>12</v>
      </c>
      <c r="C608" s="5" t="s">
        <v>34</v>
      </c>
      <c r="D608" s="5" t="s">
        <v>28</v>
      </c>
      <c r="E608" s="5" t="s">
        <v>10</v>
      </c>
      <c r="F608" s="5">
        <v>637.63</v>
      </c>
    </row>
    <row r="609" spans="1:6" ht="15.75" thickBot="1" x14ac:dyDescent="0.3">
      <c r="A609" s="4" t="s">
        <v>97</v>
      </c>
      <c r="B609" s="5" t="s">
        <v>7</v>
      </c>
      <c r="C609" s="5" t="s">
        <v>23</v>
      </c>
      <c r="D609" s="5" t="s">
        <v>14</v>
      </c>
      <c r="E609" s="5" t="s">
        <v>24</v>
      </c>
      <c r="F609" s="5">
        <v>1996.46</v>
      </c>
    </row>
    <row r="610" spans="1:6" ht="15.75" thickBot="1" x14ac:dyDescent="0.3">
      <c r="A610" s="4" t="s">
        <v>48</v>
      </c>
      <c r="B610" s="5" t="s">
        <v>19</v>
      </c>
      <c r="C610" s="5" t="s">
        <v>23</v>
      </c>
      <c r="D610" s="5" t="s">
        <v>14</v>
      </c>
      <c r="E610" s="5" t="s">
        <v>24</v>
      </c>
      <c r="F610" s="5">
        <v>1059.26</v>
      </c>
    </row>
    <row r="611" spans="1:6" ht="15.75" thickBot="1" x14ac:dyDescent="0.3">
      <c r="A611" s="4" t="s">
        <v>36</v>
      </c>
      <c r="B611" s="5" t="s">
        <v>12</v>
      </c>
      <c r="C611" s="5" t="s">
        <v>13</v>
      </c>
      <c r="D611" s="5" t="s">
        <v>9</v>
      </c>
      <c r="E611" s="5" t="s">
        <v>24</v>
      </c>
      <c r="F611" s="5">
        <v>3555.9372720000001</v>
      </c>
    </row>
    <row r="612" spans="1:6" ht="15.75" thickBot="1" x14ac:dyDescent="0.3">
      <c r="A612" s="4" t="s">
        <v>99</v>
      </c>
      <c r="B612" s="5" t="s">
        <v>19</v>
      </c>
      <c r="C612" s="5" t="s">
        <v>34</v>
      </c>
      <c r="D612" s="5" t="s">
        <v>14</v>
      </c>
      <c r="E612" s="5" t="s">
        <v>15</v>
      </c>
      <c r="F612" s="5">
        <v>3698.27</v>
      </c>
    </row>
    <row r="613" spans="1:6" ht="15.75" thickBot="1" x14ac:dyDescent="0.3">
      <c r="A613" s="4" t="s">
        <v>175</v>
      </c>
      <c r="B613" s="5" t="s">
        <v>7</v>
      </c>
      <c r="C613" s="5" t="s">
        <v>34</v>
      </c>
      <c r="D613" s="5" t="s">
        <v>14</v>
      </c>
      <c r="E613" s="5" t="s">
        <v>15</v>
      </c>
      <c r="F613" s="5">
        <v>2286.9699999999998</v>
      </c>
    </row>
    <row r="614" spans="1:6" ht="15.75" thickBot="1" x14ac:dyDescent="0.3">
      <c r="A614" s="4" t="s">
        <v>41</v>
      </c>
      <c r="B614" s="5" t="s">
        <v>30</v>
      </c>
      <c r="C614" s="5" t="s">
        <v>34</v>
      </c>
      <c r="D614" s="5" t="s">
        <v>14</v>
      </c>
      <c r="E614" s="5" t="s">
        <v>24</v>
      </c>
      <c r="F614" s="5">
        <v>3316.45</v>
      </c>
    </row>
    <row r="615" spans="1:6" ht="15.75" thickBot="1" x14ac:dyDescent="0.3">
      <c r="A615" s="4" t="s">
        <v>95</v>
      </c>
      <c r="B615" s="5" t="s">
        <v>30</v>
      </c>
      <c r="C615" s="5" t="s">
        <v>23</v>
      </c>
      <c r="D615" s="5" t="s">
        <v>28</v>
      </c>
      <c r="E615" s="5" t="s">
        <v>24</v>
      </c>
      <c r="F615" s="5">
        <v>1242.96</v>
      </c>
    </row>
    <row r="616" spans="1:6" ht="15.75" thickBot="1" x14ac:dyDescent="0.3">
      <c r="A616" s="4" t="s">
        <v>48</v>
      </c>
      <c r="B616" s="5" t="s">
        <v>19</v>
      </c>
      <c r="C616" s="5" t="s">
        <v>34</v>
      </c>
      <c r="D616" s="5" t="s">
        <v>28</v>
      </c>
      <c r="E616" s="5" t="s">
        <v>10</v>
      </c>
      <c r="F616" s="5">
        <v>3792.28</v>
      </c>
    </row>
    <row r="617" spans="1:6" ht="15.75" thickBot="1" x14ac:dyDescent="0.3">
      <c r="A617" s="4" t="s">
        <v>107</v>
      </c>
      <c r="B617" s="5" t="s">
        <v>30</v>
      </c>
      <c r="C617" s="5" t="s">
        <v>34</v>
      </c>
      <c r="D617" s="5" t="s">
        <v>9</v>
      </c>
      <c r="E617" s="5" t="s">
        <v>15</v>
      </c>
      <c r="F617" s="5">
        <v>4685.3057760000002</v>
      </c>
    </row>
    <row r="618" spans="1:6" ht="30.75" thickBot="1" x14ac:dyDescent="0.3">
      <c r="A618" s="4" t="s">
        <v>26</v>
      </c>
      <c r="B618" s="5" t="s">
        <v>17</v>
      </c>
      <c r="C618" s="5" t="s">
        <v>13</v>
      </c>
      <c r="D618" s="5" t="s">
        <v>28</v>
      </c>
      <c r="E618" s="5" t="s">
        <v>24</v>
      </c>
      <c r="F618" s="5">
        <v>2273.65</v>
      </c>
    </row>
    <row r="619" spans="1:6" ht="15.75" thickBot="1" x14ac:dyDescent="0.3">
      <c r="A619" s="4" t="s">
        <v>144</v>
      </c>
      <c r="B619" s="5" t="s">
        <v>30</v>
      </c>
      <c r="C619" s="5" t="s">
        <v>23</v>
      </c>
      <c r="D619" s="5" t="s">
        <v>9</v>
      </c>
      <c r="E619" s="5" t="s">
        <v>24</v>
      </c>
      <c r="F619" s="5">
        <v>3021.59</v>
      </c>
    </row>
    <row r="620" spans="1:6" ht="30.75" thickBot="1" x14ac:dyDescent="0.3">
      <c r="A620" s="4" t="s">
        <v>43</v>
      </c>
      <c r="B620" s="5" t="s">
        <v>17</v>
      </c>
      <c r="C620" s="5" t="s">
        <v>34</v>
      </c>
      <c r="D620" s="5" t="s">
        <v>28</v>
      </c>
      <c r="E620" s="5" t="s">
        <v>24</v>
      </c>
      <c r="F620" s="5">
        <v>1312.78</v>
      </c>
    </row>
    <row r="621" spans="1:6" ht="15.75" thickBot="1" x14ac:dyDescent="0.3">
      <c r="A621" s="4" t="s">
        <v>21</v>
      </c>
      <c r="B621" s="5" t="s">
        <v>19</v>
      </c>
      <c r="C621" s="5" t="s">
        <v>34</v>
      </c>
      <c r="D621" s="5" t="s">
        <v>9</v>
      </c>
      <c r="E621" s="5" t="s">
        <v>15</v>
      </c>
      <c r="F621" s="5">
        <v>1829.705449</v>
      </c>
    </row>
    <row r="622" spans="1:6" ht="15.75" thickBot="1" x14ac:dyDescent="0.3">
      <c r="A622" s="4" t="s">
        <v>101</v>
      </c>
      <c r="B622" s="5" t="s">
        <v>19</v>
      </c>
      <c r="C622" s="5" t="s">
        <v>34</v>
      </c>
      <c r="D622" s="5" t="s">
        <v>9</v>
      </c>
      <c r="E622" s="5" t="s">
        <v>15</v>
      </c>
      <c r="F622" s="5">
        <v>1549.717801</v>
      </c>
    </row>
    <row r="623" spans="1:6" ht="30.75" thickBot="1" x14ac:dyDescent="0.3">
      <c r="A623" s="4" t="s">
        <v>136</v>
      </c>
      <c r="B623" s="5" t="s">
        <v>17</v>
      </c>
      <c r="C623" s="5" t="s">
        <v>8</v>
      </c>
      <c r="D623" s="5" t="s">
        <v>28</v>
      </c>
      <c r="E623" s="5" t="s">
        <v>10</v>
      </c>
      <c r="F623" s="5">
        <v>2500.38</v>
      </c>
    </row>
    <row r="624" spans="1:6" ht="15.75" thickBot="1" x14ac:dyDescent="0.3">
      <c r="A624" s="4" t="s">
        <v>56</v>
      </c>
      <c r="B624" s="5" t="s">
        <v>19</v>
      </c>
      <c r="C624" s="5" t="s">
        <v>13</v>
      </c>
      <c r="D624" s="5" t="s">
        <v>28</v>
      </c>
      <c r="E624" s="5" t="s">
        <v>24</v>
      </c>
      <c r="F624" s="5">
        <v>1314.88</v>
      </c>
    </row>
    <row r="625" spans="1:6" ht="15.75" thickBot="1" x14ac:dyDescent="0.3">
      <c r="A625" s="4" t="s">
        <v>141</v>
      </c>
      <c r="B625" s="5" t="s">
        <v>7</v>
      </c>
      <c r="C625" s="5" t="s">
        <v>34</v>
      </c>
      <c r="D625" s="5" t="s">
        <v>28</v>
      </c>
      <c r="E625" s="5" t="s">
        <v>24</v>
      </c>
      <c r="F625" s="5">
        <v>2425.58</v>
      </c>
    </row>
    <row r="626" spans="1:6" ht="15.75" thickBot="1" x14ac:dyDescent="0.3">
      <c r="A626" s="4" t="s">
        <v>35</v>
      </c>
      <c r="B626" s="5" t="s">
        <v>19</v>
      </c>
      <c r="C626" s="5" t="s">
        <v>13</v>
      </c>
      <c r="D626" s="5" t="s">
        <v>14</v>
      </c>
      <c r="E626" s="5" t="s">
        <v>15</v>
      </c>
      <c r="F626" s="5">
        <v>3143.07</v>
      </c>
    </row>
    <row r="627" spans="1:6" ht="15.75" thickBot="1" x14ac:dyDescent="0.3">
      <c r="A627" s="4" t="s">
        <v>210</v>
      </c>
      <c r="B627" s="5" t="s">
        <v>7</v>
      </c>
      <c r="C627" s="5" t="s">
        <v>34</v>
      </c>
      <c r="D627" s="5" t="s">
        <v>28</v>
      </c>
      <c r="E627" s="5" t="s">
        <v>15</v>
      </c>
      <c r="F627" s="5">
        <v>3426.65</v>
      </c>
    </row>
    <row r="628" spans="1:6" ht="15.75" thickBot="1" x14ac:dyDescent="0.3">
      <c r="A628" s="4" t="s">
        <v>50</v>
      </c>
      <c r="B628" s="5" t="s">
        <v>19</v>
      </c>
      <c r="C628" s="5" t="s">
        <v>34</v>
      </c>
      <c r="D628" s="5" t="s">
        <v>9</v>
      </c>
      <c r="E628" s="5" t="s">
        <v>15</v>
      </c>
      <c r="F628" s="5">
        <v>3334.694031</v>
      </c>
    </row>
    <row r="629" spans="1:6" ht="15.75" thickBot="1" x14ac:dyDescent="0.3">
      <c r="A629" s="4" t="s">
        <v>103</v>
      </c>
      <c r="B629" s="5" t="s">
        <v>19</v>
      </c>
      <c r="C629" s="5" t="s">
        <v>8</v>
      </c>
      <c r="D629" s="5" t="s">
        <v>28</v>
      </c>
      <c r="E629" s="5" t="s">
        <v>24</v>
      </c>
      <c r="F629" s="5">
        <v>1554.47</v>
      </c>
    </row>
    <row r="630" spans="1:6" ht="15.75" thickBot="1" x14ac:dyDescent="0.3">
      <c r="A630" s="4" t="s">
        <v>163</v>
      </c>
      <c r="B630" s="5" t="s">
        <v>19</v>
      </c>
      <c r="C630" s="5" t="s">
        <v>13</v>
      </c>
      <c r="D630" s="5" t="s">
        <v>9</v>
      </c>
      <c r="E630" s="5" t="s">
        <v>24</v>
      </c>
      <c r="F630" s="5">
        <v>613.2168762</v>
      </c>
    </row>
    <row r="631" spans="1:6" ht="15.75" thickBot="1" x14ac:dyDescent="0.3">
      <c r="A631" s="4" t="s">
        <v>72</v>
      </c>
      <c r="B631" s="5" t="s">
        <v>19</v>
      </c>
      <c r="C631" s="5" t="s">
        <v>34</v>
      </c>
      <c r="D631" s="5" t="s">
        <v>28</v>
      </c>
      <c r="E631" s="5" t="s">
        <v>24</v>
      </c>
      <c r="F631" s="5">
        <v>2269.8200000000002</v>
      </c>
    </row>
    <row r="632" spans="1:6" ht="15.75" thickBot="1" x14ac:dyDescent="0.3">
      <c r="A632" s="4" t="s">
        <v>155</v>
      </c>
      <c r="B632" s="5" t="s">
        <v>7</v>
      </c>
      <c r="C632" s="5" t="s">
        <v>8</v>
      </c>
      <c r="D632" s="5" t="s">
        <v>9</v>
      </c>
      <c r="E632" s="5" t="s">
        <v>24</v>
      </c>
      <c r="F632" s="5">
        <v>1258.557671</v>
      </c>
    </row>
    <row r="633" spans="1:6" ht="15.75" thickBot="1" x14ac:dyDescent="0.3">
      <c r="A633" s="4" t="s">
        <v>18</v>
      </c>
      <c r="B633" s="5" t="s">
        <v>19</v>
      </c>
      <c r="C633" s="5" t="s">
        <v>8</v>
      </c>
      <c r="D633" s="5" t="s">
        <v>14</v>
      </c>
      <c r="E633" s="5" t="s">
        <v>10</v>
      </c>
      <c r="F633" s="5">
        <v>2102.71</v>
      </c>
    </row>
    <row r="634" spans="1:6" ht="15.75" thickBot="1" x14ac:dyDescent="0.3">
      <c r="A634" s="4" t="s">
        <v>91</v>
      </c>
      <c r="B634" s="5" t="s">
        <v>30</v>
      </c>
      <c r="C634" s="5" t="s">
        <v>13</v>
      </c>
      <c r="D634" s="5" t="s">
        <v>28</v>
      </c>
      <c r="E634" s="5" t="s">
        <v>15</v>
      </c>
      <c r="F634" s="5">
        <v>1951.99</v>
      </c>
    </row>
    <row r="635" spans="1:6" ht="15.75" thickBot="1" x14ac:dyDescent="0.3">
      <c r="A635" s="4" t="s">
        <v>165</v>
      </c>
      <c r="B635" s="5" t="s">
        <v>7</v>
      </c>
      <c r="C635" s="5" t="s">
        <v>8</v>
      </c>
      <c r="D635" s="5" t="s">
        <v>9</v>
      </c>
      <c r="E635" s="5" t="s">
        <v>10</v>
      </c>
      <c r="F635" s="5">
        <v>942.65605679999999</v>
      </c>
    </row>
    <row r="636" spans="1:6" ht="15.75" thickBot="1" x14ac:dyDescent="0.3">
      <c r="A636" s="4" t="s">
        <v>18</v>
      </c>
      <c r="B636" s="5" t="s">
        <v>19</v>
      </c>
      <c r="C636" s="5" t="s">
        <v>8</v>
      </c>
      <c r="D636" s="5" t="s">
        <v>14</v>
      </c>
      <c r="E636" s="5" t="s">
        <v>24</v>
      </c>
      <c r="F636" s="5">
        <v>4612.42</v>
      </c>
    </row>
    <row r="637" spans="1:6" ht="30.75" thickBot="1" x14ac:dyDescent="0.3">
      <c r="A637" s="4" t="s">
        <v>137</v>
      </c>
      <c r="B637" s="5" t="s">
        <v>17</v>
      </c>
      <c r="C637" s="5" t="s">
        <v>23</v>
      </c>
      <c r="D637" s="5" t="s">
        <v>9</v>
      </c>
      <c r="E637" s="5" t="s">
        <v>15</v>
      </c>
      <c r="F637" s="5">
        <v>5180.6869040000001</v>
      </c>
    </row>
    <row r="638" spans="1:6" ht="15.75" thickBot="1" x14ac:dyDescent="0.3">
      <c r="A638" s="4" t="s">
        <v>111</v>
      </c>
      <c r="B638" s="5" t="s">
        <v>19</v>
      </c>
      <c r="C638" s="5" t="s">
        <v>23</v>
      </c>
      <c r="D638" s="5" t="s">
        <v>9</v>
      </c>
      <c r="E638" s="5" t="s">
        <v>10</v>
      </c>
      <c r="F638" s="5">
        <v>3307.6824809999998</v>
      </c>
    </row>
    <row r="639" spans="1:6" ht="15.75" thickBot="1" x14ac:dyDescent="0.3">
      <c r="A639" s="4" t="s">
        <v>211</v>
      </c>
      <c r="B639" s="5" t="s">
        <v>7</v>
      </c>
      <c r="C639" s="5" t="s">
        <v>8</v>
      </c>
      <c r="D639" s="5" t="s">
        <v>28</v>
      </c>
      <c r="E639" s="5" t="s">
        <v>24</v>
      </c>
      <c r="F639" s="5">
        <v>4673.95</v>
      </c>
    </row>
    <row r="640" spans="1:6" ht="30.75" thickBot="1" x14ac:dyDescent="0.3">
      <c r="A640" s="4" t="s">
        <v>143</v>
      </c>
      <c r="B640" s="5" t="s">
        <v>17</v>
      </c>
      <c r="C640" s="5" t="s">
        <v>8</v>
      </c>
      <c r="D640" s="5" t="s">
        <v>28</v>
      </c>
      <c r="E640" s="5" t="s">
        <v>24</v>
      </c>
      <c r="F640" s="5">
        <v>2977.11</v>
      </c>
    </row>
    <row r="641" spans="1:6" ht="15.75" thickBot="1" x14ac:dyDescent="0.3">
      <c r="A641" s="4" t="s">
        <v>6</v>
      </c>
      <c r="B641" s="5" t="s">
        <v>7</v>
      </c>
      <c r="C641" s="5" t="s">
        <v>34</v>
      </c>
      <c r="D641" s="5" t="s">
        <v>9</v>
      </c>
      <c r="E641" s="5" t="s">
        <v>15</v>
      </c>
      <c r="F641" s="5">
        <v>2214.8565199999998</v>
      </c>
    </row>
    <row r="642" spans="1:6" ht="30.75" thickBot="1" x14ac:dyDescent="0.3">
      <c r="A642" s="4" t="s">
        <v>127</v>
      </c>
      <c r="B642" s="5" t="s">
        <v>17</v>
      </c>
      <c r="C642" s="5" t="s">
        <v>34</v>
      </c>
      <c r="D642" s="5" t="s">
        <v>28</v>
      </c>
      <c r="E642" s="5" t="s">
        <v>15</v>
      </c>
      <c r="F642" s="5">
        <v>2253.86</v>
      </c>
    </row>
    <row r="643" spans="1:6" ht="15.75" thickBot="1" x14ac:dyDescent="0.3">
      <c r="A643" s="4" t="s">
        <v>112</v>
      </c>
      <c r="B643" s="5" t="s">
        <v>30</v>
      </c>
      <c r="C643" s="5" t="s">
        <v>34</v>
      </c>
      <c r="D643" s="5" t="s">
        <v>9</v>
      </c>
      <c r="E643" s="5" t="s">
        <v>10</v>
      </c>
      <c r="F643" s="5">
        <v>2426.7211910000001</v>
      </c>
    </row>
    <row r="644" spans="1:6" ht="15.75" thickBot="1" x14ac:dyDescent="0.3">
      <c r="A644" s="4" t="s">
        <v>115</v>
      </c>
      <c r="B644" s="5" t="s">
        <v>19</v>
      </c>
      <c r="C644" s="5" t="s">
        <v>13</v>
      </c>
      <c r="D644" s="5" t="s">
        <v>14</v>
      </c>
      <c r="E644" s="5" t="s">
        <v>24</v>
      </c>
      <c r="F644" s="5">
        <v>2903.42</v>
      </c>
    </row>
    <row r="645" spans="1:6" ht="15.75" thickBot="1" x14ac:dyDescent="0.3">
      <c r="A645" s="4" t="s">
        <v>202</v>
      </c>
      <c r="B645" s="5" t="s">
        <v>12</v>
      </c>
      <c r="C645" s="5" t="s">
        <v>13</v>
      </c>
      <c r="D645" s="5" t="s">
        <v>9</v>
      </c>
      <c r="E645" s="5" t="s">
        <v>10</v>
      </c>
      <c r="F645" s="5">
        <v>3101.8439530000001</v>
      </c>
    </row>
    <row r="646" spans="1:6" ht="15.75" thickBot="1" x14ac:dyDescent="0.3">
      <c r="A646" s="4" t="s">
        <v>139</v>
      </c>
      <c r="B646" s="5" t="s">
        <v>7</v>
      </c>
      <c r="C646" s="5" t="s">
        <v>8</v>
      </c>
      <c r="D646" s="5" t="s">
        <v>9</v>
      </c>
      <c r="E646" s="5" t="s">
        <v>10</v>
      </c>
      <c r="F646" s="5">
        <v>3483.9279729999998</v>
      </c>
    </row>
    <row r="647" spans="1:6" ht="15.75" thickBot="1" x14ac:dyDescent="0.3">
      <c r="A647" s="4" t="s">
        <v>41</v>
      </c>
      <c r="B647" s="5" t="s">
        <v>30</v>
      </c>
      <c r="C647" s="5" t="s">
        <v>8</v>
      </c>
      <c r="D647" s="5" t="s">
        <v>28</v>
      </c>
      <c r="E647" s="5" t="s">
        <v>15</v>
      </c>
      <c r="F647" s="5">
        <v>4798.16</v>
      </c>
    </row>
    <row r="648" spans="1:6" ht="15.75" thickBot="1" x14ac:dyDescent="0.3">
      <c r="A648" s="4" t="s">
        <v>188</v>
      </c>
      <c r="B648" s="5" t="s">
        <v>19</v>
      </c>
      <c r="C648" s="5" t="s">
        <v>13</v>
      </c>
      <c r="D648" s="5" t="s">
        <v>28</v>
      </c>
      <c r="E648" s="5" t="s">
        <v>10</v>
      </c>
      <c r="F648" s="5">
        <v>2226.6</v>
      </c>
    </row>
    <row r="649" spans="1:6" ht="30.75" thickBot="1" x14ac:dyDescent="0.3">
      <c r="A649" s="4" t="s">
        <v>156</v>
      </c>
      <c r="B649" s="5" t="s">
        <v>17</v>
      </c>
      <c r="C649" s="5" t="s">
        <v>23</v>
      </c>
      <c r="D649" s="5" t="s">
        <v>9</v>
      </c>
      <c r="E649" s="5" t="s">
        <v>15</v>
      </c>
      <c r="F649" s="5">
        <v>2848.953849</v>
      </c>
    </row>
    <row r="650" spans="1:6" ht="15.75" thickBot="1" x14ac:dyDescent="0.3">
      <c r="A650" s="4" t="s">
        <v>11</v>
      </c>
      <c r="B650" s="5" t="s">
        <v>12</v>
      </c>
      <c r="C650" s="5" t="s">
        <v>8</v>
      </c>
      <c r="D650" s="5" t="s">
        <v>14</v>
      </c>
      <c r="E650" s="5" t="s">
        <v>24</v>
      </c>
      <c r="F650" s="5">
        <v>751.3</v>
      </c>
    </row>
    <row r="651" spans="1:6" ht="15.75" thickBot="1" x14ac:dyDescent="0.3">
      <c r="A651" s="4" t="s">
        <v>64</v>
      </c>
      <c r="B651" s="5" t="s">
        <v>30</v>
      </c>
      <c r="C651" s="5" t="s">
        <v>23</v>
      </c>
      <c r="D651" s="5" t="s">
        <v>28</v>
      </c>
      <c r="E651" s="5" t="s">
        <v>15</v>
      </c>
      <c r="F651" s="5">
        <v>3286.05</v>
      </c>
    </row>
    <row r="652" spans="1:6" ht="15.75" thickBot="1" x14ac:dyDescent="0.3">
      <c r="A652" s="4" t="s">
        <v>100</v>
      </c>
      <c r="B652" s="5" t="s">
        <v>7</v>
      </c>
      <c r="C652" s="5" t="s">
        <v>13</v>
      </c>
      <c r="D652" s="5" t="s">
        <v>28</v>
      </c>
      <c r="E652" s="5" t="s">
        <v>15</v>
      </c>
      <c r="F652" s="5">
        <v>1018.05</v>
      </c>
    </row>
    <row r="653" spans="1:6" ht="15.75" thickBot="1" x14ac:dyDescent="0.3">
      <c r="A653" s="4" t="s">
        <v>189</v>
      </c>
      <c r="B653" s="5" t="s">
        <v>19</v>
      </c>
      <c r="C653" s="5" t="s">
        <v>34</v>
      </c>
      <c r="D653" s="5" t="s">
        <v>14</v>
      </c>
      <c r="E653" s="5" t="s">
        <v>24</v>
      </c>
      <c r="F653" s="5">
        <v>2978.67</v>
      </c>
    </row>
    <row r="654" spans="1:6" ht="30.75" thickBot="1" x14ac:dyDescent="0.3">
      <c r="A654" s="4" t="s">
        <v>26</v>
      </c>
      <c r="B654" s="5" t="s">
        <v>17</v>
      </c>
      <c r="C654" s="5" t="s">
        <v>23</v>
      </c>
      <c r="D654" s="5" t="s">
        <v>28</v>
      </c>
      <c r="E654" s="5" t="s">
        <v>15</v>
      </c>
      <c r="F654" s="5">
        <v>1158.82</v>
      </c>
    </row>
    <row r="655" spans="1:6" ht="15.75" thickBot="1" x14ac:dyDescent="0.3">
      <c r="A655" s="4" t="s">
        <v>63</v>
      </c>
      <c r="B655" s="5" t="s">
        <v>12</v>
      </c>
      <c r="C655" s="5" t="s">
        <v>8</v>
      </c>
      <c r="D655" s="5" t="s">
        <v>9</v>
      </c>
      <c r="E655" s="5" t="s">
        <v>10</v>
      </c>
      <c r="F655" s="5">
        <v>4416.2129789999999</v>
      </c>
    </row>
    <row r="656" spans="1:6" ht="15.75" thickBot="1" x14ac:dyDescent="0.3">
      <c r="A656" s="4" t="s">
        <v>90</v>
      </c>
      <c r="B656" s="5" t="s">
        <v>19</v>
      </c>
      <c r="C656" s="5" t="s">
        <v>13</v>
      </c>
      <c r="D656" s="5" t="s">
        <v>9</v>
      </c>
      <c r="E656" s="5" t="s">
        <v>10</v>
      </c>
      <c r="F656" s="5">
        <v>1348.0319910000001</v>
      </c>
    </row>
    <row r="657" spans="1:6" ht="15.75" thickBot="1" x14ac:dyDescent="0.3">
      <c r="A657" s="4" t="s">
        <v>33</v>
      </c>
      <c r="B657" s="5" t="s">
        <v>19</v>
      </c>
      <c r="C657" s="5" t="s">
        <v>34</v>
      </c>
      <c r="D657" s="5" t="s">
        <v>28</v>
      </c>
      <c r="E657" s="5" t="s">
        <v>10</v>
      </c>
      <c r="F657" s="5">
        <v>2825.42</v>
      </c>
    </row>
    <row r="658" spans="1:6" ht="15.75" thickBot="1" x14ac:dyDescent="0.3">
      <c r="A658" s="4" t="s">
        <v>113</v>
      </c>
      <c r="B658" s="5" t="s">
        <v>30</v>
      </c>
      <c r="C658" s="5" t="s">
        <v>8</v>
      </c>
      <c r="D658" s="5" t="s">
        <v>9</v>
      </c>
      <c r="E658" s="5" t="s">
        <v>24</v>
      </c>
      <c r="F658" s="5">
        <v>4051.467787</v>
      </c>
    </row>
    <row r="659" spans="1:6" ht="30.75" thickBot="1" x14ac:dyDescent="0.3">
      <c r="A659" s="4" t="s">
        <v>59</v>
      </c>
      <c r="B659" s="5" t="s">
        <v>17</v>
      </c>
      <c r="C659" s="5" t="s">
        <v>34</v>
      </c>
      <c r="D659" s="5" t="s">
        <v>28</v>
      </c>
      <c r="E659" s="5" t="s">
        <v>24</v>
      </c>
      <c r="F659" s="5">
        <v>3797.37</v>
      </c>
    </row>
    <row r="660" spans="1:6" ht="15.75" thickBot="1" x14ac:dyDescent="0.3">
      <c r="A660" s="4" t="s">
        <v>175</v>
      </c>
      <c r="B660" s="5" t="s">
        <v>7</v>
      </c>
      <c r="C660" s="5" t="s">
        <v>34</v>
      </c>
      <c r="D660" s="5" t="s">
        <v>28</v>
      </c>
      <c r="E660" s="5" t="s">
        <v>24</v>
      </c>
      <c r="F660" s="5">
        <v>4111.7700000000004</v>
      </c>
    </row>
    <row r="661" spans="1:6" ht="15.75" thickBot="1" x14ac:dyDescent="0.3">
      <c r="A661" s="4" t="s">
        <v>195</v>
      </c>
      <c r="B661" s="5" t="s">
        <v>7</v>
      </c>
      <c r="C661" s="5" t="s">
        <v>34</v>
      </c>
      <c r="D661" s="5" t="s">
        <v>9</v>
      </c>
      <c r="E661" s="5" t="s">
        <v>10</v>
      </c>
      <c r="F661" s="5">
        <v>1444.1264490000001</v>
      </c>
    </row>
    <row r="662" spans="1:6" ht="15.75" thickBot="1" x14ac:dyDescent="0.3">
      <c r="A662" s="4" t="s">
        <v>155</v>
      </c>
      <c r="B662" s="5" t="s">
        <v>7</v>
      </c>
      <c r="C662" s="5" t="s">
        <v>13</v>
      </c>
      <c r="D662" s="5" t="s">
        <v>28</v>
      </c>
      <c r="E662" s="5" t="s">
        <v>10</v>
      </c>
      <c r="F662" s="5">
        <v>3062.42</v>
      </c>
    </row>
    <row r="663" spans="1:6" ht="30.75" thickBot="1" x14ac:dyDescent="0.3">
      <c r="A663" s="4" t="s">
        <v>76</v>
      </c>
      <c r="B663" s="5" t="s">
        <v>17</v>
      </c>
      <c r="C663" s="5" t="s">
        <v>34</v>
      </c>
      <c r="D663" s="5" t="s">
        <v>14</v>
      </c>
      <c r="E663" s="5" t="s">
        <v>10</v>
      </c>
      <c r="F663" s="5">
        <v>1226.9100000000001</v>
      </c>
    </row>
    <row r="664" spans="1:6" ht="30.75" thickBot="1" x14ac:dyDescent="0.3">
      <c r="A664" s="4" t="s">
        <v>168</v>
      </c>
      <c r="B664" s="5" t="s">
        <v>17</v>
      </c>
      <c r="C664" s="5" t="s">
        <v>13</v>
      </c>
      <c r="D664" s="5" t="s">
        <v>14</v>
      </c>
      <c r="E664" s="5" t="s">
        <v>24</v>
      </c>
      <c r="F664" s="5">
        <v>1442.19</v>
      </c>
    </row>
    <row r="665" spans="1:6" ht="15.75" thickBot="1" x14ac:dyDescent="0.3">
      <c r="A665" s="4" t="s">
        <v>182</v>
      </c>
      <c r="B665" s="5" t="s">
        <v>12</v>
      </c>
      <c r="C665" s="5" t="s">
        <v>13</v>
      </c>
      <c r="D665" s="5" t="s">
        <v>14</v>
      </c>
      <c r="E665" s="5" t="s">
        <v>24</v>
      </c>
      <c r="F665" s="5">
        <v>3767.87</v>
      </c>
    </row>
    <row r="666" spans="1:6" ht="15.75" thickBot="1" x14ac:dyDescent="0.3">
      <c r="A666" s="4" t="s">
        <v>91</v>
      </c>
      <c r="B666" s="5" t="s">
        <v>30</v>
      </c>
      <c r="C666" s="5" t="s">
        <v>23</v>
      </c>
      <c r="D666" s="5" t="s">
        <v>14</v>
      </c>
      <c r="E666" s="5" t="s">
        <v>24</v>
      </c>
      <c r="F666" s="5">
        <v>1528.64</v>
      </c>
    </row>
    <row r="667" spans="1:6" ht="15.75" thickBot="1" x14ac:dyDescent="0.3">
      <c r="A667" s="4" t="s">
        <v>85</v>
      </c>
      <c r="B667" s="5" t="s">
        <v>30</v>
      </c>
      <c r="C667" s="5" t="s">
        <v>23</v>
      </c>
      <c r="D667" s="5" t="s">
        <v>28</v>
      </c>
      <c r="E667" s="5" t="s">
        <v>15</v>
      </c>
      <c r="F667" s="5">
        <v>438.03</v>
      </c>
    </row>
    <row r="668" spans="1:6" ht="15.75" thickBot="1" x14ac:dyDescent="0.3">
      <c r="A668" s="4" t="s">
        <v>119</v>
      </c>
      <c r="B668" s="5" t="s">
        <v>30</v>
      </c>
      <c r="C668" s="5" t="s">
        <v>13</v>
      </c>
      <c r="D668" s="5" t="s">
        <v>14</v>
      </c>
      <c r="E668" s="5" t="s">
        <v>10</v>
      </c>
      <c r="F668" s="5">
        <v>2291.7800000000002</v>
      </c>
    </row>
    <row r="669" spans="1:6" ht="15.75" thickBot="1" x14ac:dyDescent="0.3">
      <c r="A669" s="4" t="s">
        <v>42</v>
      </c>
      <c r="B669" s="5" t="s">
        <v>30</v>
      </c>
      <c r="C669" s="5" t="s">
        <v>13</v>
      </c>
      <c r="D669" s="5" t="s">
        <v>28</v>
      </c>
      <c r="E669" s="5" t="s">
        <v>10</v>
      </c>
      <c r="F669" s="5">
        <v>4099.03</v>
      </c>
    </row>
    <row r="670" spans="1:6" ht="15.75" thickBot="1" x14ac:dyDescent="0.3">
      <c r="A670" s="4" t="s">
        <v>122</v>
      </c>
      <c r="B670" s="5" t="s">
        <v>19</v>
      </c>
      <c r="C670" s="5" t="s">
        <v>23</v>
      </c>
      <c r="D670" s="5" t="s">
        <v>9</v>
      </c>
      <c r="E670" s="5" t="s">
        <v>10</v>
      </c>
      <c r="F670" s="5">
        <v>2713.3180809999999</v>
      </c>
    </row>
    <row r="671" spans="1:6" ht="15.75" thickBot="1" x14ac:dyDescent="0.3">
      <c r="A671" s="4" t="s">
        <v>25</v>
      </c>
      <c r="B671" s="5" t="s">
        <v>19</v>
      </c>
      <c r="C671" s="5" t="s">
        <v>13</v>
      </c>
      <c r="D671" s="5" t="s">
        <v>14</v>
      </c>
      <c r="E671" s="5" t="s">
        <v>15</v>
      </c>
      <c r="F671" s="5">
        <v>769.84</v>
      </c>
    </row>
    <row r="672" spans="1:6" ht="15.75" thickBot="1" x14ac:dyDescent="0.3">
      <c r="A672" s="4" t="s">
        <v>100</v>
      </c>
      <c r="B672" s="5" t="s">
        <v>7</v>
      </c>
      <c r="C672" s="5" t="s">
        <v>23</v>
      </c>
      <c r="D672" s="5" t="s">
        <v>28</v>
      </c>
      <c r="E672" s="5" t="s">
        <v>10</v>
      </c>
      <c r="F672" s="5">
        <v>3217.94</v>
      </c>
    </row>
    <row r="673" spans="1:6" ht="15.75" thickBot="1" x14ac:dyDescent="0.3">
      <c r="A673" s="4" t="s">
        <v>179</v>
      </c>
      <c r="B673" s="5" t="s">
        <v>7</v>
      </c>
      <c r="C673" s="5" t="s">
        <v>23</v>
      </c>
      <c r="D673" s="5" t="s">
        <v>9</v>
      </c>
      <c r="E673" s="5" t="s">
        <v>15</v>
      </c>
      <c r="F673" s="5">
        <v>3817.749018</v>
      </c>
    </row>
    <row r="674" spans="1:6" ht="15.75" thickBot="1" x14ac:dyDescent="0.3">
      <c r="A674" s="4" t="s">
        <v>160</v>
      </c>
      <c r="B674" s="5" t="s">
        <v>30</v>
      </c>
      <c r="C674" s="5" t="s">
        <v>34</v>
      </c>
      <c r="D674" s="5" t="s">
        <v>14</v>
      </c>
      <c r="E674" s="5" t="s">
        <v>10</v>
      </c>
      <c r="F674" s="5">
        <v>3796.86</v>
      </c>
    </row>
    <row r="675" spans="1:6" ht="15.75" thickBot="1" x14ac:dyDescent="0.3">
      <c r="A675" s="4" t="s">
        <v>163</v>
      </c>
      <c r="B675" s="5" t="s">
        <v>19</v>
      </c>
      <c r="C675" s="5" t="s">
        <v>8</v>
      </c>
      <c r="D675" s="5" t="s">
        <v>28</v>
      </c>
      <c r="E675" s="5" t="s">
        <v>15</v>
      </c>
      <c r="F675" s="5">
        <v>1722.54</v>
      </c>
    </row>
    <row r="676" spans="1:6" ht="30.75" thickBot="1" x14ac:dyDescent="0.3">
      <c r="A676" s="4" t="s">
        <v>190</v>
      </c>
      <c r="B676" s="5" t="s">
        <v>17</v>
      </c>
      <c r="C676" s="5" t="s">
        <v>23</v>
      </c>
      <c r="D676" s="5" t="s">
        <v>14</v>
      </c>
      <c r="E676" s="5" t="s">
        <v>24</v>
      </c>
      <c r="F676" s="5">
        <v>2472.08</v>
      </c>
    </row>
    <row r="677" spans="1:6" ht="30.75" thickBot="1" x14ac:dyDescent="0.3">
      <c r="A677" s="4" t="s">
        <v>129</v>
      </c>
      <c r="B677" s="5" t="s">
        <v>17</v>
      </c>
      <c r="C677" s="5" t="s">
        <v>34</v>
      </c>
      <c r="D677" s="5" t="s">
        <v>28</v>
      </c>
      <c r="E677" s="5" t="s">
        <v>24</v>
      </c>
      <c r="F677" s="5">
        <v>3592.6</v>
      </c>
    </row>
    <row r="678" spans="1:6" ht="30.75" thickBot="1" x14ac:dyDescent="0.3">
      <c r="A678" s="4" t="s">
        <v>80</v>
      </c>
      <c r="B678" s="5" t="s">
        <v>17</v>
      </c>
      <c r="C678" s="5" t="s">
        <v>34</v>
      </c>
      <c r="D678" s="5" t="s">
        <v>28</v>
      </c>
      <c r="E678" s="5" t="s">
        <v>15</v>
      </c>
      <c r="F678" s="5">
        <v>4482.0600000000004</v>
      </c>
    </row>
    <row r="679" spans="1:6" ht="30.75" thickBot="1" x14ac:dyDescent="0.3">
      <c r="A679" s="4" t="s">
        <v>156</v>
      </c>
      <c r="B679" s="5" t="s">
        <v>17</v>
      </c>
      <c r="C679" s="5" t="s">
        <v>23</v>
      </c>
      <c r="D679" s="5" t="s">
        <v>9</v>
      </c>
      <c r="E679" s="5" t="s">
        <v>15</v>
      </c>
      <c r="F679" s="5">
        <v>3888.6305109999998</v>
      </c>
    </row>
    <row r="680" spans="1:6" ht="15.75" thickBot="1" x14ac:dyDescent="0.3">
      <c r="A680" s="4" t="s">
        <v>204</v>
      </c>
      <c r="B680" s="5" t="s">
        <v>30</v>
      </c>
      <c r="C680" s="5" t="s">
        <v>34</v>
      </c>
      <c r="D680" s="5" t="s">
        <v>9</v>
      </c>
      <c r="E680" s="5" t="s">
        <v>15</v>
      </c>
      <c r="F680" s="5">
        <v>1035.252371</v>
      </c>
    </row>
    <row r="681" spans="1:6" ht="15.75" thickBot="1" x14ac:dyDescent="0.3">
      <c r="A681" s="4" t="s">
        <v>107</v>
      </c>
      <c r="B681" s="5" t="s">
        <v>30</v>
      </c>
      <c r="C681" s="5" t="s">
        <v>34</v>
      </c>
      <c r="D681" s="5" t="s">
        <v>14</v>
      </c>
      <c r="E681" s="5" t="s">
        <v>15</v>
      </c>
      <c r="F681" s="5">
        <v>93.17</v>
      </c>
    </row>
    <row r="682" spans="1:6" ht="15.75" thickBot="1" x14ac:dyDescent="0.3">
      <c r="A682" s="4" t="s">
        <v>64</v>
      </c>
      <c r="B682" s="5" t="s">
        <v>30</v>
      </c>
      <c r="C682" s="5" t="s">
        <v>8</v>
      </c>
      <c r="D682" s="5" t="s">
        <v>14</v>
      </c>
      <c r="E682" s="5" t="s">
        <v>15</v>
      </c>
      <c r="F682" s="5">
        <v>489.88</v>
      </c>
    </row>
    <row r="683" spans="1:6" ht="15.75" thickBot="1" x14ac:dyDescent="0.3">
      <c r="A683" s="4" t="s">
        <v>42</v>
      </c>
      <c r="B683" s="5" t="s">
        <v>30</v>
      </c>
      <c r="C683" s="5" t="s">
        <v>8</v>
      </c>
      <c r="D683" s="5" t="s">
        <v>28</v>
      </c>
      <c r="E683" s="5" t="s">
        <v>24</v>
      </c>
      <c r="F683" s="5">
        <v>627.29999999999995</v>
      </c>
    </row>
    <row r="684" spans="1:6" ht="15.75" thickBot="1" x14ac:dyDescent="0.3">
      <c r="A684" s="4" t="s">
        <v>169</v>
      </c>
      <c r="B684" s="5" t="s">
        <v>12</v>
      </c>
      <c r="C684" s="5" t="s">
        <v>23</v>
      </c>
      <c r="D684" s="5" t="s">
        <v>28</v>
      </c>
      <c r="E684" s="5" t="s">
        <v>24</v>
      </c>
      <c r="F684" s="5">
        <v>4443.8500000000004</v>
      </c>
    </row>
    <row r="685" spans="1:6" ht="15.75" thickBot="1" x14ac:dyDescent="0.3">
      <c r="A685" s="4" t="s">
        <v>188</v>
      </c>
      <c r="B685" s="5" t="s">
        <v>19</v>
      </c>
      <c r="C685" s="5" t="s">
        <v>8</v>
      </c>
      <c r="D685" s="5" t="s">
        <v>14</v>
      </c>
      <c r="E685" s="5" t="s">
        <v>15</v>
      </c>
      <c r="F685" s="5">
        <v>2192.52</v>
      </c>
    </row>
    <row r="686" spans="1:6" ht="15.75" thickBot="1" x14ac:dyDescent="0.3">
      <c r="A686" s="4" t="s">
        <v>35</v>
      </c>
      <c r="B686" s="5" t="s">
        <v>19</v>
      </c>
      <c r="C686" s="5" t="s">
        <v>34</v>
      </c>
      <c r="D686" s="5" t="s">
        <v>9</v>
      </c>
      <c r="E686" s="5" t="s">
        <v>15</v>
      </c>
      <c r="F686" s="5">
        <v>1166.7681070000001</v>
      </c>
    </row>
    <row r="687" spans="1:6" ht="30.75" thickBot="1" x14ac:dyDescent="0.3">
      <c r="A687" s="4" t="s">
        <v>156</v>
      </c>
      <c r="B687" s="5" t="s">
        <v>17</v>
      </c>
      <c r="C687" s="5" t="s">
        <v>8</v>
      </c>
      <c r="D687" s="5" t="s">
        <v>9</v>
      </c>
      <c r="E687" s="5" t="s">
        <v>10</v>
      </c>
      <c r="F687" s="5">
        <v>3803.9616740000001</v>
      </c>
    </row>
    <row r="688" spans="1:6" ht="15.75" thickBot="1" x14ac:dyDescent="0.3">
      <c r="A688" s="4" t="s">
        <v>48</v>
      </c>
      <c r="B688" s="5" t="s">
        <v>19</v>
      </c>
      <c r="C688" s="5" t="s">
        <v>8</v>
      </c>
      <c r="D688" s="5" t="s">
        <v>14</v>
      </c>
      <c r="E688" s="5" t="s">
        <v>24</v>
      </c>
      <c r="F688" s="5">
        <v>4902.53</v>
      </c>
    </row>
    <row r="689" spans="1:6" ht="15.75" thickBot="1" x14ac:dyDescent="0.3">
      <c r="A689" s="4" t="s">
        <v>193</v>
      </c>
      <c r="B689" s="5" t="s">
        <v>12</v>
      </c>
      <c r="C689" s="5" t="s">
        <v>23</v>
      </c>
      <c r="D689" s="5" t="s">
        <v>28</v>
      </c>
      <c r="E689" s="5" t="s">
        <v>24</v>
      </c>
      <c r="F689" s="5">
        <v>1144.49</v>
      </c>
    </row>
    <row r="690" spans="1:6" ht="15.75" thickBot="1" x14ac:dyDescent="0.3">
      <c r="A690" s="4" t="s">
        <v>67</v>
      </c>
      <c r="B690" s="5" t="s">
        <v>7</v>
      </c>
      <c r="C690" s="5" t="s">
        <v>13</v>
      </c>
      <c r="D690" s="5" t="s">
        <v>9</v>
      </c>
      <c r="E690" s="5" t="s">
        <v>15</v>
      </c>
      <c r="F690" s="5">
        <v>4243.1099999999997</v>
      </c>
    </row>
    <row r="691" spans="1:6" ht="15.75" thickBot="1" x14ac:dyDescent="0.3">
      <c r="A691" s="4" t="s">
        <v>22</v>
      </c>
      <c r="B691" s="5" t="s">
        <v>12</v>
      </c>
      <c r="C691" s="5" t="s">
        <v>8</v>
      </c>
      <c r="D691" s="5" t="s">
        <v>28</v>
      </c>
      <c r="E691" s="5" t="s">
        <v>24</v>
      </c>
      <c r="F691" s="5">
        <v>2303.31</v>
      </c>
    </row>
    <row r="692" spans="1:6" ht="15.75" thickBot="1" x14ac:dyDescent="0.3">
      <c r="A692" s="4" t="s">
        <v>95</v>
      </c>
      <c r="B692" s="5" t="s">
        <v>30</v>
      </c>
      <c r="C692" s="5" t="s">
        <v>23</v>
      </c>
      <c r="D692" s="5" t="s">
        <v>14</v>
      </c>
      <c r="E692" s="5" t="s">
        <v>10</v>
      </c>
      <c r="F692" s="5">
        <v>3192.9</v>
      </c>
    </row>
    <row r="693" spans="1:6" ht="15.75" thickBot="1" x14ac:dyDescent="0.3">
      <c r="A693" s="4" t="s">
        <v>71</v>
      </c>
      <c r="B693" s="5" t="s">
        <v>7</v>
      </c>
      <c r="C693" s="5" t="s">
        <v>13</v>
      </c>
      <c r="D693" s="5" t="s">
        <v>28</v>
      </c>
      <c r="E693" s="5" t="s">
        <v>15</v>
      </c>
      <c r="F693" s="5">
        <v>3601.52</v>
      </c>
    </row>
    <row r="694" spans="1:6" ht="15.75" thickBot="1" x14ac:dyDescent="0.3">
      <c r="A694" s="4" t="s">
        <v>95</v>
      </c>
      <c r="B694" s="5" t="s">
        <v>30</v>
      </c>
      <c r="C694" s="5" t="s">
        <v>13</v>
      </c>
      <c r="D694" s="5" t="s">
        <v>14</v>
      </c>
      <c r="E694" s="5" t="s">
        <v>15</v>
      </c>
      <c r="F694" s="5">
        <v>4964.3100000000004</v>
      </c>
    </row>
    <row r="695" spans="1:6" ht="30.75" thickBot="1" x14ac:dyDescent="0.3">
      <c r="A695" s="4" t="s">
        <v>59</v>
      </c>
      <c r="B695" s="5" t="s">
        <v>17</v>
      </c>
      <c r="C695" s="5" t="s">
        <v>23</v>
      </c>
      <c r="D695" s="5" t="s">
        <v>14</v>
      </c>
      <c r="E695" s="5" t="s">
        <v>15</v>
      </c>
      <c r="F695" s="5">
        <v>2143.7399999999998</v>
      </c>
    </row>
    <row r="696" spans="1:6" ht="15.75" thickBot="1" x14ac:dyDescent="0.3">
      <c r="A696" s="4" t="s">
        <v>164</v>
      </c>
      <c r="B696" s="5" t="s">
        <v>19</v>
      </c>
      <c r="C696" s="5" t="s">
        <v>13</v>
      </c>
      <c r="D696" s="5" t="s">
        <v>14</v>
      </c>
      <c r="E696" s="5" t="s">
        <v>15</v>
      </c>
      <c r="F696" s="5">
        <v>563.55999999999995</v>
      </c>
    </row>
    <row r="697" spans="1:6" ht="15.75" thickBot="1" x14ac:dyDescent="0.3">
      <c r="A697" s="4" t="s">
        <v>95</v>
      </c>
      <c r="B697" s="5" t="s">
        <v>30</v>
      </c>
      <c r="C697" s="5" t="s">
        <v>13</v>
      </c>
      <c r="D697" s="5" t="s">
        <v>9</v>
      </c>
      <c r="E697" s="5" t="s">
        <v>15</v>
      </c>
      <c r="F697" s="5">
        <v>1541.8649820000001</v>
      </c>
    </row>
    <row r="698" spans="1:6" ht="15.75" thickBot="1" x14ac:dyDescent="0.3">
      <c r="A698" s="4" t="s">
        <v>46</v>
      </c>
      <c r="B698" s="5" t="s">
        <v>30</v>
      </c>
      <c r="C698" s="5" t="s">
        <v>23</v>
      </c>
      <c r="D698" s="5" t="s">
        <v>14</v>
      </c>
      <c r="E698" s="5" t="s">
        <v>10</v>
      </c>
      <c r="F698" s="5">
        <v>2191.88</v>
      </c>
    </row>
    <row r="699" spans="1:6" ht="15.75" thickBot="1" x14ac:dyDescent="0.3">
      <c r="A699" s="4" t="s">
        <v>45</v>
      </c>
      <c r="B699" s="5" t="s">
        <v>7</v>
      </c>
      <c r="C699" s="5" t="s">
        <v>34</v>
      </c>
      <c r="D699" s="5" t="s">
        <v>28</v>
      </c>
      <c r="E699" s="5" t="s">
        <v>15</v>
      </c>
      <c r="F699" s="5">
        <v>4804.76</v>
      </c>
    </row>
    <row r="700" spans="1:6" ht="15.75" thickBot="1" x14ac:dyDescent="0.3">
      <c r="A700" s="4" t="s">
        <v>212</v>
      </c>
      <c r="B700" s="5" t="s">
        <v>7</v>
      </c>
      <c r="C700" s="5" t="s">
        <v>13</v>
      </c>
      <c r="D700" s="5" t="s">
        <v>14</v>
      </c>
      <c r="E700" s="5" t="s">
        <v>10</v>
      </c>
      <c r="F700" s="5">
        <v>4966.99</v>
      </c>
    </row>
    <row r="701" spans="1:6" ht="15.75" thickBot="1" x14ac:dyDescent="0.3">
      <c r="A701" s="4" t="s">
        <v>99</v>
      </c>
      <c r="B701" s="5" t="s">
        <v>19</v>
      </c>
      <c r="C701" s="5" t="s">
        <v>8</v>
      </c>
      <c r="D701" s="5" t="s">
        <v>28</v>
      </c>
      <c r="E701" s="5" t="s">
        <v>15</v>
      </c>
      <c r="F701" s="5">
        <v>2346.08</v>
      </c>
    </row>
    <row r="702" spans="1:6" ht="30.75" thickBot="1" x14ac:dyDescent="0.3">
      <c r="A702" s="4" t="s">
        <v>140</v>
      </c>
      <c r="B702" s="5" t="s">
        <v>17</v>
      </c>
      <c r="C702" s="5" t="s">
        <v>34</v>
      </c>
      <c r="D702" s="5" t="s">
        <v>28</v>
      </c>
      <c r="E702" s="5" t="s">
        <v>15</v>
      </c>
      <c r="F702" s="5">
        <v>278.14</v>
      </c>
    </row>
    <row r="703" spans="1:6" ht="15.75" thickBot="1" x14ac:dyDescent="0.3">
      <c r="A703" s="4" t="s">
        <v>111</v>
      </c>
      <c r="B703" s="5" t="s">
        <v>19</v>
      </c>
      <c r="C703" s="5" t="s">
        <v>34</v>
      </c>
      <c r="D703" s="5" t="s">
        <v>28</v>
      </c>
      <c r="E703" s="5" t="s">
        <v>10</v>
      </c>
      <c r="F703" s="5">
        <v>3551.91</v>
      </c>
    </row>
    <row r="704" spans="1:6" ht="15.75" thickBot="1" x14ac:dyDescent="0.3">
      <c r="A704" s="4" t="s">
        <v>119</v>
      </c>
      <c r="B704" s="5" t="s">
        <v>30</v>
      </c>
      <c r="C704" s="5" t="s">
        <v>34</v>
      </c>
      <c r="D704" s="5" t="s">
        <v>28</v>
      </c>
      <c r="E704" s="5" t="s">
        <v>10</v>
      </c>
      <c r="F704" s="5">
        <v>3834.95</v>
      </c>
    </row>
    <row r="705" spans="1:6" ht="15.75" thickBot="1" x14ac:dyDescent="0.3">
      <c r="A705" s="4" t="s">
        <v>22</v>
      </c>
      <c r="B705" s="5" t="s">
        <v>12</v>
      </c>
      <c r="C705" s="5" t="s">
        <v>13</v>
      </c>
      <c r="D705" s="5" t="s">
        <v>14</v>
      </c>
      <c r="E705" s="5" t="s">
        <v>10</v>
      </c>
      <c r="F705" s="5">
        <v>4076.77</v>
      </c>
    </row>
    <row r="706" spans="1:6" ht="15.75" thickBot="1" x14ac:dyDescent="0.3">
      <c r="A706" s="4" t="s">
        <v>101</v>
      </c>
      <c r="B706" s="5" t="s">
        <v>19</v>
      </c>
      <c r="C706" s="5" t="s">
        <v>13</v>
      </c>
      <c r="D706" s="5" t="s">
        <v>14</v>
      </c>
      <c r="E706" s="5" t="s">
        <v>15</v>
      </c>
      <c r="F706" s="5">
        <v>1402.07</v>
      </c>
    </row>
    <row r="707" spans="1:6" ht="15.75" thickBot="1" x14ac:dyDescent="0.3">
      <c r="A707" s="4" t="s">
        <v>93</v>
      </c>
      <c r="B707" s="5" t="s">
        <v>30</v>
      </c>
      <c r="C707" s="5" t="s">
        <v>8</v>
      </c>
      <c r="D707" s="5" t="s">
        <v>14</v>
      </c>
      <c r="E707" s="5" t="s">
        <v>15</v>
      </c>
      <c r="F707" s="5">
        <v>2817.03</v>
      </c>
    </row>
    <row r="708" spans="1:6" ht="15.75" thickBot="1" x14ac:dyDescent="0.3">
      <c r="A708" s="4" t="s">
        <v>94</v>
      </c>
      <c r="B708" s="5" t="s">
        <v>7</v>
      </c>
      <c r="C708" s="5" t="s">
        <v>34</v>
      </c>
      <c r="D708" s="5" t="s">
        <v>14</v>
      </c>
      <c r="E708" s="5" t="s">
        <v>24</v>
      </c>
      <c r="F708" s="5">
        <v>4610.1499999999996</v>
      </c>
    </row>
    <row r="709" spans="1:6" ht="15.75" thickBot="1" x14ac:dyDescent="0.3">
      <c r="A709" s="4" t="s">
        <v>191</v>
      </c>
      <c r="B709" s="5" t="s">
        <v>12</v>
      </c>
      <c r="C709" s="5" t="s">
        <v>23</v>
      </c>
      <c r="D709" s="5" t="s">
        <v>9</v>
      </c>
      <c r="E709" s="5" t="s">
        <v>24</v>
      </c>
      <c r="F709" s="5">
        <v>1197.675115</v>
      </c>
    </row>
    <row r="710" spans="1:6" ht="30.75" thickBot="1" x14ac:dyDescent="0.3">
      <c r="A710" s="4" t="s">
        <v>80</v>
      </c>
      <c r="B710" s="5" t="s">
        <v>17</v>
      </c>
      <c r="C710" s="5" t="s">
        <v>23</v>
      </c>
      <c r="D710" s="5" t="s">
        <v>14</v>
      </c>
      <c r="E710" s="5" t="s">
        <v>24</v>
      </c>
      <c r="F710" s="5">
        <v>2154.8200000000002</v>
      </c>
    </row>
    <row r="711" spans="1:6" ht="15.75" thickBot="1" x14ac:dyDescent="0.3">
      <c r="A711" s="4" t="s">
        <v>71</v>
      </c>
      <c r="B711" s="5" t="s">
        <v>7</v>
      </c>
      <c r="C711" s="5" t="s">
        <v>23</v>
      </c>
      <c r="D711" s="5" t="s">
        <v>28</v>
      </c>
      <c r="E711" s="5" t="s">
        <v>15</v>
      </c>
      <c r="F711" s="5">
        <v>1398.72</v>
      </c>
    </row>
    <row r="712" spans="1:6" ht="15.75" thickBot="1" x14ac:dyDescent="0.3">
      <c r="A712" s="4" t="s">
        <v>18</v>
      </c>
      <c r="B712" s="5" t="s">
        <v>19</v>
      </c>
      <c r="C712" s="5" t="s">
        <v>23</v>
      </c>
      <c r="D712" s="5" t="s">
        <v>14</v>
      </c>
      <c r="E712" s="5" t="s">
        <v>15</v>
      </c>
      <c r="F712" s="5">
        <v>2433.64</v>
      </c>
    </row>
    <row r="713" spans="1:6" ht="15.75" thickBot="1" x14ac:dyDescent="0.3">
      <c r="A713" s="4" t="s">
        <v>52</v>
      </c>
      <c r="B713" s="5" t="s">
        <v>19</v>
      </c>
      <c r="C713" s="5" t="s">
        <v>23</v>
      </c>
      <c r="D713" s="5" t="s">
        <v>14</v>
      </c>
      <c r="E713" s="5" t="s">
        <v>10</v>
      </c>
      <c r="F713" s="5">
        <v>1785.88</v>
      </c>
    </row>
    <row r="714" spans="1:6" ht="15.75" thickBot="1" x14ac:dyDescent="0.3">
      <c r="A714" s="4" t="s">
        <v>65</v>
      </c>
      <c r="B714" s="5" t="s">
        <v>30</v>
      </c>
      <c r="C714" s="5" t="s">
        <v>8</v>
      </c>
      <c r="D714" s="5" t="s">
        <v>9</v>
      </c>
      <c r="E714" s="5" t="s">
        <v>10</v>
      </c>
      <c r="F714" s="5">
        <v>4694.8763879999997</v>
      </c>
    </row>
    <row r="715" spans="1:6" ht="15.75" thickBot="1" x14ac:dyDescent="0.3">
      <c r="A715" s="4" t="s">
        <v>71</v>
      </c>
      <c r="B715" s="5" t="s">
        <v>7</v>
      </c>
      <c r="C715" s="5" t="s">
        <v>8</v>
      </c>
      <c r="D715" s="5" t="s">
        <v>14</v>
      </c>
      <c r="E715" s="5" t="s">
        <v>10</v>
      </c>
      <c r="F715" s="5">
        <v>3069.11</v>
      </c>
    </row>
    <row r="716" spans="1:6" ht="15.75" thickBot="1" x14ac:dyDescent="0.3">
      <c r="A716" s="4" t="s">
        <v>196</v>
      </c>
      <c r="B716" s="5" t="s">
        <v>30</v>
      </c>
      <c r="C716" s="5" t="s">
        <v>13</v>
      </c>
      <c r="D716" s="5" t="s">
        <v>14</v>
      </c>
      <c r="E716" s="5" t="s">
        <v>15</v>
      </c>
      <c r="F716" s="5">
        <v>2819.92</v>
      </c>
    </row>
    <row r="717" spans="1:6" ht="15.75" thickBot="1" x14ac:dyDescent="0.3">
      <c r="A717" s="4" t="s">
        <v>95</v>
      </c>
      <c r="B717" s="5" t="s">
        <v>30</v>
      </c>
      <c r="C717" s="5" t="s">
        <v>13</v>
      </c>
      <c r="D717" s="5" t="s">
        <v>28</v>
      </c>
      <c r="E717" s="5" t="s">
        <v>24</v>
      </c>
      <c r="F717" s="5">
        <v>1772.23</v>
      </c>
    </row>
    <row r="718" spans="1:6" ht="15.75" thickBot="1" x14ac:dyDescent="0.3">
      <c r="A718" s="4" t="s">
        <v>57</v>
      </c>
      <c r="B718" s="5" t="s">
        <v>19</v>
      </c>
      <c r="C718" s="5" t="s">
        <v>8</v>
      </c>
      <c r="D718" s="5" t="s">
        <v>14</v>
      </c>
      <c r="E718" s="5" t="s">
        <v>24</v>
      </c>
      <c r="F718" s="5">
        <v>2502.25</v>
      </c>
    </row>
    <row r="719" spans="1:6" ht="15.75" thickBot="1" x14ac:dyDescent="0.3">
      <c r="A719" s="4" t="s">
        <v>74</v>
      </c>
      <c r="B719" s="5" t="s">
        <v>19</v>
      </c>
      <c r="C719" s="5" t="s">
        <v>8</v>
      </c>
      <c r="D719" s="5" t="s">
        <v>9</v>
      </c>
      <c r="E719" s="5" t="s">
        <v>15</v>
      </c>
      <c r="F719" s="5">
        <v>3851.934953</v>
      </c>
    </row>
    <row r="720" spans="1:6" ht="15.75" thickBot="1" x14ac:dyDescent="0.3">
      <c r="A720" s="4" t="s">
        <v>114</v>
      </c>
      <c r="B720" s="5" t="s">
        <v>30</v>
      </c>
      <c r="C720" s="5" t="s">
        <v>13</v>
      </c>
      <c r="D720" s="5" t="s">
        <v>28</v>
      </c>
      <c r="E720" s="5" t="s">
        <v>24</v>
      </c>
      <c r="F720" s="5">
        <v>3031.48</v>
      </c>
    </row>
    <row r="721" spans="1:6" ht="15.75" thickBot="1" x14ac:dyDescent="0.3">
      <c r="A721" s="4" t="s">
        <v>78</v>
      </c>
      <c r="B721" s="5" t="s">
        <v>7</v>
      </c>
      <c r="C721" s="5" t="s">
        <v>23</v>
      </c>
      <c r="D721" s="5" t="s">
        <v>9</v>
      </c>
      <c r="E721" s="5" t="s">
        <v>24</v>
      </c>
      <c r="F721" s="5">
        <v>601.62</v>
      </c>
    </row>
    <row r="722" spans="1:6" ht="15.75" thickBot="1" x14ac:dyDescent="0.3">
      <c r="A722" s="4" t="s">
        <v>73</v>
      </c>
      <c r="B722" s="5" t="s">
        <v>30</v>
      </c>
      <c r="C722" s="5" t="s">
        <v>8</v>
      </c>
      <c r="D722" s="5" t="s">
        <v>28</v>
      </c>
      <c r="E722" s="5" t="s">
        <v>24</v>
      </c>
      <c r="F722" s="5">
        <v>2060.17</v>
      </c>
    </row>
    <row r="723" spans="1:6" ht="15.75" thickBot="1" x14ac:dyDescent="0.3">
      <c r="A723" s="4" t="s">
        <v>99</v>
      </c>
      <c r="B723" s="5" t="s">
        <v>19</v>
      </c>
      <c r="C723" s="5" t="s">
        <v>13</v>
      </c>
      <c r="D723" s="5" t="s">
        <v>28</v>
      </c>
      <c r="E723" s="5" t="s">
        <v>10</v>
      </c>
      <c r="F723" s="5">
        <v>2452.0300000000002</v>
      </c>
    </row>
    <row r="724" spans="1:6" ht="15.75" thickBot="1" x14ac:dyDescent="0.3">
      <c r="A724" s="4" t="s">
        <v>56</v>
      </c>
      <c r="B724" s="5" t="s">
        <v>19</v>
      </c>
      <c r="C724" s="5" t="s">
        <v>8</v>
      </c>
      <c r="D724" s="5" t="s">
        <v>28</v>
      </c>
      <c r="E724" s="5" t="s">
        <v>10</v>
      </c>
      <c r="F724" s="5">
        <v>1782.21</v>
      </c>
    </row>
    <row r="725" spans="1:6" ht="15.75" thickBot="1" x14ac:dyDescent="0.3">
      <c r="A725" s="4" t="s">
        <v>123</v>
      </c>
      <c r="B725" s="5" t="s">
        <v>30</v>
      </c>
      <c r="C725" s="5" t="s">
        <v>23</v>
      </c>
      <c r="D725" s="5" t="s">
        <v>9</v>
      </c>
      <c r="E725" s="5" t="s">
        <v>15</v>
      </c>
      <c r="F725" s="5">
        <v>103.31</v>
      </c>
    </row>
    <row r="726" spans="1:6" ht="30.75" thickBot="1" x14ac:dyDescent="0.3">
      <c r="A726" s="4" t="s">
        <v>171</v>
      </c>
      <c r="B726" s="5" t="s">
        <v>17</v>
      </c>
      <c r="C726" s="5" t="s">
        <v>13</v>
      </c>
      <c r="D726" s="5" t="s">
        <v>14</v>
      </c>
      <c r="E726" s="5" t="s">
        <v>15</v>
      </c>
      <c r="F726" s="5">
        <v>3568.05</v>
      </c>
    </row>
    <row r="727" spans="1:6" ht="15.75" thickBot="1" x14ac:dyDescent="0.3">
      <c r="A727" s="4" t="s">
        <v>67</v>
      </c>
      <c r="B727" s="5" t="s">
        <v>7</v>
      </c>
      <c r="C727" s="5" t="s">
        <v>23</v>
      </c>
      <c r="D727" s="5" t="s">
        <v>9</v>
      </c>
      <c r="E727" s="5" t="s">
        <v>15</v>
      </c>
      <c r="F727" s="5">
        <v>2290.64</v>
      </c>
    </row>
    <row r="728" spans="1:6" ht="15.75" thickBot="1" x14ac:dyDescent="0.3">
      <c r="A728" s="4" t="s">
        <v>105</v>
      </c>
      <c r="B728" s="5" t="s">
        <v>30</v>
      </c>
      <c r="C728" s="5" t="s">
        <v>23</v>
      </c>
      <c r="D728" s="5" t="s">
        <v>14</v>
      </c>
      <c r="E728" s="5" t="s">
        <v>24</v>
      </c>
      <c r="F728" s="5">
        <v>4937.24</v>
      </c>
    </row>
    <row r="729" spans="1:6" ht="15.75" thickBot="1" x14ac:dyDescent="0.3">
      <c r="A729" s="4" t="s">
        <v>150</v>
      </c>
      <c r="B729" s="5" t="s">
        <v>30</v>
      </c>
      <c r="C729" s="5" t="s">
        <v>23</v>
      </c>
      <c r="D729" s="5" t="s">
        <v>9</v>
      </c>
      <c r="E729" s="5" t="s">
        <v>15</v>
      </c>
      <c r="F729" s="5">
        <v>1728.8069439999999</v>
      </c>
    </row>
    <row r="730" spans="1:6" ht="15.75" thickBot="1" x14ac:dyDescent="0.3">
      <c r="A730" s="4" t="s">
        <v>213</v>
      </c>
      <c r="B730" s="5" t="s">
        <v>12</v>
      </c>
      <c r="C730" s="5" t="s">
        <v>13</v>
      </c>
      <c r="D730" s="5" t="s">
        <v>14</v>
      </c>
      <c r="E730" s="5" t="s">
        <v>10</v>
      </c>
      <c r="F730" s="5">
        <v>372.7</v>
      </c>
    </row>
    <row r="731" spans="1:6" ht="30.75" thickBot="1" x14ac:dyDescent="0.3">
      <c r="A731" s="4" t="s">
        <v>80</v>
      </c>
      <c r="B731" s="5" t="s">
        <v>17</v>
      </c>
      <c r="C731" s="5" t="s">
        <v>8</v>
      </c>
      <c r="D731" s="5" t="s">
        <v>14</v>
      </c>
      <c r="E731" s="5" t="s">
        <v>24</v>
      </c>
      <c r="F731" s="5">
        <v>3677.7</v>
      </c>
    </row>
    <row r="732" spans="1:6" ht="30.75" thickBot="1" x14ac:dyDescent="0.3">
      <c r="A732" s="4" t="s">
        <v>20</v>
      </c>
      <c r="B732" s="5" t="s">
        <v>17</v>
      </c>
      <c r="C732" s="5" t="s">
        <v>34</v>
      </c>
      <c r="D732" s="5" t="s">
        <v>28</v>
      </c>
      <c r="E732" s="5" t="s">
        <v>10</v>
      </c>
      <c r="F732" s="5">
        <v>2576.7800000000002</v>
      </c>
    </row>
    <row r="733" spans="1:6" ht="15.75" thickBot="1" x14ac:dyDescent="0.3">
      <c r="A733" s="4" t="s">
        <v>111</v>
      </c>
      <c r="B733" s="5" t="s">
        <v>19</v>
      </c>
      <c r="C733" s="5" t="s">
        <v>8</v>
      </c>
      <c r="D733" s="5" t="s">
        <v>28</v>
      </c>
      <c r="E733" s="5" t="s">
        <v>10</v>
      </c>
      <c r="F733" s="5">
        <v>2972.77</v>
      </c>
    </row>
    <row r="734" spans="1:6" ht="15.75" thickBot="1" x14ac:dyDescent="0.3">
      <c r="A734" s="4" t="s">
        <v>87</v>
      </c>
      <c r="B734" s="5" t="s">
        <v>12</v>
      </c>
      <c r="C734" s="5" t="s">
        <v>23</v>
      </c>
      <c r="D734" s="5" t="s">
        <v>28</v>
      </c>
      <c r="E734" s="5" t="s">
        <v>24</v>
      </c>
      <c r="F734" s="5">
        <v>3995.86</v>
      </c>
    </row>
    <row r="735" spans="1:6" ht="15.75" thickBot="1" x14ac:dyDescent="0.3">
      <c r="A735" s="4" t="s">
        <v>84</v>
      </c>
      <c r="B735" s="5" t="s">
        <v>30</v>
      </c>
      <c r="C735" s="5" t="s">
        <v>13</v>
      </c>
      <c r="D735" s="5" t="s">
        <v>14</v>
      </c>
      <c r="E735" s="5" t="s">
        <v>15</v>
      </c>
      <c r="F735" s="5">
        <v>2798.95</v>
      </c>
    </row>
    <row r="736" spans="1:6" ht="15.75" thickBot="1" x14ac:dyDescent="0.3">
      <c r="A736" s="4" t="s">
        <v>36</v>
      </c>
      <c r="B736" s="5" t="s">
        <v>12</v>
      </c>
      <c r="C736" s="5" t="s">
        <v>8</v>
      </c>
      <c r="D736" s="5" t="s">
        <v>28</v>
      </c>
      <c r="E736" s="5" t="s">
        <v>15</v>
      </c>
      <c r="F736" s="5">
        <v>204.44</v>
      </c>
    </row>
    <row r="737" spans="1:6" ht="15.75" thickBot="1" x14ac:dyDescent="0.3">
      <c r="A737" s="4" t="s">
        <v>179</v>
      </c>
      <c r="B737" s="5" t="s">
        <v>7</v>
      </c>
      <c r="C737" s="5" t="s">
        <v>8</v>
      </c>
      <c r="D737" s="5" t="s">
        <v>14</v>
      </c>
      <c r="E737" s="5" t="s">
        <v>15</v>
      </c>
      <c r="F737" s="5">
        <v>2646.82</v>
      </c>
    </row>
    <row r="738" spans="1:6" ht="15.75" thickBot="1" x14ac:dyDescent="0.3">
      <c r="A738" s="4" t="s">
        <v>50</v>
      </c>
      <c r="B738" s="5" t="s">
        <v>19</v>
      </c>
      <c r="C738" s="5" t="s">
        <v>13</v>
      </c>
      <c r="D738" s="5" t="s">
        <v>14</v>
      </c>
      <c r="E738" s="5" t="s">
        <v>15</v>
      </c>
      <c r="F738" s="5">
        <v>2960.39</v>
      </c>
    </row>
    <row r="739" spans="1:6" ht="15.75" thickBot="1" x14ac:dyDescent="0.3">
      <c r="A739" s="4" t="s">
        <v>78</v>
      </c>
      <c r="B739" s="5" t="s">
        <v>7</v>
      </c>
      <c r="C739" s="5" t="s">
        <v>13</v>
      </c>
      <c r="D739" s="5" t="s">
        <v>14</v>
      </c>
      <c r="E739" s="5" t="s">
        <v>24</v>
      </c>
      <c r="F739" s="5">
        <v>1696.88</v>
      </c>
    </row>
    <row r="740" spans="1:6" ht="15.75" thickBot="1" x14ac:dyDescent="0.3">
      <c r="A740" s="4" t="s">
        <v>214</v>
      </c>
      <c r="B740" s="5" t="s">
        <v>30</v>
      </c>
      <c r="C740" s="5" t="s">
        <v>13</v>
      </c>
      <c r="D740" s="5" t="s">
        <v>9</v>
      </c>
      <c r="E740" s="5" t="s">
        <v>24</v>
      </c>
      <c r="F740" s="5">
        <v>622.99567999999999</v>
      </c>
    </row>
    <row r="741" spans="1:6" ht="15.75" thickBot="1" x14ac:dyDescent="0.3">
      <c r="A741" s="4" t="s">
        <v>128</v>
      </c>
      <c r="B741" s="5" t="s">
        <v>12</v>
      </c>
      <c r="C741" s="5" t="s">
        <v>23</v>
      </c>
      <c r="D741" s="5" t="s">
        <v>14</v>
      </c>
      <c r="E741" s="5" t="s">
        <v>24</v>
      </c>
      <c r="F741" s="5">
        <v>1684.41</v>
      </c>
    </row>
    <row r="742" spans="1:6" ht="15.75" thickBot="1" x14ac:dyDescent="0.3">
      <c r="A742" s="4" t="s">
        <v>68</v>
      </c>
      <c r="B742" s="5" t="s">
        <v>12</v>
      </c>
      <c r="C742" s="5" t="s">
        <v>34</v>
      </c>
      <c r="D742" s="5" t="s">
        <v>14</v>
      </c>
      <c r="E742" s="5" t="s">
        <v>24</v>
      </c>
      <c r="F742" s="5">
        <v>3307.16</v>
      </c>
    </row>
    <row r="743" spans="1:6" ht="15.75" thickBot="1" x14ac:dyDescent="0.3">
      <c r="A743" s="4" t="s">
        <v>38</v>
      </c>
      <c r="B743" s="5" t="s">
        <v>30</v>
      </c>
      <c r="C743" s="5" t="s">
        <v>34</v>
      </c>
      <c r="D743" s="5" t="s">
        <v>9</v>
      </c>
      <c r="E743" s="5" t="s">
        <v>10</v>
      </c>
      <c r="F743" s="5">
        <v>2731.1669729999999</v>
      </c>
    </row>
    <row r="744" spans="1:6" ht="15.75" thickBot="1" x14ac:dyDescent="0.3">
      <c r="A744" s="4" t="s">
        <v>29</v>
      </c>
      <c r="B744" s="5" t="s">
        <v>30</v>
      </c>
      <c r="C744" s="5" t="s">
        <v>13</v>
      </c>
      <c r="D744" s="5" t="s">
        <v>28</v>
      </c>
      <c r="E744" s="5" t="s">
        <v>24</v>
      </c>
      <c r="F744" s="5">
        <v>2861.41</v>
      </c>
    </row>
    <row r="745" spans="1:6" ht="15.75" thickBot="1" x14ac:dyDescent="0.3">
      <c r="A745" s="4" t="s">
        <v>117</v>
      </c>
      <c r="B745" s="5" t="s">
        <v>7</v>
      </c>
      <c r="C745" s="5" t="s">
        <v>34</v>
      </c>
      <c r="D745" s="5" t="s">
        <v>14</v>
      </c>
      <c r="E745" s="5" t="s">
        <v>15</v>
      </c>
      <c r="F745" s="5">
        <v>2409.39</v>
      </c>
    </row>
    <row r="746" spans="1:6" ht="15.75" thickBot="1" x14ac:dyDescent="0.3">
      <c r="A746" s="4" t="s">
        <v>125</v>
      </c>
      <c r="B746" s="5" t="s">
        <v>7</v>
      </c>
      <c r="C746" s="5" t="s">
        <v>13</v>
      </c>
      <c r="D746" s="5" t="s">
        <v>28</v>
      </c>
      <c r="E746" s="5" t="s">
        <v>24</v>
      </c>
      <c r="F746" s="5">
        <v>1958.41</v>
      </c>
    </row>
    <row r="747" spans="1:6" ht="15.75" thickBot="1" x14ac:dyDescent="0.3">
      <c r="A747" s="4" t="s">
        <v>87</v>
      </c>
      <c r="B747" s="5" t="s">
        <v>12</v>
      </c>
      <c r="C747" s="5" t="s">
        <v>8</v>
      </c>
      <c r="D747" s="5" t="s">
        <v>28</v>
      </c>
      <c r="E747" s="5" t="s">
        <v>10</v>
      </c>
      <c r="F747" s="5">
        <v>2816.97</v>
      </c>
    </row>
    <row r="748" spans="1:6" ht="15.75" thickBot="1" x14ac:dyDescent="0.3">
      <c r="A748" s="4" t="s">
        <v>164</v>
      </c>
      <c r="B748" s="5" t="s">
        <v>19</v>
      </c>
      <c r="C748" s="5" t="s">
        <v>8</v>
      </c>
      <c r="D748" s="5" t="s">
        <v>14</v>
      </c>
      <c r="E748" s="5" t="s">
        <v>24</v>
      </c>
      <c r="F748" s="5">
        <v>4263.92</v>
      </c>
    </row>
    <row r="749" spans="1:6" ht="15.75" thickBot="1" x14ac:dyDescent="0.3">
      <c r="A749" s="4" t="s">
        <v>163</v>
      </c>
      <c r="B749" s="5" t="s">
        <v>19</v>
      </c>
      <c r="C749" s="5" t="s">
        <v>34</v>
      </c>
      <c r="D749" s="5" t="s">
        <v>14</v>
      </c>
      <c r="E749" s="5" t="s">
        <v>24</v>
      </c>
      <c r="F749" s="5">
        <v>1867.58</v>
      </c>
    </row>
    <row r="750" spans="1:6" ht="15.75" thickBot="1" x14ac:dyDescent="0.3">
      <c r="A750" s="4" t="s">
        <v>54</v>
      </c>
      <c r="B750" s="5" t="s">
        <v>12</v>
      </c>
      <c r="C750" s="5" t="s">
        <v>23</v>
      </c>
      <c r="D750" s="5" t="s">
        <v>9</v>
      </c>
      <c r="E750" s="5" t="s">
        <v>10</v>
      </c>
      <c r="F750" s="5">
        <v>3447.6118419999998</v>
      </c>
    </row>
    <row r="751" spans="1:6" ht="15.75" thickBot="1" x14ac:dyDescent="0.3">
      <c r="A751" s="4" t="s">
        <v>75</v>
      </c>
      <c r="B751" s="5" t="s">
        <v>19</v>
      </c>
      <c r="C751" s="5" t="s">
        <v>34</v>
      </c>
      <c r="D751" s="5" t="s">
        <v>9</v>
      </c>
      <c r="E751" s="5" t="s">
        <v>15</v>
      </c>
      <c r="F751" s="5">
        <v>4785.5801659999997</v>
      </c>
    </row>
    <row r="752" spans="1:6" ht="15.75" thickBot="1" x14ac:dyDescent="0.3">
      <c r="A752" s="4" t="s">
        <v>68</v>
      </c>
      <c r="B752" s="5" t="s">
        <v>12</v>
      </c>
      <c r="C752" s="5" t="s">
        <v>23</v>
      </c>
      <c r="D752" s="5" t="s">
        <v>14</v>
      </c>
      <c r="E752" s="5" t="s">
        <v>15</v>
      </c>
      <c r="F752" s="5">
        <v>3739.05</v>
      </c>
    </row>
    <row r="753" spans="1:6" ht="15.75" thickBot="1" x14ac:dyDescent="0.3">
      <c r="A753" s="4" t="s">
        <v>25</v>
      </c>
      <c r="B753" s="5" t="s">
        <v>19</v>
      </c>
      <c r="C753" s="5" t="s">
        <v>34</v>
      </c>
      <c r="D753" s="5" t="s">
        <v>14</v>
      </c>
      <c r="E753" s="5" t="s">
        <v>10</v>
      </c>
      <c r="F753" s="5">
        <v>4330.71</v>
      </c>
    </row>
    <row r="754" spans="1:6" ht="30.75" thickBot="1" x14ac:dyDescent="0.3">
      <c r="A754" s="4" t="s">
        <v>156</v>
      </c>
      <c r="B754" s="5" t="s">
        <v>17</v>
      </c>
      <c r="C754" s="5" t="s">
        <v>13</v>
      </c>
      <c r="D754" s="5" t="s">
        <v>9</v>
      </c>
      <c r="E754" s="5" t="s">
        <v>24</v>
      </c>
      <c r="F754" s="5">
        <v>1947.4241589999999</v>
      </c>
    </row>
    <row r="755" spans="1:6" ht="15.75" thickBot="1" x14ac:dyDescent="0.3">
      <c r="A755" s="4" t="s">
        <v>119</v>
      </c>
      <c r="B755" s="5" t="s">
        <v>30</v>
      </c>
      <c r="C755" s="5" t="s">
        <v>23</v>
      </c>
      <c r="D755" s="5" t="s">
        <v>14</v>
      </c>
      <c r="E755" s="5" t="s">
        <v>24</v>
      </c>
      <c r="F755" s="5">
        <v>2840.62</v>
      </c>
    </row>
    <row r="756" spans="1:6" ht="15.75" thickBot="1" x14ac:dyDescent="0.3">
      <c r="A756" s="4" t="s">
        <v>117</v>
      </c>
      <c r="B756" s="5" t="s">
        <v>7</v>
      </c>
      <c r="C756" s="5" t="s">
        <v>8</v>
      </c>
      <c r="D756" s="5" t="s">
        <v>28</v>
      </c>
      <c r="E756" s="5" t="s">
        <v>24</v>
      </c>
      <c r="F756" s="5">
        <v>2415.5100000000002</v>
      </c>
    </row>
    <row r="757" spans="1:6" ht="30.75" thickBot="1" x14ac:dyDescent="0.3">
      <c r="A757" s="4" t="s">
        <v>140</v>
      </c>
      <c r="B757" s="5" t="s">
        <v>17</v>
      </c>
      <c r="C757" s="5" t="s">
        <v>34</v>
      </c>
      <c r="D757" s="5" t="s">
        <v>9</v>
      </c>
      <c r="E757" s="5" t="s">
        <v>10</v>
      </c>
      <c r="F757" s="5">
        <v>5161.459492</v>
      </c>
    </row>
    <row r="758" spans="1:6" ht="15.75" thickBot="1" x14ac:dyDescent="0.3">
      <c r="A758" s="4" t="s">
        <v>141</v>
      </c>
      <c r="B758" s="5" t="s">
        <v>7</v>
      </c>
      <c r="C758" s="5" t="s">
        <v>23</v>
      </c>
      <c r="D758" s="5" t="s">
        <v>14</v>
      </c>
      <c r="E758" s="5" t="s">
        <v>24</v>
      </c>
      <c r="F758" s="5">
        <v>2359.52</v>
      </c>
    </row>
    <row r="759" spans="1:6" ht="15.75" thickBot="1" x14ac:dyDescent="0.3">
      <c r="A759" s="4" t="s">
        <v>180</v>
      </c>
      <c r="B759" s="5" t="s">
        <v>30</v>
      </c>
      <c r="C759" s="5" t="s">
        <v>34</v>
      </c>
      <c r="D759" s="5" t="s">
        <v>14</v>
      </c>
      <c r="E759" s="5" t="s">
        <v>15</v>
      </c>
      <c r="F759" s="5">
        <v>4799.96</v>
      </c>
    </row>
    <row r="760" spans="1:6" ht="30.75" thickBot="1" x14ac:dyDescent="0.3">
      <c r="A760" s="4" t="s">
        <v>140</v>
      </c>
      <c r="B760" s="5" t="s">
        <v>17</v>
      </c>
      <c r="C760" s="5" t="s">
        <v>34</v>
      </c>
      <c r="D760" s="5" t="s">
        <v>28</v>
      </c>
      <c r="E760" s="5" t="s">
        <v>10</v>
      </c>
      <c r="F760" s="5">
        <v>152.66999999999999</v>
      </c>
    </row>
    <row r="761" spans="1:6" ht="30.75" thickBot="1" x14ac:dyDescent="0.3">
      <c r="A761" s="4" t="s">
        <v>199</v>
      </c>
      <c r="B761" s="5" t="s">
        <v>17</v>
      </c>
      <c r="C761" s="5" t="s">
        <v>13</v>
      </c>
      <c r="D761" s="5" t="s">
        <v>9</v>
      </c>
      <c r="E761" s="5" t="s">
        <v>24</v>
      </c>
      <c r="F761" s="5">
        <v>2461.8885409999998</v>
      </c>
    </row>
    <row r="762" spans="1:6" ht="15.75" thickBot="1" x14ac:dyDescent="0.3">
      <c r="A762" s="4" t="s">
        <v>126</v>
      </c>
      <c r="B762" s="5" t="s">
        <v>30</v>
      </c>
      <c r="C762" s="5" t="s">
        <v>23</v>
      </c>
      <c r="D762" s="5" t="s">
        <v>14</v>
      </c>
      <c r="E762" s="5" t="s">
        <v>15</v>
      </c>
      <c r="F762" s="5">
        <v>3223.43</v>
      </c>
    </row>
    <row r="763" spans="1:6" ht="30.75" thickBot="1" x14ac:dyDescent="0.3">
      <c r="A763" s="4" t="s">
        <v>58</v>
      </c>
      <c r="B763" s="5" t="s">
        <v>17</v>
      </c>
      <c r="C763" s="5" t="s">
        <v>34</v>
      </c>
      <c r="D763" s="5" t="s">
        <v>28</v>
      </c>
      <c r="E763" s="5" t="s">
        <v>15</v>
      </c>
      <c r="F763" s="5">
        <v>3987.54</v>
      </c>
    </row>
    <row r="764" spans="1:6" ht="15.75" thickBot="1" x14ac:dyDescent="0.3">
      <c r="A764" s="4" t="s">
        <v>32</v>
      </c>
      <c r="B764" s="5" t="s">
        <v>7</v>
      </c>
      <c r="C764" s="5" t="s">
        <v>23</v>
      </c>
      <c r="D764" s="5" t="s">
        <v>14</v>
      </c>
      <c r="E764" s="5" t="s">
        <v>24</v>
      </c>
      <c r="F764" s="5">
        <v>2592.73</v>
      </c>
    </row>
    <row r="765" spans="1:6" ht="15.75" thickBot="1" x14ac:dyDescent="0.3">
      <c r="A765" s="4" t="s">
        <v>48</v>
      </c>
      <c r="B765" s="5" t="s">
        <v>19</v>
      </c>
      <c r="C765" s="5" t="s">
        <v>8</v>
      </c>
      <c r="D765" s="5" t="s">
        <v>28</v>
      </c>
      <c r="E765" s="5" t="s">
        <v>10</v>
      </c>
      <c r="F765" s="5">
        <v>3770.78</v>
      </c>
    </row>
    <row r="766" spans="1:6" ht="15.75" thickBot="1" x14ac:dyDescent="0.3">
      <c r="A766" s="4" t="s">
        <v>54</v>
      </c>
      <c r="B766" s="5" t="s">
        <v>12</v>
      </c>
      <c r="C766" s="5" t="s">
        <v>34</v>
      </c>
      <c r="D766" s="5" t="s">
        <v>14</v>
      </c>
      <c r="E766" s="5" t="s">
        <v>10</v>
      </c>
      <c r="F766" s="5">
        <v>348.87</v>
      </c>
    </row>
    <row r="767" spans="1:6" ht="15.75" thickBot="1" x14ac:dyDescent="0.3">
      <c r="A767" s="4" t="s">
        <v>189</v>
      </c>
      <c r="B767" s="5" t="s">
        <v>19</v>
      </c>
      <c r="C767" s="5" t="s">
        <v>13</v>
      </c>
      <c r="D767" s="5" t="s">
        <v>14</v>
      </c>
      <c r="E767" s="5" t="s">
        <v>15</v>
      </c>
      <c r="F767" s="5">
        <v>2278.9499999999998</v>
      </c>
    </row>
    <row r="768" spans="1:6" ht="15.75" thickBot="1" x14ac:dyDescent="0.3">
      <c r="A768" s="4" t="s">
        <v>85</v>
      </c>
      <c r="B768" s="5" t="s">
        <v>30</v>
      </c>
      <c r="C768" s="5" t="s">
        <v>8</v>
      </c>
      <c r="D768" s="5" t="s">
        <v>28</v>
      </c>
      <c r="E768" s="5" t="s">
        <v>10</v>
      </c>
      <c r="F768" s="5">
        <v>2550.35</v>
      </c>
    </row>
    <row r="769" spans="1:6" ht="15.75" thickBot="1" x14ac:dyDescent="0.3">
      <c r="A769" s="4" t="s">
        <v>107</v>
      </c>
      <c r="B769" s="5" t="s">
        <v>30</v>
      </c>
      <c r="C769" s="5" t="s">
        <v>23</v>
      </c>
      <c r="D769" s="5" t="s">
        <v>14</v>
      </c>
      <c r="E769" s="5" t="s">
        <v>15</v>
      </c>
      <c r="F769" s="5">
        <v>2694.43</v>
      </c>
    </row>
    <row r="770" spans="1:6" ht="15.75" thickBot="1" x14ac:dyDescent="0.3">
      <c r="A770" s="4" t="s">
        <v>114</v>
      </c>
      <c r="B770" s="5" t="s">
        <v>30</v>
      </c>
      <c r="C770" s="5" t="s">
        <v>13</v>
      </c>
      <c r="D770" s="5" t="s">
        <v>28</v>
      </c>
      <c r="E770" s="5" t="s">
        <v>10</v>
      </c>
      <c r="F770" s="5">
        <v>3868.63</v>
      </c>
    </row>
    <row r="771" spans="1:6" ht="15.75" thickBot="1" x14ac:dyDescent="0.3">
      <c r="A771" s="4" t="s">
        <v>70</v>
      </c>
      <c r="B771" s="5" t="s">
        <v>19</v>
      </c>
      <c r="C771" s="5" t="s">
        <v>8</v>
      </c>
      <c r="D771" s="5" t="s">
        <v>9</v>
      </c>
      <c r="E771" s="5" t="s">
        <v>10</v>
      </c>
      <c r="F771" s="5">
        <v>297.68827140000002</v>
      </c>
    </row>
    <row r="772" spans="1:6" ht="15.75" thickBot="1" x14ac:dyDescent="0.3">
      <c r="A772" s="4" t="s">
        <v>119</v>
      </c>
      <c r="B772" s="5" t="s">
        <v>30</v>
      </c>
      <c r="C772" s="5" t="s">
        <v>8</v>
      </c>
      <c r="D772" s="5" t="s">
        <v>28</v>
      </c>
      <c r="E772" s="5" t="s">
        <v>24</v>
      </c>
      <c r="F772" s="5">
        <v>579.69000000000005</v>
      </c>
    </row>
    <row r="773" spans="1:6" ht="15.75" thickBot="1" x14ac:dyDescent="0.3">
      <c r="A773" s="4" t="s">
        <v>197</v>
      </c>
      <c r="B773" s="5" t="s">
        <v>30</v>
      </c>
      <c r="C773" s="5" t="s">
        <v>8</v>
      </c>
      <c r="D773" s="5" t="s">
        <v>28</v>
      </c>
      <c r="E773" s="5" t="s">
        <v>10</v>
      </c>
      <c r="F773" s="5">
        <v>1933.86</v>
      </c>
    </row>
    <row r="774" spans="1:6" ht="15.75" thickBot="1" x14ac:dyDescent="0.3">
      <c r="A774" s="4" t="s">
        <v>191</v>
      </c>
      <c r="B774" s="5" t="s">
        <v>12</v>
      </c>
      <c r="C774" s="5" t="s">
        <v>13</v>
      </c>
      <c r="D774" s="5" t="s">
        <v>28</v>
      </c>
      <c r="E774" s="5" t="s">
        <v>15</v>
      </c>
      <c r="F774" s="5">
        <v>2753.65</v>
      </c>
    </row>
    <row r="775" spans="1:6" ht="15.75" thickBot="1" x14ac:dyDescent="0.3">
      <c r="A775" s="4" t="s">
        <v>122</v>
      </c>
      <c r="B775" s="5" t="s">
        <v>19</v>
      </c>
      <c r="C775" s="5" t="s">
        <v>13</v>
      </c>
      <c r="D775" s="5" t="s">
        <v>14</v>
      </c>
      <c r="E775" s="5" t="s">
        <v>15</v>
      </c>
      <c r="F775" s="5">
        <v>1643.04</v>
      </c>
    </row>
    <row r="776" spans="1:6" ht="15.75" thickBot="1" x14ac:dyDescent="0.3">
      <c r="A776" s="4" t="s">
        <v>109</v>
      </c>
      <c r="B776" s="5" t="s">
        <v>12</v>
      </c>
      <c r="C776" s="5" t="s">
        <v>13</v>
      </c>
      <c r="D776" s="5" t="s">
        <v>14</v>
      </c>
      <c r="E776" s="5" t="s">
        <v>15</v>
      </c>
      <c r="F776" s="5">
        <v>4614.76</v>
      </c>
    </row>
    <row r="777" spans="1:6" ht="15.75" thickBot="1" x14ac:dyDescent="0.3">
      <c r="A777" s="4" t="s">
        <v>184</v>
      </c>
      <c r="B777" s="5" t="s">
        <v>30</v>
      </c>
      <c r="C777" s="5" t="s">
        <v>23</v>
      </c>
      <c r="D777" s="5" t="s">
        <v>28</v>
      </c>
      <c r="E777" s="5" t="s">
        <v>10</v>
      </c>
      <c r="F777" s="5">
        <v>1222.43</v>
      </c>
    </row>
    <row r="778" spans="1:6" ht="15.75" thickBot="1" x14ac:dyDescent="0.3">
      <c r="A778" s="4" t="s">
        <v>213</v>
      </c>
      <c r="B778" s="5" t="s">
        <v>12</v>
      </c>
      <c r="C778" s="5" t="s">
        <v>8</v>
      </c>
      <c r="D778" s="5" t="s">
        <v>9</v>
      </c>
      <c r="E778" s="5" t="s">
        <v>24</v>
      </c>
      <c r="F778" s="5">
        <v>2583.2195620000002</v>
      </c>
    </row>
    <row r="779" spans="1:6" ht="15.75" thickBot="1" x14ac:dyDescent="0.3">
      <c r="A779" s="4" t="s">
        <v>54</v>
      </c>
      <c r="B779" s="5" t="s">
        <v>12</v>
      </c>
      <c r="C779" s="5" t="s">
        <v>8</v>
      </c>
      <c r="D779" s="5" t="s">
        <v>28</v>
      </c>
      <c r="E779" s="5" t="s">
        <v>15</v>
      </c>
      <c r="F779" s="5">
        <v>1562.45</v>
      </c>
    </row>
    <row r="780" spans="1:6" ht="15.75" thickBot="1" x14ac:dyDescent="0.3">
      <c r="A780" s="4" t="s">
        <v>18</v>
      </c>
      <c r="B780" s="5" t="s">
        <v>19</v>
      </c>
      <c r="C780" s="5" t="s">
        <v>34</v>
      </c>
      <c r="D780" s="5" t="s">
        <v>9</v>
      </c>
      <c r="E780" s="5" t="s">
        <v>24</v>
      </c>
      <c r="F780" s="5">
        <v>3844.335282</v>
      </c>
    </row>
    <row r="781" spans="1:6" ht="15.75" thickBot="1" x14ac:dyDescent="0.3">
      <c r="A781" s="4" t="s">
        <v>98</v>
      </c>
      <c r="B781" s="5" t="s">
        <v>19</v>
      </c>
      <c r="C781" s="5" t="s">
        <v>23</v>
      </c>
      <c r="D781" s="5" t="s">
        <v>9</v>
      </c>
      <c r="E781" s="5" t="s">
        <v>10</v>
      </c>
      <c r="F781" s="5">
        <v>695.19</v>
      </c>
    </row>
    <row r="782" spans="1:6" ht="15.75" thickBot="1" x14ac:dyDescent="0.3">
      <c r="A782" s="4" t="s">
        <v>214</v>
      </c>
      <c r="B782" s="5" t="s">
        <v>30</v>
      </c>
      <c r="C782" s="5" t="s">
        <v>34</v>
      </c>
      <c r="D782" s="5" t="s">
        <v>28</v>
      </c>
      <c r="E782" s="5" t="s">
        <v>15</v>
      </c>
      <c r="F782" s="5">
        <v>4607.08</v>
      </c>
    </row>
    <row r="783" spans="1:6" ht="30.75" thickBot="1" x14ac:dyDescent="0.3">
      <c r="A783" s="4" t="s">
        <v>76</v>
      </c>
      <c r="B783" s="5" t="s">
        <v>17</v>
      </c>
      <c r="C783" s="5" t="s">
        <v>13</v>
      </c>
      <c r="D783" s="5" t="s">
        <v>9</v>
      </c>
      <c r="E783" s="5" t="s">
        <v>10</v>
      </c>
      <c r="F783" s="5">
        <v>2391.3231030000002</v>
      </c>
    </row>
    <row r="784" spans="1:6" ht="15.75" thickBot="1" x14ac:dyDescent="0.3">
      <c r="A784" s="4" t="s">
        <v>186</v>
      </c>
      <c r="B784" s="5" t="s">
        <v>30</v>
      </c>
      <c r="C784" s="5" t="s">
        <v>13</v>
      </c>
      <c r="D784" s="5" t="s">
        <v>14</v>
      </c>
      <c r="E784" s="5" t="s">
        <v>15</v>
      </c>
      <c r="F784" s="5">
        <v>4313.43</v>
      </c>
    </row>
    <row r="785" spans="1:6" ht="15.75" thickBot="1" x14ac:dyDescent="0.3">
      <c r="A785" s="4" t="s">
        <v>107</v>
      </c>
      <c r="B785" s="5" t="s">
        <v>30</v>
      </c>
      <c r="C785" s="5" t="s">
        <v>13</v>
      </c>
      <c r="D785" s="5" t="s">
        <v>14</v>
      </c>
      <c r="E785" s="5" t="s">
        <v>10</v>
      </c>
      <c r="F785" s="5">
        <v>1094.0999999999999</v>
      </c>
    </row>
    <row r="786" spans="1:6" ht="15.75" thickBot="1" x14ac:dyDescent="0.3">
      <c r="A786" s="4" t="s">
        <v>202</v>
      </c>
      <c r="B786" s="5" t="s">
        <v>12</v>
      </c>
      <c r="C786" s="5" t="s">
        <v>13</v>
      </c>
      <c r="D786" s="5" t="s">
        <v>9</v>
      </c>
      <c r="E786" s="5" t="s">
        <v>10</v>
      </c>
      <c r="F786" s="5">
        <v>5193.7170610000003</v>
      </c>
    </row>
    <row r="787" spans="1:6" ht="15.75" thickBot="1" x14ac:dyDescent="0.3">
      <c r="A787" s="4" t="s">
        <v>184</v>
      </c>
      <c r="B787" s="5" t="s">
        <v>30</v>
      </c>
      <c r="C787" s="5" t="s">
        <v>13</v>
      </c>
      <c r="D787" s="5" t="s">
        <v>28</v>
      </c>
      <c r="E787" s="5" t="s">
        <v>24</v>
      </c>
      <c r="F787" s="5">
        <v>3352.59</v>
      </c>
    </row>
    <row r="788" spans="1:6" ht="15.75" thickBot="1" x14ac:dyDescent="0.3">
      <c r="A788" s="4" t="s">
        <v>123</v>
      </c>
      <c r="B788" s="5" t="s">
        <v>30</v>
      </c>
      <c r="C788" s="5" t="s">
        <v>23</v>
      </c>
      <c r="D788" s="5" t="s">
        <v>9</v>
      </c>
      <c r="E788" s="5" t="s">
        <v>10</v>
      </c>
      <c r="F788" s="5">
        <v>3888.52</v>
      </c>
    </row>
    <row r="789" spans="1:6" ht="15.75" thickBot="1" x14ac:dyDescent="0.3">
      <c r="A789" s="4" t="s">
        <v>108</v>
      </c>
      <c r="B789" s="5" t="s">
        <v>7</v>
      </c>
      <c r="C789" s="5" t="s">
        <v>23</v>
      </c>
      <c r="D789" s="5" t="s">
        <v>28</v>
      </c>
      <c r="E789" s="5" t="s">
        <v>15</v>
      </c>
      <c r="F789" s="5">
        <v>3140.95</v>
      </c>
    </row>
    <row r="790" spans="1:6" ht="15.75" thickBot="1" x14ac:dyDescent="0.3">
      <c r="A790" s="4" t="s">
        <v>57</v>
      </c>
      <c r="B790" s="5" t="s">
        <v>19</v>
      </c>
      <c r="C790" s="5" t="s">
        <v>13</v>
      </c>
      <c r="D790" s="5" t="s">
        <v>9</v>
      </c>
      <c r="E790" s="5" t="s">
        <v>24</v>
      </c>
      <c r="F790" s="5">
        <v>1260.773817</v>
      </c>
    </row>
    <row r="791" spans="1:6" ht="30.75" thickBot="1" x14ac:dyDescent="0.3">
      <c r="A791" s="4" t="s">
        <v>156</v>
      </c>
      <c r="B791" s="5" t="s">
        <v>17</v>
      </c>
      <c r="C791" s="5" t="s">
        <v>23</v>
      </c>
      <c r="D791" s="5" t="s">
        <v>14</v>
      </c>
      <c r="E791" s="5" t="s">
        <v>24</v>
      </c>
      <c r="F791" s="5">
        <v>416.29</v>
      </c>
    </row>
    <row r="792" spans="1:6" ht="30.75" thickBot="1" x14ac:dyDescent="0.3">
      <c r="A792" s="4" t="s">
        <v>143</v>
      </c>
      <c r="B792" s="5" t="s">
        <v>17</v>
      </c>
      <c r="C792" s="5" t="s">
        <v>8</v>
      </c>
      <c r="D792" s="5" t="s">
        <v>14</v>
      </c>
      <c r="E792" s="5" t="s">
        <v>15</v>
      </c>
      <c r="F792" s="5">
        <v>96.09</v>
      </c>
    </row>
    <row r="793" spans="1:6" ht="15.75" thickBot="1" x14ac:dyDescent="0.3">
      <c r="A793" s="4" t="s">
        <v>130</v>
      </c>
      <c r="B793" s="5" t="s">
        <v>12</v>
      </c>
      <c r="C793" s="5" t="s">
        <v>23</v>
      </c>
      <c r="D793" s="5" t="s">
        <v>28</v>
      </c>
      <c r="E793" s="5" t="s">
        <v>15</v>
      </c>
      <c r="F793" s="5">
        <v>1224.1099999999999</v>
      </c>
    </row>
    <row r="794" spans="1:6" ht="30.75" thickBot="1" x14ac:dyDescent="0.3">
      <c r="A794" s="4" t="s">
        <v>37</v>
      </c>
      <c r="B794" s="5" t="s">
        <v>17</v>
      </c>
      <c r="C794" s="5" t="s">
        <v>34</v>
      </c>
      <c r="D794" s="5" t="s">
        <v>14</v>
      </c>
      <c r="E794" s="5" t="s">
        <v>15</v>
      </c>
      <c r="F794" s="5">
        <v>3899.81</v>
      </c>
    </row>
    <row r="795" spans="1:6" ht="15.75" thickBot="1" x14ac:dyDescent="0.3">
      <c r="A795" s="4" t="s">
        <v>117</v>
      </c>
      <c r="B795" s="5" t="s">
        <v>7</v>
      </c>
      <c r="C795" s="5" t="s">
        <v>13</v>
      </c>
      <c r="D795" s="5" t="s">
        <v>28</v>
      </c>
      <c r="E795" s="5" t="s">
        <v>15</v>
      </c>
      <c r="F795" s="5">
        <v>1065.82</v>
      </c>
    </row>
    <row r="796" spans="1:6" ht="15.75" thickBot="1" x14ac:dyDescent="0.3">
      <c r="A796" s="4" t="s">
        <v>177</v>
      </c>
      <c r="B796" s="5" t="s">
        <v>7</v>
      </c>
      <c r="C796" s="5" t="s">
        <v>34</v>
      </c>
      <c r="D796" s="5" t="s">
        <v>28</v>
      </c>
      <c r="E796" s="5" t="s">
        <v>15</v>
      </c>
      <c r="F796" s="5">
        <v>4448.1899999999996</v>
      </c>
    </row>
    <row r="797" spans="1:6" ht="30.75" thickBot="1" x14ac:dyDescent="0.3">
      <c r="A797" s="4" t="s">
        <v>43</v>
      </c>
      <c r="B797" s="5" t="s">
        <v>17</v>
      </c>
      <c r="C797" s="5" t="s">
        <v>23</v>
      </c>
      <c r="D797" s="5" t="s">
        <v>9</v>
      </c>
      <c r="E797" s="5" t="s">
        <v>24</v>
      </c>
      <c r="F797" s="5">
        <v>2211.0873019999999</v>
      </c>
    </row>
    <row r="798" spans="1:6" ht="30.75" thickBot="1" x14ac:dyDescent="0.3">
      <c r="A798" s="4" t="s">
        <v>140</v>
      </c>
      <c r="B798" s="5" t="s">
        <v>17</v>
      </c>
      <c r="C798" s="5" t="s">
        <v>23</v>
      </c>
      <c r="D798" s="5" t="s">
        <v>9</v>
      </c>
      <c r="E798" s="5" t="s">
        <v>24</v>
      </c>
      <c r="F798" s="5">
        <v>3199.4069009999998</v>
      </c>
    </row>
    <row r="799" spans="1:6" ht="15.75" thickBot="1" x14ac:dyDescent="0.3">
      <c r="A799" s="4" t="s">
        <v>212</v>
      </c>
      <c r="B799" s="5" t="s">
        <v>7</v>
      </c>
      <c r="C799" s="5" t="s">
        <v>34</v>
      </c>
      <c r="D799" s="5" t="s">
        <v>14</v>
      </c>
      <c r="E799" s="5" t="s">
        <v>24</v>
      </c>
      <c r="F799" s="5">
        <v>2263.6999999999998</v>
      </c>
    </row>
    <row r="800" spans="1:6" ht="15.75" thickBot="1" x14ac:dyDescent="0.3">
      <c r="A800" s="4" t="s">
        <v>49</v>
      </c>
      <c r="B800" s="5" t="s">
        <v>19</v>
      </c>
      <c r="C800" s="5" t="s">
        <v>13</v>
      </c>
      <c r="D800" s="5" t="s">
        <v>14</v>
      </c>
      <c r="E800" s="5" t="s">
        <v>15</v>
      </c>
      <c r="F800" s="5">
        <v>4326.03</v>
      </c>
    </row>
    <row r="801" spans="1:6" ht="15.75" thickBot="1" x14ac:dyDescent="0.3">
      <c r="A801" s="4" t="s">
        <v>203</v>
      </c>
      <c r="B801" s="5" t="s">
        <v>12</v>
      </c>
      <c r="C801" s="5" t="s">
        <v>34</v>
      </c>
      <c r="D801" s="5" t="s">
        <v>9</v>
      </c>
      <c r="E801" s="5" t="s">
        <v>24</v>
      </c>
      <c r="F801" s="5">
        <v>4352.7373250000001</v>
      </c>
    </row>
    <row r="802" spans="1:6" ht="15.75" thickBot="1" x14ac:dyDescent="0.3">
      <c r="A802" s="4" t="s">
        <v>32</v>
      </c>
      <c r="B802" s="5" t="s">
        <v>7</v>
      </c>
      <c r="C802" s="5" t="s">
        <v>13</v>
      </c>
      <c r="D802" s="5" t="s">
        <v>9</v>
      </c>
      <c r="E802" s="5" t="s">
        <v>15</v>
      </c>
      <c r="F802" s="5">
        <v>4294.79</v>
      </c>
    </row>
    <row r="803" spans="1:6" ht="15.75" thickBot="1" x14ac:dyDescent="0.3">
      <c r="A803" s="4" t="s">
        <v>132</v>
      </c>
      <c r="B803" s="5" t="s">
        <v>19</v>
      </c>
      <c r="C803" s="5" t="s">
        <v>23</v>
      </c>
      <c r="D803" s="5" t="s">
        <v>14</v>
      </c>
      <c r="E803" s="5" t="s">
        <v>15</v>
      </c>
      <c r="F803" s="5">
        <v>2678.48</v>
      </c>
    </row>
    <row r="804" spans="1:6" ht="15.75" thickBot="1" x14ac:dyDescent="0.3">
      <c r="A804" s="4" t="s">
        <v>73</v>
      </c>
      <c r="B804" s="5" t="s">
        <v>30</v>
      </c>
      <c r="C804" s="5" t="s">
        <v>8</v>
      </c>
      <c r="D804" s="5" t="s">
        <v>14</v>
      </c>
      <c r="E804" s="5" t="s">
        <v>15</v>
      </c>
      <c r="F804" s="5">
        <v>2267.79</v>
      </c>
    </row>
    <row r="805" spans="1:6" ht="15.75" thickBot="1" x14ac:dyDescent="0.3">
      <c r="A805" s="4" t="s">
        <v>93</v>
      </c>
      <c r="B805" s="5" t="s">
        <v>30</v>
      </c>
      <c r="C805" s="5" t="s">
        <v>8</v>
      </c>
      <c r="D805" s="5" t="s">
        <v>14</v>
      </c>
      <c r="E805" s="5" t="s">
        <v>24</v>
      </c>
      <c r="F805" s="5">
        <v>2496.0100000000002</v>
      </c>
    </row>
    <row r="806" spans="1:6" ht="30.75" thickBot="1" x14ac:dyDescent="0.3">
      <c r="A806" s="4" t="s">
        <v>16</v>
      </c>
      <c r="B806" s="5" t="s">
        <v>17</v>
      </c>
      <c r="C806" s="5" t="s">
        <v>13</v>
      </c>
      <c r="D806" s="5" t="s">
        <v>14</v>
      </c>
      <c r="E806" s="5" t="s">
        <v>15</v>
      </c>
      <c r="F806" s="5">
        <v>4601.71</v>
      </c>
    </row>
    <row r="807" spans="1:6" ht="15.75" thickBot="1" x14ac:dyDescent="0.3">
      <c r="A807" s="4" t="s">
        <v>211</v>
      </c>
      <c r="B807" s="5" t="s">
        <v>7</v>
      </c>
      <c r="C807" s="5" t="s">
        <v>34</v>
      </c>
      <c r="D807" s="5" t="s">
        <v>28</v>
      </c>
      <c r="E807" s="5" t="s">
        <v>24</v>
      </c>
      <c r="F807" s="5">
        <v>2739.77</v>
      </c>
    </row>
    <row r="808" spans="1:6" ht="15.75" thickBot="1" x14ac:dyDescent="0.3">
      <c r="A808" s="4" t="s">
        <v>99</v>
      </c>
      <c r="B808" s="5" t="s">
        <v>19</v>
      </c>
      <c r="C808" s="5" t="s">
        <v>23</v>
      </c>
      <c r="D808" s="5" t="s">
        <v>9</v>
      </c>
      <c r="E808" s="5" t="s">
        <v>10</v>
      </c>
      <c r="F808" s="5">
        <v>1410.4</v>
      </c>
    </row>
    <row r="809" spans="1:6" ht="30.75" thickBot="1" x14ac:dyDescent="0.3">
      <c r="A809" s="4" t="s">
        <v>171</v>
      </c>
      <c r="B809" s="5" t="s">
        <v>17</v>
      </c>
      <c r="C809" s="5" t="s">
        <v>8</v>
      </c>
      <c r="D809" s="5" t="s">
        <v>9</v>
      </c>
      <c r="E809" s="5" t="s">
        <v>24</v>
      </c>
      <c r="F809" s="5">
        <v>2563.0937389999999</v>
      </c>
    </row>
    <row r="810" spans="1:6" ht="15.75" thickBot="1" x14ac:dyDescent="0.3">
      <c r="A810" s="4" t="s">
        <v>208</v>
      </c>
      <c r="B810" s="5" t="s">
        <v>19</v>
      </c>
      <c r="C810" s="5" t="s">
        <v>23</v>
      </c>
      <c r="D810" s="5" t="s">
        <v>14</v>
      </c>
      <c r="E810" s="5" t="s">
        <v>24</v>
      </c>
      <c r="F810" s="5">
        <v>886.98</v>
      </c>
    </row>
    <row r="811" spans="1:6" ht="15.75" thickBot="1" x14ac:dyDescent="0.3">
      <c r="A811" s="4" t="s">
        <v>73</v>
      </c>
      <c r="B811" s="5" t="s">
        <v>30</v>
      </c>
      <c r="C811" s="5" t="s">
        <v>23</v>
      </c>
      <c r="D811" s="5" t="s">
        <v>14</v>
      </c>
      <c r="E811" s="5" t="s">
        <v>15</v>
      </c>
      <c r="F811" s="5">
        <v>4317.26</v>
      </c>
    </row>
    <row r="812" spans="1:6" ht="15.75" thickBot="1" x14ac:dyDescent="0.3">
      <c r="A812" s="4" t="s">
        <v>70</v>
      </c>
      <c r="B812" s="5" t="s">
        <v>19</v>
      </c>
      <c r="C812" s="5" t="s">
        <v>13</v>
      </c>
      <c r="D812" s="5" t="s">
        <v>28</v>
      </c>
      <c r="E812" s="5" t="s">
        <v>15</v>
      </c>
      <c r="F812" s="5">
        <v>1597.82</v>
      </c>
    </row>
    <row r="813" spans="1:6" ht="15.75" thickBot="1" x14ac:dyDescent="0.3">
      <c r="A813" s="4" t="s">
        <v>154</v>
      </c>
      <c r="B813" s="5" t="s">
        <v>12</v>
      </c>
      <c r="C813" s="5" t="s">
        <v>8</v>
      </c>
      <c r="D813" s="5" t="s">
        <v>14</v>
      </c>
      <c r="E813" s="5" t="s">
        <v>10</v>
      </c>
      <c r="F813" s="5">
        <v>3825.5</v>
      </c>
    </row>
    <row r="814" spans="1:6" ht="15.75" thickBot="1" x14ac:dyDescent="0.3">
      <c r="A814" s="4" t="s">
        <v>202</v>
      </c>
      <c r="B814" s="5" t="s">
        <v>12</v>
      </c>
      <c r="C814" s="5" t="s">
        <v>8</v>
      </c>
      <c r="D814" s="5" t="s">
        <v>9</v>
      </c>
      <c r="E814" s="5" t="s">
        <v>10</v>
      </c>
      <c r="F814" s="5">
        <v>3766.3401309999999</v>
      </c>
    </row>
    <row r="815" spans="1:6" ht="15.75" thickBot="1" x14ac:dyDescent="0.3">
      <c r="A815" s="4" t="s">
        <v>51</v>
      </c>
      <c r="B815" s="5" t="s">
        <v>30</v>
      </c>
      <c r="C815" s="5" t="s">
        <v>13</v>
      </c>
      <c r="D815" s="5" t="s">
        <v>9</v>
      </c>
      <c r="E815" s="5" t="s">
        <v>15</v>
      </c>
      <c r="F815" s="5">
        <v>4885.6576480000003</v>
      </c>
    </row>
    <row r="816" spans="1:6" ht="15.75" thickBot="1" x14ac:dyDescent="0.3">
      <c r="A816" s="4" t="s">
        <v>39</v>
      </c>
      <c r="B816" s="5" t="s">
        <v>7</v>
      </c>
      <c r="C816" s="5" t="s">
        <v>23</v>
      </c>
      <c r="D816" s="5" t="s">
        <v>9</v>
      </c>
      <c r="E816" s="5" t="s">
        <v>24</v>
      </c>
      <c r="F816" s="5">
        <v>2013.053784</v>
      </c>
    </row>
    <row r="817" spans="1:6" ht="30.75" thickBot="1" x14ac:dyDescent="0.3">
      <c r="A817" s="4" t="s">
        <v>89</v>
      </c>
      <c r="B817" s="5" t="s">
        <v>17</v>
      </c>
      <c r="C817" s="5" t="s">
        <v>34</v>
      </c>
      <c r="D817" s="5" t="s">
        <v>9</v>
      </c>
      <c r="E817" s="5" t="s">
        <v>24</v>
      </c>
      <c r="F817" s="5">
        <v>2140.4226189999999</v>
      </c>
    </row>
    <row r="818" spans="1:6" ht="15.75" thickBot="1" x14ac:dyDescent="0.3">
      <c r="A818" s="4" t="s">
        <v>182</v>
      </c>
      <c r="B818" s="5" t="s">
        <v>12</v>
      </c>
      <c r="C818" s="5" t="s">
        <v>13</v>
      </c>
      <c r="D818" s="5" t="s">
        <v>28</v>
      </c>
      <c r="E818" s="5" t="s">
        <v>10</v>
      </c>
      <c r="F818" s="5">
        <v>707.7</v>
      </c>
    </row>
    <row r="819" spans="1:6" ht="15.75" thickBot="1" x14ac:dyDescent="0.3">
      <c r="A819" s="4" t="s">
        <v>57</v>
      </c>
      <c r="B819" s="5" t="s">
        <v>19</v>
      </c>
      <c r="C819" s="5" t="s">
        <v>23</v>
      </c>
      <c r="D819" s="5" t="s">
        <v>28</v>
      </c>
      <c r="E819" s="5" t="s">
        <v>24</v>
      </c>
      <c r="F819" s="5">
        <v>1703.95</v>
      </c>
    </row>
    <row r="820" spans="1:6" ht="30.75" thickBot="1" x14ac:dyDescent="0.3">
      <c r="A820" s="4" t="s">
        <v>199</v>
      </c>
      <c r="B820" s="5" t="s">
        <v>17</v>
      </c>
      <c r="C820" s="5" t="s">
        <v>8</v>
      </c>
      <c r="D820" s="5" t="s">
        <v>28</v>
      </c>
      <c r="E820" s="5" t="s">
        <v>10</v>
      </c>
      <c r="F820" s="5">
        <v>3023.57</v>
      </c>
    </row>
    <row r="821" spans="1:6" ht="15.75" thickBot="1" x14ac:dyDescent="0.3">
      <c r="A821" s="4" t="s">
        <v>11</v>
      </c>
      <c r="B821" s="5" t="s">
        <v>12</v>
      </c>
      <c r="C821" s="5" t="s">
        <v>23</v>
      </c>
      <c r="D821" s="5" t="s">
        <v>28</v>
      </c>
      <c r="E821" s="5" t="s">
        <v>24</v>
      </c>
      <c r="F821" s="5">
        <v>2101.7199999999998</v>
      </c>
    </row>
    <row r="822" spans="1:6" ht="30.75" thickBot="1" x14ac:dyDescent="0.3">
      <c r="A822" s="4" t="s">
        <v>215</v>
      </c>
      <c r="B822" s="5" t="s">
        <v>17</v>
      </c>
      <c r="C822" s="5" t="s">
        <v>34</v>
      </c>
      <c r="D822" s="5" t="s">
        <v>14</v>
      </c>
      <c r="E822" s="5" t="s">
        <v>15</v>
      </c>
      <c r="F822" s="5">
        <v>72.97</v>
      </c>
    </row>
    <row r="823" spans="1:6" ht="15.75" thickBot="1" x14ac:dyDescent="0.3">
      <c r="A823" s="4" t="s">
        <v>107</v>
      </c>
      <c r="B823" s="5" t="s">
        <v>30</v>
      </c>
      <c r="C823" s="5" t="s">
        <v>34</v>
      </c>
      <c r="D823" s="5" t="s">
        <v>28</v>
      </c>
      <c r="E823" s="5" t="s">
        <v>10</v>
      </c>
      <c r="F823" s="5">
        <v>1271.98</v>
      </c>
    </row>
    <row r="824" spans="1:6" ht="15.75" thickBot="1" x14ac:dyDescent="0.3">
      <c r="A824" s="4" t="s">
        <v>201</v>
      </c>
      <c r="B824" s="5" t="s">
        <v>12</v>
      </c>
      <c r="C824" s="5" t="s">
        <v>8</v>
      </c>
      <c r="D824" s="5" t="s">
        <v>14</v>
      </c>
      <c r="E824" s="5" t="s">
        <v>10</v>
      </c>
      <c r="F824" s="5">
        <v>1645.13</v>
      </c>
    </row>
    <row r="825" spans="1:6" ht="15.75" thickBot="1" x14ac:dyDescent="0.3">
      <c r="A825" s="4" t="s">
        <v>201</v>
      </c>
      <c r="B825" s="5" t="s">
        <v>12</v>
      </c>
      <c r="C825" s="5" t="s">
        <v>8</v>
      </c>
      <c r="D825" s="5" t="s">
        <v>14</v>
      </c>
      <c r="E825" s="5" t="s">
        <v>15</v>
      </c>
      <c r="F825" s="5">
        <v>1271.48</v>
      </c>
    </row>
    <row r="826" spans="1:6" ht="15.75" thickBot="1" x14ac:dyDescent="0.3">
      <c r="A826" s="4" t="s">
        <v>134</v>
      </c>
      <c r="B826" s="5" t="s">
        <v>7</v>
      </c>
      <c r="C826" s="5" t="s">
        <v>23</v>
      </c>
      <c r="D826" s="5" t="s">
        <v>28</v>
      </c>
      <c r="E826" s="5" t="s">
        <v>15</v>
      </c>
      <c r="F826" s="5">
        <v>1183.23</v>
      </c>
    </row>
    <row r="827" spans="1:6" ht="15.75" thickBot="1" x14ac:dyDescent="0.3">
      <c r="A827" s="4" t="s">
        <v>164</v>
      </c>
      <c r="B827" s="5" t="s">
        <v>19</v>
      </c>
      <c r="C827" s="5" t="s">
        <v>13</v>
      </c>
      <c r="D827" s="5" t="s">
        <v>9</v>
      </c>
      <c r="E827" s="5" t="s">
        <v>10</v>
      </c>
      <c r="F827" s="5">
        <v>3135.2882399999999</v>
      </c>
    </row>
    <row r="828" spans="1:6" ht="15.75" thickBot="1" x14ac:dyDescent="0.3">
      <c r="A828" s="4" t="s">
        <v>124</v>
      </c>
      <c r="B828" s="5" t="s">
        <v>12</v>
      </c>
      <c r="C828" s="5" t="s">
        <v>23</v>
      </c>
      <c r="D828" s="5" t="s">
        <v>14</v>
      </c>
      <c r="E828" s="5" t="s">
        <v>15</v>
      </c>
      <c r="F828" s="5">
        <v>2647.47</v>
      </c>
    </row>
    <row r="829" spans="1:6" ht="15.75" thickBot="1" x14ac:dyDescent="0.3">
      <c r="A829" s="4" t="s">
        <v>174</v>
      </c>
      <c r="B829" s="5" t="s">
        <v>19</v>
      </c>
      <c r="C829" s="5" t="s">
        <v>13</v>
      </c>
      <c r="D829" s="5" t="s">
        <v>14</v>
      </c>
      <c r="E829" s="5" t="s">
        <v>15</v>
      </c>
      <c r="F829" s="5">
        <v>1670.25</v>
      </c>
    </row>
    <row r="830" spans="1:6" ht="15.75" thickBot="1" x14ac:dyDescent="0.3">
      <c r="A830" s="4" t="s">
        <v>105</v>
      </c>
      <c r="B830" s="5" t="s">
        <v>30</v>
      </c>
      <c r="C830" s="5" t="s">
        <v>13</v>
      </c>
      <c r="D830" s="5" t="s">
        <v>9</v>
      </c>
      <c r="E830" s="5" t="s">
        <v>15</v>
      </c>
      <c r="F830" s="5">
        <v>3796.74</v>
      </c>
    </row>
    <row r="831" spans="1:6" ht="30.75" thickBot="1" x14ac:dyDescent="0.3">
      <c r="A831" s="4" t="s">
        <v>127</v>
      </c>
      <c r="B831" s="5" t="s">
        <v>17</v>
      </c>
      <c r="C831" s="5" t="s">
        <v>8</v>
      </c>
      <c r="D831" s="5" t="s">
        <v>14</v>
      </c>
      <c r="E831" s="5" t="s">
        <v>15</v>
      </c>
      <c r="F831" s="5">
        <v>2430.6999999999998</v>
      </c>
    </row>
    <row r="832" spans="1:6" ht="15.75" thickBot="1" x14ac:dyDescent="0.3">
      <c r="A832" s="4" t="s">
        <v>100</v>
      </c>
      <c r="B832" s="5" t="s">
        <v>7</v>
      </c>
      <c r="C832" s="5" t="s">
        <v>8</v>
      </c>
      <c r="D832" s="5" t="s">
        <v>9</v>
      </c>
      <c r="E832" s="5" t="s">
        <v>10</v>
      </c>
      <c r="F832" s="5">
        <v>4664.5184390000004</v>
      </c>
    </row>
    <row r="833" spans="1:6" ht="15.75" thickBot="1" x14ac:dyDescent="0.3">
      <c r="A833" s="4" t="s">
        <v>70</v>
      </c>
      <c r="B833" s="5" t="s">
        <v>19</v>
      </c>
      <c r="C833" s="5" t="s">
        <v>8</v>
      </c>
      <c r="D833" s="5" t="s">
        <v>14</v>
      </c>
      <c r="E833" s="5" t="s">
        <v>10</v>
      </c>
      <c r="F833" s="5">
        <v>2563.5500000000002</v>
      </c>
    </row>
    <row r="834" spans="1:6" ht="15.75" thickBot="1" x14ac:dyDescent="0.3">
      <c r="A834" s="4" t="s">
        <v>62</v>
      </c>
      <c r="B834" s="5" t="s">
        <v>30</v>
      </c>
      <c r="C834" s="5" t="s">
        <v>13</v>
      </c>
      <c r="D834" s="5" t="s">
        <v>14</v>
      </c>
      <c r="E834" s="5" t="s">
        <v>24</v>
      </c>
      <c r="F834" s="5">
        <v>2866.4</v>
      </c>
    </row>
    <row r="835" spans="1:6" ht="15.75" thickBot="1" x14ac:dyDescent="0.3">
      <c r="A835" s="4" t="s">
        <v>35</v>
      </c>
      <c r="B835" s="5" t="s">
        <v>19</v>
      </c>
      <c r="C835" s="5" t="s">
        <v>34</v>
      </c>
      <c r="D835" s="5" t="s">
        <v>14</v>
      </c>
      <c r="E835" s="5" t="s">
        <v>10</v>
      </c>
      <c r="F835" s="5">
        <v>4646.07</v>
      </c>
    </row>
    <row r="836" spans="1:6" ht="15.75" thickBot="1" x14ac:dyDescent="0.3">
      <c r="A836" s="4" t="s">
        <v>73</v>
      </c>
      <c r="B836" s="5" t="s">
        <v>30</v>
      </c>
      <c r="C836" s="5" t="s">
        <v>23</v>
      </c>
      <c r="D836" s="5" t="s">
        <v>9</v>
      </c>
      <c r="E836" s="5" t="s">
        <v>10</v>
      </c>
      <c r="F836" s="5">
        <v>858.75894459999995</v>
      </c>
    </row>
    <row r="837" spans="1:6" ht="15.75" thickBot="1" x14ac:dyDescent="0.3">
      <c r="A837" s="4" t="s">
        <v>111</v>
      </c>
      <c r="B837" s="5" t="s">
        <v>19</v>
      </c>
      <c r="C837" s="5" t="s">
        <v>34</v>
      </c>
      <c r="D837" s="5" t="s">
        <v>14</v>
      </c>
      <c r="E837" s="5" t="s">
        <v>10</v>
      </c>
      <c r="F837" s="5">
        <v>2645.6</v>
      </c>
    </row>
    <row r="838" spans="1:6" ht="15.75" thickBot="1" x14ac:dyDescent="0.3">
      <c r="A838" s="4" t="s">
        <v>153</v>
      </c>
      <c r="B838" s="5" t="s">
        <v>7</v>
      </c>
      <c r="C838" s="5" t="s">
        <v>23</v>
      </c>
      <c r="D838" s="5" t="s">
        <v>9</v>
      </c>
      <c r="E838" s="5" t="s">
        <v>10</v>
      </c>
      <c r="F838" s="5">
        <v>4396.4497890000002</v>
      </c>
    </row>
    <row r="839" spans="1:6" ht="15.75" thickBot="1" x14ac:dyDescent="0.3">
      <c r="A839" s="4" t="s">
        <v>64</v>
      </c>
      <c r="B839" s="5" t="s">
        <v>30</v>
      </c>
      <c r="C839" s="5" t="s">
        <v>8</v>
      </c>
      <c r="D839" s="5" t="s">
        <v>9</v>
      </c>
      <c r="E839" s="5" t="s">
        <v>15</v>
      </c>
      <c r="F839" s="5">
        <v>2468.89</v>
      </c>
    </row>
    <row r="840" spans="1:6" ht="15.75" thickBot="1" x14ac:dyDescent="0.3">
      <c r="A840" s="4" t="s">
        <v>108</v>
      </c>
      <c r="B840" s="5" t="s">
        <v>7</v>
      </c>
      <c r="C840" s="5" t="s">
        <v>13</v>
      </c>
      <c r="D840" s="5" t="s">
        <v>14</v>
      </c>
      <c r="E840" s="5" t="s">
        <v>24</v>
      </c>
      <c r="F840" s="5">
        <v>3901.9</v>
      </c>
    </row>
    <row r="841" spans="1:6" ht="15.75" thickBot="1" x14ac:dyDescent="0.3">
      <c r="A841" s="4" t="s">
        <v>193</v>
      </c>
      <c r="B841" s="5" t="s">
        <v>12</v>
      </c>
      <c r="C841" s="5" t="s">
        <v>23</v>
      </c>
      <c r="D841" s="5" t="s">
        <v>9</v>
      </c>
      <c r="E841" s="5" t="s">
        <v>24</v>
      </c>
      <c r="F841" s="5">
        <v>2711.0032080000001</v>
      </c>
    </row>
    <row r="842" spans="1:6" ht="15.75" thickBot="1" x14ac:dyDescent="0.3">
      <c r="A842" s="4" t="s">
        <v>110</v>
      </c>
      <c r="B842" s="5" t="s">
        <v>12</v>
      </c>
      <c r="C842" s="5" t="s">
        <v>13</v>
      </c>
      <c r="D842" s="5" t="s">
        <v>9</v>
      </c>
      <c r="E842" s="5" t="s">
        <v>24</v>
      </c>
      <c r="F842" s="5">
        <v>1971.3</v>
      </c>
    </row>
    <row r="843" spans="1:6" ht="15.75" thickBot="1" x14ac:dyDescent="0.3">
      <c r="A843" s="4" t="s">
        <v>189</v>
      </c>
      <c r="B843" s="5" t="s">
        <v>19</v>
      </c>
      <c r="C843" s="5" t="s">
        <v>13</v>
      </c>
      <c r="D843" s="5" t="s">
        <v>14</v>
      </c>
      <c r="E843" s="5" t="s">
        <v>24</v>
      </c>
      <c r="F843" s="5">
        <v>4296.74</v>
      </c>
    </row>
    <row r="844" spans="1:6" ht="15.75" thickBot="1" x14ac:dyDescent="0.3">
      <c r="A844" s="4" t="s">
        <v>87</v>
      </c>
      <c r="B844" s="5" t="s">
        <v>12</v>
      </c>
      <c r="C844" s="5" t="s">
        <v>23</v>
      </c>
      <c r="D844" s="5" t="s">
        <v>28</v>
      </c>
      <c r="E844" s="5" t="s">
        <v>24</v>
      </c>
      <c r="F844" s="5">
        <v>3792.89</v>
      </c>
    </row>
    <row r="845" spans="1:6" ht="15.75" thickBot="1" x14ac:dyDescent="0.3">
      <c r="A845" s="4" t="s">
        <v>99</v>
      </c>
      <c r="B845" s="5" t="s">
        <v>19</v>
      </c>
      <c r="C845" s="5" t="s">
        <v>34</v>
      </c>
      <c r="D845" s="5" t="s">
        <v>28</v>
      </c>
      <c r="E845" s="5" t="s">
        <v>15</v>
      </c>
      <c r="F845" s="5">
        <v>1486.21</v>
      </c>
    </row>
    <row r="846" spans="1:6" ht="30.75" thickBot="1" x14ac:dyDescent="0.3">
      <c r="A846" s="4" t="s">
        <v>216</v>
      </c>
      <c r="B846" s="5" t="s">
        <v>17</v>
      </c>
      <c r="C846" s="5" t="s">
        <v>34</v>
      </c>
      <c r="D846" s="5" t="s">
        <v>28</v>
      </c>
      <c r="E846" s="5" t="s">
        <v>15</v>
      </c>
      <c r="F846" s="5">
        <v>2653.12</v>
      </c>
    </row>
    <row r="847" spans="1:6" ht="15.75" thickBot="1" x14ac:dyDescent="0.3">
      <c r="A847" s="4" t="s">
        <v>181</v>
      </c>
      <c r="B847" s="5" t="s">
        <v>30</v>
      </c>
      <c r="C847" s="5" t="s">
        <v>23</v>
      </c>
      <c r="D847" s="5" t="s">
        <v>14</v>
      </c>
      <c r="E847" s="5" t="s">
        <v>15</v>
      </c>
      <c r="F847" s="5">
        <v>4329.05</v>
      </c>
    </row>
    <row r="848" spans="1:6" ht="15.75" thickBot="1" x14ac:dyDescent="0.3">
      <c r="A848" s="4" t="s">
        <v>184</v>
      </c>
      <c r="B848" s="5" t="s">
        <v>30</v>
      </c>
      <c r="C848" s="5" t="s">
        <v>13</v>
      </c>
      <c r="D848" s="5" t="s">
        <v>9</v>
      </c>
      <c r="E848" s="5" t="s">
        <v>10</v>
      </c>
      <c r="F848" s="5">
        <v>3438.4822770000001</v>
      </c>
    </row>
    <row r="849" spans="1:6" ht="15.75" thickBot="1" x14ac:dyDescent="0.3">
      <c r="A849" s="4" t="s">
        <v>211</v>
      </c>
      <c r="B849" s="5" t="s">
        <v>7</v>
      </c>
      <c r="C849" s="5" t="s">
        <v>34</v>
      </c>
      <c r="D849" s="5" t="s">
        <v>9</v>
      </c>
      <c r="E849" s="5" t="s">
        <v>24</v>
      </c>
      <c r="F849" s="5">
        <v>4297.0303940000003</v>
      </c>
    </row>
    <row r="850" spans="1:6" ht="15.75" thickBot="1" x14ac:dyDescent="0.3">
      <c r="A850" s="4" t="s">
        <v>200</v>
      </c>
      <c r="B850" s="5" t="s">
        <v>30</v>
      </c>
      <c r="C850" s="5" t="s">
        <v>34</v>
      </c>
      <c r="D850" s="5" t="s">
        <v>9</v>
      </c>
      <c r="E850" s="5" t="s">
        <v>10</v>
      </c>
      <c r="F850" s="5">
        <v>1748.1880329999999</v>
      </c>
    </row>
    <row r="851" spans="1:6" ht="15.75" thickBot="1" x14ac:dyDescent="0.3">
      <c r="A851" s="4" t="s">
        <v>185</v>
      </c>
      <c r="B851" s="5" t="s">
        <v>30</v>
      </c>
      <c r="C851" s="5" t="s">
        <v>34</v>
      </c>
      <c r="D851" s="5" t="s">
        <v>9</v>
      </c>
      <c r="E851" s="5" t="s">
        <v>15</v>
      </c>
      <c r="F851" s="5">
        <v>2629.36</v>
      </c>
    </row>
    <row r="852" spans="1:6" ht="15.75" thickBot="1" x14ac:dyDescent="0.3">
      <c r="A852" s="4" t="s">
        <v>94</v>
      </c>
      <c r="B852" s="5" t="s">
        <v>7</v>
      </c>
      <c r="C852" s="5" t="s">
        <v>13</v>
      </c>
      <c r="D852" s="5" t="s">
        <v>9</v>
      </c>
      <c r="E852" s="5" t="s">
        <v>10</v>
      </c>
      <c r="F852" s="5">
        <v>4350.9599639999997</v>
      </c>
    </row>
    <row r="853" spans="1:6" ht="30.75" thickBot="1" x14ac:dyDescent="0.3">
      <c r="A853" s="4" t="s">
        <v>142</v>
      </c>
      <c r="B853" s="5" t="s">
        <v>17</v>
      </c>
      <c r="C853" s="5" t="s">
        <v>34</v>
      </c>
      <c r="D853" s="5" t="s">
        <v>14</v>
      </c>
      <c r="E853" s="5" t="s">
        <v>10</v>
      </c>
      <c r="F853" s="5">
        <v>400</v>
      </c>
    </row>
    <row r="854" spans="1:6" ht="15.75" thickBot="1" x14ac:dyDescent="0.3">
      <c r="A854" s="4" t="s">
        <v>144</v>
      </c>
      <c r="B854" s="5" t="s">
        <v>30</v>
      </c>
      <c r="C854" s="5" t="s">
        <v>23</v>
      </c>
      <c r="D854" s="5" t="s">
        <v>28</v>
      </c>
      <c r="E854" s="5" t="s">
        <v>15</v>
      </c>
      <c r="F854" s="5">
        <v>4737.45</v>
      </c>
    </row>
    <row r="855" spans="1:6" ht="15.75" thickBot="1" x14ac:dyDescent="0.3">
      <c r="A855" s="4" t="s">
        <v>217</v>
      </c>
      <c r="B855" s="5" t="s">
        <v>19</v>
      </c>
      <c r="C855" s="5" t="s">
        <v>23</v>
      </c>
      <c r="D855" s="5" t="s">
        <v>28</v>
      </c>
      <c r="E855" s="5" t="s">
        <v>24</v>
      </c>
      <c r="F855" s="5">
        <v>2400.9</v>
      </c>
    </row>
    <row r="856" spans="1:6" ht="15.75" thickBot="1" x14ac:dyDescent="0.3">
      <c r="A856" s="4" t="s">
        <v>88</v>
      </c>
      <c r="B856" s="5" t="s">
        <v>7</v>
      </c>
      <c r="C856" s="5" t="s">
        <v>34</v>
      </c>
      <c r="D856" s="5" t="s">
        <v>14</v>
      </c>
      <c r="E856" s="5" t="s">
        <v>10</v>
      </c>
      <c r="F856" s="5">
        <v>3887.35</v>
      </c>
    </row>
    <row r="857" spans="1:6" ht="15.75" thickBot="1" x14ac:dyDescent="0.3">
      <c r="A857" s="4" t="s">
        <v>31</v>
      </c>
      <c r="B857" s="5" t="s">
        <v>30</v>
      </c>
      <c r="C857" s="5" t="s">
        <v>13</v>
      </c>
      <c r="D857" s="5" t="s">
        <v>14</v>
      </c>
      <c r="E857" s="5" t="s">
        <v>10</v>
      </c>
      <c r="F857" s="5">
        <v>3231.03</v>
      </c>
    </row>
    <row r="858" spans="1:6" ht="15.75" thickBot="1" x14ac:dyDescent="0.3">
      <c r="A858" s="4" t="s">
        <v>85</v>
      </c>
      <c r="B858" s="5" t="s">
        <v>30</v>
      </c>
      <c r="C858" s="5" t="s">
        <v>34</v>
      </c>
      <c r="D858" s="5" t="s">
        <v>28</v>
      </c>
      <c r="E858" s="5" t="s">
        <v>24</v>
      </c>
      <c r="F858" s="5">
        <v>1139.33</v>
      </c>
    </row>
    <row r="859" spans="1:6" ht="30.75" thickBot="1" x14ac:dyDescent="0.3">
      <c r="A859" s="4" t="s">
        <v>171</v>
      </c>
      <c r="B859" s="5" t="s">
        <v>17</v>
      </c>
      <c r="C859" s="5" t="s">
        <v>34</v>
      </c>
      <c r="D859" s="5" t="s">
        <v>14</v>
      </c>
      <c r="E859" s="5" t="s">
        <v>15</v>
      </c>
      <c r="F859" s="5">
        <v>4799</v>
      </c>
    </row>
    <row r="860" spans="1:6" ht="30.75" thickBot="1" x14ac:dyDescent="0.3">
      <c r="A860" s="4" t="s">
        <v>26</v>
      </c>
      <c r="B860" s="5" t="s">
        <v>17</v>
      </c>
      <c r="C860" s="5" t="s">
        <v>8</v>
      </c>
      <c r="D860" s="5" t="s">
        <v>14</v>
      </c>
      <c r="E860" s="5" t="s">
        <v>24</v>
      </c>
      <c r="F860" s="5">
        <v>3657.83</v>
      </c>
    </row>
    <row r="861" spans="1:6" ht="15.75" thickBot="1" x14ac:dyDescent="0.3">
      <c r="A861" s="4" t="s">
        <v>195</v>
      </c>
      <c r="B861" s="5" t="s">
        <v>7</v>
      </c>
      <c r="C861" s="5" t="s">
        <v>23</v>
      </c>
      <c r="D861" s="5" t="s">
        <v>9</v>
      </c>
      <c r="E861" s="5" t="s">
        <v>10</v>
      </c>
      <c r="F861" s="5">
        <v>2571.4593089999998</v>
      </c>
    </row>
    <row r="862" spans="1:6" ht="15.75" thickBot="1" x14ac:dyDescent="0.3">
      <c r="A862" s="4" t="s">
        <v>154</v>
      </c>
      <c r="B862" s="5" t="s">
        <v>12</v>
      </c>
      <c r="C862" s="5" t="s">
        <v>8</v>
      </c>
      <c r="D862" s="5" t="s">
        <v>14</v>
      </c>
      <c r="E862" s="5" t="s">
        <v>24</v>
      </c>
      <c r="F862" s="5">
        <v>3338</v>
      </c>
    </row>
    <row r="863" spans="1:6" ht="15.75" thickBot="1" x14ac:dyDescent="0.3">
      <c r="A863" s="4" t="s">
        <v>115</v>
      </c>
      <c r="B863" s="5" t="s">
        <v>19</v>
      </c>
      <c r="C863" s="5" t="s">
        <v>13</v>
      </c>
      <c r="D863" s="5" t="s">
        <v>28</v>
      </c>
      <c r="E863" s="5" t="s">
        <v>24</v>
      </c>
      <c r="F863" s="5">
        <v>4623.8100000000004</v>
      </c>
    </row>
    <row r="864" spans="1:6" ht="30.75" thickBot="1" x14ac:dyDescent="0.3">
      <c r="A864" s="4" t="s">
        <v>140</v>
      </c>
      <c r="B864" s="5" t="s">
        <v>17</v>
      </c>
      <c r="C864" s="5" t="s">
        <v>13</v>
      </c>
      <c r="D864" s="5" t="s">
        <v>28</v>
      </c>
      <c r="E864" s="5" t="s">
        <v>15</v>
      </c>
      <c r="F864" s="5">
        <v>3591.86</v>
      </c>
    </row>
    <row r="865" spans="1:6" ht="15.75" thickBot="1" x14ac:dyDescent="0.3">
      <c r="A865" s="4" t="s">
        <v>128</v>
      </c>
      <c r="B865" s="5" t="s">
        <v>12</v>
      </c>
      <c r="C865" s="5" t="s">
        <v>8</v>
      </c>
      <c r="D865" s="5" t="s">
        <v>9</v>
      </c>
      <c r="E865" s="5" t="s">
        <v>15</v>
      </c>
      <c r="F865" s="5">
        <v>2370.4460279999998</v>
      </c>
    </row>
    <row r="866" spans="1:6" ht="30.75" thickBot="1" x14ac:dyDescent="0.3">
      <c r="A866" s="4" t="s">
        <v>76</v>
      </c>
      <c r="B866" s="5" t="s">
        <v>17</v>
      </c>
      <c r="C866" s="5" t="s">
        <v>34</v>
      </c>
      <c r="D866" s="5" t="s">
        <v>9</v>
      </c>
      <c r="E866" s="5" t="s">
        <v>10</v>
      </c>
      <c r="F866" s="5">
        <v>3703.0568629999998</v>
      </c>
    </row>
    <row r="867" spans="1:6" ht="15.75" thickBot="1" x14ac:dyDescent="0.3">
      <c r="A867" s="4" t="s">
        <v>6</v>
      </c>
      <c r="B867" s="5" t="s">
        <v>7</v>
      </c>
      <c r="C867" s="5" t="s">
        <v>34</v>
      </c>
      <c r="D867" s="5" t="s">
        <v>14</v>
      </c>
      <c r="E867" s="5" t="s">
        <v>15</v>
      </c>
      <c r="F867" s="5">
        <v>2135.3200000000002</v>
      </c>
    </row>
    <row r="868" spans="1:6" ht="15.75" thickBot="1" x14ac:dyDescent="0.3">
      <c r="A868" s="4" t="s">
        <v>179</v>
      </c>
      <c r="B868" s="5" t="s">
        <v>7</v>
      </c>
      <c r="C868" s="5" t="s">
        <v>23</v>
      </c>
      <c r="D868" s="5" t="s">
        <v>9</v>
      </c>
      <c r="E868" s="5" t="s">
        <v>15</v>
      </c>
      <c r="F868" s="5">
        <v>4016.4773869999999</v>
      </c>
    </row>
    <row r="869" spans="1:6" ht="15.75" thickBot="1" x14ac:dyDescent="0.3">
      <c r="A869" s="4" t="s">
        <v>210</v>
      </c>
      <c r="B869" s="5" t="s">
        <v>7</v>
      </c>
      <c r="C869" s="5" t="s">
        <v>8</v>
      </c>
      <c r="D869" s="5" t="s">
        <v>28</v>
      </c>
      <c r="E869" s="5" t="s">
        <v>24</v>
      </c>
      <c r="F869" s="5">
        <v>2536.5</v>
      </c>
    </row>
    <row r="870" spans="1:6" ht="15.75" thickBot="1" x14ac:dyDescent="0.3">
      <c r="A870" s="4" t="s">
        <v>88</v>
      </c>
      <c r="B870" s="5" t="s">
        <v>7</v>
      </c>
      <c r="C870" s="5" t="s">
        <v>13</v>
      </c>
      <c r="D870" s="5" t="s">
        <v>14</v>
      </c>
      <c r="E870" s="5" t="s">
        <v>15</v>
      </c>
      <c r="F870" s="5">
        <v>4254.34</v>
      </c>
    </row>
    <row r="871" spans="1:6" ht="30.75" thickBot="1" x14ac:dyDescent="0.3">
      <c r="A871" s="4" t="s">
        <v>82</v>
      </c>
      <c r="B871" s="5" t="s">
        <v>17</v>
      </c>
      <c r="C871" s="5" t="s">
        <v>34</v>
      </c>
      <c r="D871" s="5" t="s">
        <v>14</v>
      </c>
      <c r="E871" s="5" t="s">
        <v>15</v>
      </c>
      <c r="F871" s="5">
        <v>1897.31</v>
      </c>
    </row>
    <row r="872" spans="1:6" ht="30.75" thickBot="1" x14ac:dyDescent="0.3">
      <c r="A872" s="4" t="s">
        <v>82</v>
      </c>
      <c r="B872" s="5" t="s">
        <v>17</v>
      </c>
      <c r="C872" s="5" t="s">
        <v>8</v>
      </c>
      <c r="D872" s="5" t="s">
        <v>14</v>
      </c>
      <c r="E872" s="5" t="s">
        <v>15</v>
      </c>
      <c r="F872" s="5">
        <v>4286.67</v>
      </c>
    </row>
    <row r="873" spans="1:6" ht="30.75" thickBot="1" x14ac:dyDescent="0.3">
      <c r="A873" s="4" t="s">
        <v>83</v>
      </c>
      <c r="B873" s="5" t="s">
        <v>17</v>
      </c>
      <c r="C873" s="5" t="s">
        <v>8</v>
      </c>
      <c r="D873" s="5" t="s">
        <v>28</v>
      </c>
      <c r="E873" s="5" t="s">
        <v>15</v>
      </c>
      <c r="F873" s="5">
        <v>2709.88</v>
      </c>
    </row>
    <row r="874" spans="1:6" ht="15.75" thickBot="1" x14ac:dyDescent="0.3">
      <c r="A874" s="4" t="s">
        <v>91</v>
      </c>
      <c r="B874" s="5" t="s">
        <v>30</v>
      </c>
      <c r="C874" s="5" t="s">
        <v>13</v>
      </c>
      <c r="D874" s="5" t="s">
        <v>28</v>
      </c>
      <c r="E874" s="5" t="s">
        <v>15</v>
      </c>
      <c r="F874" s="5">
        <v>4482.51</v>
      </c>
    </row>
    <row r="875" spans="1:6" ht="15.75" thickBot="1" x14ac:dyDescent="0.3">
      <c r="A875" s="4" t="s">
        <v>62</v>
      </c>
      <c r="B875" s="5" t="s">
        <v>30</v>
      </c>
      <c r="C875" s="5" t="s">
        <v>34</v>
      </c>
      <c r="D875" s="5" t="s">
        <v>28</v>
      </c>
      <c r="E875" s="5" t="s">
        <v>24</v>
      </c>
      <c r="F875" s="5">
        <v>4156</v>
      </c>
    </row>
    <row r="876" spans="1:6" ht="15.75" thickBot="1" x14ac:dyDescent="0.3">
      <c r="A876" s="4" t="s">
        <v>41</v>
      </c>
      <c r="B876" s="5" t="s">
        <v>30</v>
      </c>
      <c r="C876" s="5" t="s">
        <v>34</v>
      </c>
      <c r="D876" s="5" t="s">
        <v>9</v>
      </c>
      <c r="E876" s="5" t="s">
        <v>10</v>
      </c>
      <c r="F876" s="5">
        <v>2731.8927560000002</v>
      </c>
    </row>
    <row r="877" spans="1:6" ht="15.75" thickBot="1" x14ac:dyDescent="0.3">
      <c r="A877" s="4" t="s">
        <v>180</v>
      </c>
      <c r="B877" s="5" t="s">
        <v>30</v>
      </c>
      <c r="C877" s="5" t="s">
        <v>8</v>
      </c>
      <c r="D877" s="5" t="s">
        <v>9</v>
      </c>
      <c r="E877" s="5" t="s">
        <v>24</v>
      </c>
      <c r="F877" s="5">
        <v>84.4</v>
      </c>
    </row>
    <row r="878" spans="1:6" ht="15.75" thickBot="1" x14ac:dyDescent="0.3">
      <c r="A878" s="4" t="s">
        <v>166</v>
      </c>
      <c r="B878" s="5" t="s">
        <v>7</v>
      </c>
      <c r="C878" s="5" t="s">
        <v>34</v>
      </c>
      <c r="D878" s="5" t="s">
        <v>14</v>
      </c>
      <c r="E878" s="5" t="s">
        <v>15</v>
      </c>
      <c r="F878" s="5">
        <v>84.55</v>
      </c>
    </row>
    <row r="879" spans="1:6" ht="30.75" thickBot="1" x14ac:dyDescent="0.3">
      <c r="A879" s="4" t="s">
        <v>129</v>
      </c>
      <c r="B879" s="5" t="s">
        <v>17</v>
      </c>
      <c r="C879" s="5" t="s">
        <v>23</v>
      </c>
      <c r="D879" s="5" t="s">
        <v>14</v>
      </c>
      <c r="E879" s="5" t="s">
        <v>10</v>
      </c>
      <c r="F879" s="5">
        <v>3865.97</v>
      </c>
    </row>
    <row r="880" spans="1:6" ht="15.75" thickBot="1" x14ac:dyDescent="0.3">
      <c r="A880" s="4" t="s">
        <v>70</v>
      </c>
      <c r="B880" s="5" t="s">
        <v>19</v>
      </c>
      <c r="C880" s="5" t="s">
        <v>13</v>
      </c>
      <c r="D880" s="5" t="s">
        <v>28</v>
      </c>
      <c r="E880" s="5" t="s">
        <v>24</v>
      </c>
      <c r="F880" s="5">
        <v>4994.79</v>
      </c>
    </row>
    <row r="881" spans="1:6" ht="15.75" thickBot="1" x14ac:dyDescent="0.3">
      <c r="A881" s="4" t="s">
        <v>65</v>
      </c>
      <c r="B881" s="5" t="s">
        <v>30</v>
      </c>
      <c r="C881" s="5" t="s">
        <v>8</v>
      </c>
      <c r="D881" s="5" t="s">
        <v>9</v>
      </c>
      <c r="E881" s="5" t="s">
        <v>24</v>
      </c>
      <c r="F881" s="5">
        <v>4341.6706560000002</v>
      </c>
    </row>
    <row r="882" spans="1:6" ht="15.75" thickBot="1" x14ac:dyDescent="0.3">
      <c r="A882" s="4" t="s">
        <v>165</v>
      </c>
      <c r="B882" s="5" t="s">
        <v>7</v>
      </c>
      <c r="C882" s="5" t="s">
        <v>34</v>
      </c>
      <c r="D882" s="5" t="s">
        <v>28</v>
      </c>
      <c r="E882" s="5" t="s">
        <v>10</v>
      </c>
      <c r="F882" s="5">
        <v>4845.8500000000004</v>
      </c>
    </row>
    <row r="883" spans="1:6" ht="15.75" thickBot="1" x14ac:dyDescent="0.3">
      <c r="A883" s="4" t="s">
        <v>22</v>
      </c>
      <c r="B883" s="5" t="s">
        <v>12</v>
      </c>
      <c r="C883" s="5" t="s">
        <v>23</v>
      </c>
      <c r="D883" s="5" t="s">
        <v>14</v>
      </c>
      <c r="E883" s="5" t="s">
        <v>15</v>
      </c>
      <c r="F883" s="5">
        <v>695.8</v>
      </c>
    </row>
    <row r="884" spans="1:6" ht="30.75" thickBot="1" x14ac:dyDescent="0.3">
      <c r="A884" s="4" t="s">
        <v>131</v>
      </c>
      <c r="B884" s="5" t="s">
        <v>17</v>
      </c>
      <c r="C884" s="5" t="s">
        <v>23</v>
      </c>
      <c r="D884" s="5" t="s">
        <v>9</v>
      </c>
      <c r="E884" s="5" t="s">
        <v>24</v>
      </c>
      <c r="F884" s="5">
        <v>2429.7024150000002</v>
      </c>
    </row>
    <row r="885" spans="1:6" ht="15.75" thickBot="1" x14ac:dyDescent="0.3">
      <c r="A885" s="4" t="s">
        <v>84</v>
      </c>
      <c r="B885" s="5" t="s">
        <v>30</v>
      </c>
      <c r="C885" s="5" t="s">
        <v>23</v>
      </c>
      <c r="D885" s="5" t="s">
        <v>28</v>
      </c>
      <c r="E885" s="5" t="s">
        <v>10</v>
      </c>
      <c r="F885" s="5">
        <v>3517.31</v>
      </c>
    </row>
    <row r="886" spans="1:6" ht="15.75" thickBot="1" x14ac:dyDescent="0.3">
      <c r="A886" s="4" t="s">
        <v>56</v>
      </c>
      <c r="B886" s="5" t="s">
        <v>19</v>
      </c>
      <c r="C886" s="5" t="s">
        <v>23</v>
      </c>
      <c r="D886" s="5" t="s">
        <v>28</v>
      </c>
      <c r="E886" s="5" t="s">
        <v>10</v>
      </c>
      <c r="F886" s="5">
        <v>2893</v>
      </c>
    </row>
    <row r="887" spans="1:6" ht="15.75" thickBot="1" x14ac:dyDescent="0.3">
      <c r="A887" s="4" t="s">
        <v>213</v>
      </c>
      <c r="B887" s="5" t="s">
        <v>12</v>
      </c>
      <c r="C887" s="5" t="s">
        <v>13</v>
      </c>
      <c r="D887" s="5" t="s">
        <v>14</v>
      </c>
      <c r="E887" s="5" t="s">
        <v>10</v>
      </c>
      <c r="F887" s="5">
        <v>4115.76</v>
      </c>
    </row>
    <row r="888" spans="1:6" ht="15.75" thickBot="1" x14ac:dyDescent="0.3">
      <c r="A888" s="4" t="s">
        <v>6</v>
      </c>
      <c r="B888" s="5" t="s">
        <v>7</v>
      </c>
      <c r="C888" s="5" t="s">
        <v>34</v>
      </c>
      <c r="D888" s="5" t="s">
        <v>28</v>
      </c>
      <c r="E888" s="5" t="s">
        <v>15</v>
      </c>
      <c r="F888" s="5">
        <v>1917.42</v>
      </c>
    </row>
    <row r="889" spans="1:6" ht="30.75" thickBot="1" x14ac:dyDescent="0.3">
      <c r="A889" s="4" t="s">
        <v>127</v>
      </c>
      <c r="B889" s="5" t="s">
        <v>17</v>
      </c>
      <c r="C889" s="5" t="s">
        <v>34</v>
      </c>
      <c r="D889" s="5" t="s">
        <v>28</v>
      </c>
      <c r="E889" s="5" t="s">
        <v>10</v>
      </c>
      <c r="F889" s="5">
        <v>1203.1300000000001</v>
      </c>
    </row>
    <row r="890" spans="1:6" ht="15.75" thickBot="1" x14ac:dyDescent="0.3">
      <c r="A890" s="4" t="s">
        <v>123</v>
      </c>
      <c r="B890" s="5" t="s">
        <v>30</v>
      </c>
      <c r="C890" s="5" t="s">
        <v>34</v>
      </c>
      <c r="D890" s="5" t="s">
        <v>14</v>
      </c>
      <c r="E890" s="5" t="s">
        <v>10</v>
      </c>
      <c r="F890" s="5">
        <v>3085.38</v>
      </c>
    </row>
    <row r="891" spans="1:6" ht="15.75" thickBot="1" x14ac:dyDescent="0.3">
      <c r="A891" s="4" t="s">
        <v>72</v>
      </c>
      <c r="B891" s="5" t="s">
        <v>19</v>
      </c>
      <c r="C891" s="5" t="s">
        <v>34</v>
      </c>
      <c r="D891" s="5" t="s">
        <v>14</v>
      </c>
      <c r="E891" s="5" t="s">
        <v>24</v>
      </c>
      <c r="F891" s="5">
        <v>1942.8</v>
      </c>
    </row>
    <row r="892" spans="1:6" ht="15.75" thickBot="1" x14ac:dyDescent="0.3">
      <c r="A892" s="4" t="s">
        <v>124</v>
      </c>
      <c r="B892" s="5" t="s">
        <v>12</v>
      </c>
      <c r="C892" s="5" t="s">
        <v>13</v>
      </c>
      <c r="D892" s="5" t="s">
        <v>14</v>
      </c>
      <c r="E892" s="5" t="s">
        <v>10</v>
      </c>
      <c r="F892" s="5">
        <v>3632.78</v>
      </c>
    </row>
    <row r="893" spans="1:6" ht="15.75" thickBot="1" x14ac:dyDescent="0.3">
      <c r="A893" s="4" t="s">
        <v>54</v>
      </c>
      <c r="B893" s="5" t="s">
        <v>12</v>
      </c>
      <c r="C893" s="5" t="s">
        <v>23</v>
      </c>
      <c r="D893" s="5" t="s">
        <v>14</v>
      </c>
      <c r="E893" s="5" t="s">
        <v>15</v>
      </c>
      <c r="F893" s="5">
        <v>4435.1000000000004</v>
      </c>
    </row>
    <row r="894" spans="1:6" ht="15.75" thickBot="1" x14ac:dyDescent="0.3">
      <c r="A894" s="4" t="s">
        <v>201</v>
      </c>
      <c r="B894" s="5" t="s">
        <v>12</v>
      </c>
      <c r="C894" s="5" t="s">
        <v>13</v>
      </c>
      <c r="D894" s="5" t="s">
        <v>14</v>
      </c>
      <c r="E894" s="5" t="s">
        <v>24</v>
      </c>
      <c r="F894" s="5">
        <v>3104.04</v>
      </c>
    </row>
    <row r="895" spans="1:6" ht="15.75" thickBot="1" x14ac:dyDescent="0.3">
      <c r="A895" s="4" t="s">
        <v>162</v>
      </c>
      <c r="B895" s="5" t="s">
        <v>30</v>
      </c>
      <c r="C895" s="5" t="s">
        <v>13</v>
      </c>
      <c r="D895" s="5" t="s">
        <v>14</v>
      </c>
      <c r="E895" s="5" t="s">
        <v>24</v>
      </c>
      <c r="F895" s="5">
        <v>1562.42</v>
      </c>
    </row>
    <row r="896" spans="1:6" ht="30.75" thickBot="1" x14ac:dyDescent="0.3">
      <c r="A896" s="4" t="s">
        <v>143</v>
      </c>
      <c r="B896" s="5" t="s">
        <v>17</v>
      </c>
      <c r="C896" s="5" t="s">
        <v>23</v>
      </c>
      <c r="D896" s="5" t="s">
        <v>9</v>
      </c>
      <c r="E896" s="5" t="s">
        <v>15</v>
      </c>
      <c r="F896" s="5">
        <v>3968.0176780000002</v>
      </c>
    </row>
    <row r="897" spans="1:6" ht="15.75" thickBot="1" x14ac:dyDescent="0.3">
      <c r="A897" s="4" t="s">
        <v>98</v>
      </c>
      <c r="B897" s="5" t="s">
        <v>19</v>
      </c>
      <c r="C897" s="5" t="s">
        <v>23</v>
      </c>
      <c r="D897" s="5" t="s">
        <v>28</v>
      </c>
      <c r="E897" s="5" t="s">
        <v>10</v>
      </c>
      <c r="F897" s="5">
        <v>3813.14</v>
      </c>
    </row>
    <row r="898" spans="1:6" ht="15.75" thickBot="1" x14ac:dyDescent="0.3">
      <c r="A898" s="4" t="s">
        <v>189</v>
      </c>
      <c r="B898" s="5" t="s">
        <v>19</v>
      </c>
      <c r="C898" s="5" t="s">
        <v>8</v>
      </c>
      <c r="D898" s="5" t="s">
        <v>14</v>
      </c>
      <c r="E898" s="5" t="s">
        <v>10</v>
      </c>
      <c r="F898" s="5">
        <v>1512.54</v>
      </c>
    </row>
    <row r="899" spans="1:6" ht="15.75" thickBot="1" x14ac:dyDescent="0.3">
      <c r="A899" s="4" t="s">
        <v>74</v>
      </c>
      <c r="B899" s="5" t="s">
        <v>19</v>
      </c>
      <c r="C899" s="5" t="s">
        <v>13</v>
      </c>
      <c r="D899" s="5" t="s">
        <v>9</v>
      </c>
      <c r="E899" s="5" t="s">
        <v>24</v>
      </c>
      <c r="F899" s="5">
        <v>4044.946097</v>
      </c>
    </row>
    <row r="900" spans="1:6" ht="15.75" thickBot="1" x14ac:dyDescent="0.3">
      <c r="A900" s="4" t="s">
        <v>200</v>
      </c>
      <c r="B900" s="5" t="s">
        <v>30</v>
      </c>
      <c r="C900" s="5" t="s">
        <v>34</v>
      </c>
      <c r="D900" s="5" t="s">
        <v>14</v>
      </c>
      <c r="E900" s="5" t="s">
        <v>15</v>
      </c>
      <c r="F900" s="5">
        <v>193.32</v>
      </c>
    </row>
    <row r="901" spans="1:6" ht="15.75" thickBot="1" x14ac:dyDescent="0.3">
      <c r="A901" s="4" t="s">
        <v>178</v>
      </c>
      <c r="B901" s="5" t="s">
        <v>30</v>
      </c>
      <c r="C901" s="5" t="s">
        <v>23</v>
      </c>
      <c r="D901" s="5" t="s">
        <v>28</v>
      </c>
      <c r="E901" s="5" t="s">
        <v>24</v>
      </c>
      <c r="F901" s="5">
        <v>2881.41</v>
      </c>
    </row>
    <row r="902" spans="1:6" ht="15.75" thickBot="1" x14ac:dyDescent="0.3">
      <c r="A902" s="4" t="s">
        <v>38</v>
      </c>
      <c r="B902" s="5" t="s">
        <v>30</v>
      </c>
      <c r="C902" s="5" t="s">
        <v>13</v>
      </c>
      <c r="D902" s="5" t="s">
        <v>28</v>
      </c>
      <c r="E902" s="5" t="s">
        <v>15</v>
      </c>
      <c r="F902" s="5">
        <v>1949.55</v>
      </c>
    </row>
    <row r="903" spans="1:6" ht="30.75" thickBot="1" x14ac:dyDescent="0.3">
      <c r="A903" s="4" t="s">
        <v>142</v>
      </c>
      <c r="B903" s="5" t="s">
        <v>17</v>
      </c>
      <c r="C903" s="5" t="s">
        <v>8</v>
      </c>
      <c r="D903" s="5" t="s">
        <v>28</v>
      </c>
      <c r="E903" s="5" t="s">
        <v>24</v>
      </c>
      <c r="F903" s="5">
        <v>2729.42</v>
      </c>
    </row>
    <row r="904" spans="1:6" ht="15.75" thickBot="1" x14ac:dyDescent="0.3">
      <c r="A904" s="4" t="s">
        <v>150</v>
      </c>
      <c r="B904" s="5" t="s">
        <v>30</v>
      </c>
      <c r="C904" s="5" t="s">
        <v>34</v>
      </c>
      <c r="D904" s="5" t="s">
        <v>14</v>
      </c>
      <c r="E904" s="5" t="s">
        <v>10</v>
      </c>
      <c r="F904" s="5">
        <v>4965.24</v>
      </c>
    </row>
    <row r="905" spans="1:6" ht="30.75" thickBot="1" x14ac:dyDescent="0.3">
      <c r="A905" s="4" t="s">
        <v>215</v>
      </c>
      <c r="B905" s="5" t="s">
        <v>17</v>
      </c>
      <c r="C905" s="5" t="s">
        <v>34</v>
      </c>
      <c r="D905" s="5" t="s">
        <v>14</v>
      </c>
      <c r="E905" s="5" t="s">
        <v>24</v>
      </c>
      <c r="F905" s="5">
        <v>968.64</v>
      </c>
    </row>
    <row r="906" spans="1:6" ht="15.75" thickBot="1" x14ac:dyDescent="0.3">
      <c r="A906" s="4" t="s">
        <v>71</v>
      </c>
      <c r="B906" s="5" t="s">
        <v>7</v>
      </c>
      <c r="C906" s="5" t="s">
        <v>23</v>
      </c>
      <c r="D906" s="5" t="s">
        <v>28</v>
      </c>
      <c r="E906" s="5" t="s">
        <v>10</v>
      </c>
      <c r="F906" s="5">
        <v>2778.34</v>
      </c>
    </row>
    <row r="907" spans="1:6" ht="15.75" thickBot="1" x14ac:dyDescent="0.3">
      <c r="A907" s="4" t="s">
        <v>88</v>
      </c>
      <c r="B907" s="5" t="s">
        <v>7</v>
      </c>
      <c r="C907" s="5" t="s">
        <v>13</v>
      </c>
      <c r="D907" s="5" t="s">
        <v>28</v>
      </c>
      <c r="E907" s="5" t="s">
        <v>10</v>
      </c>
      <c r="F907" s="5">
        <v>901.71</v>
      </c>
    </row>
    <row r="908" spans="1:6" ht="15.75" thickBot="1" x14ac:dyDescent="0.3">
      <c r="A908" s="4" t="s">
        <v>44</v>
      </c>
      <c r="B908" s="5" t="s">
        <v>19</v>
      </c>
      <c r="C908" s="5" t="s">
        <v>34</v>
      </c>
      <c r="D908" s="5" t="s">
        <v>14</v>
      </c>
      <c r="E908" s="5" t="s">
        <v>10</v>
      </c>
      <c r="F908" s="5">
        <v>4031.94</v>
      </c>
    </row>
    <row r="909" spans="1:6" ht="15.75" thickBot="1" x14ac:dyDescent="0.3">
      <c r="A909" s="4" t="s">
        <v>124</v>
      </c>
      <c r="B909" s="5" t="s">
        <v>12</v>
      </c>
      <c r="C909" s="5" t="s">
        <v>8</v>
      </c>
      <c r="D909" s="5" t="s">
        <v>28</v>
      </c>
      <c r="E909" s="5" t="s">
        <v>24</v>
      </c>
      <c r="F909" s="5">
        <v>3868.62</v>
      </c>
    </row>
    <row r="910" spans="1:6" ht="15.75" thickBot="1" x14ac:dyDescent="0.3">
      <c r="A910" s="4" t="s">
        <v>135</v>
      </c>
      <c r="B910" s="5" t="s">
        <v>12</v>
      </c>
      <c r="C910" s="5" t="s">
        <v>34</v>
      </c>
      <c r="D910" s="5" t="s">
        <v>14</v>
      </c>
      <c r="E910" s="5" t="s">
        <v>24</v>
      </c>
      <c r="F910" s="5">
        <v>2670.34</v>
      </c>
    </row>
    <row r="911" spans="1:6" ht="15.75" thickBot="1" x14ac:dyDescent="0.3">
      <c r="A911" s="4" t="s">
        <v>57</v>
      </c>
      <c r="B911" s="5" t="s">
        <v>19</v>
      </c>
      <c r="C911" s="5" t="s">
        <v>13</v>
      </c>
      <c r="D911" s="5" t="s">
        <v>28</v>
      </c>
      <c r="E911" s="5" t="s">
        <v>10</v>
      </c>
      <c r="F911" s="5">
        <v>4061.97</v>
      </c>
    </row>
    <row r="912" spans="1:6" ht="15.75" thickBot="1" x14ac:dyDescent="0.3">
      <c r="A912" s="4" t="s">
        <v>61</v>
      </c>
      <c r="B912" s="5" t="s">
        <v>30</v>
      </c>
      <c r="C912" s="5" t="s">
        <v>23</v>
      </c>
      <c r="D912" s="5" t="s">
        <v>14</v>
      </c>
      <c r="E912" s="5" t="s">
        <v>15</v>
      </c>
      <c r="F912" s="5">
        <v>279.14</v>
      </c>
    </row>
    <row r="913" spans="1:6" ht="30.75" thickBot="1" x14ac:dyDescent="0.3">
      <c r="A913" s="4" t="s">
        <v>168</v>
      </c>
      <c r="B913" s="5" t="s">
        <v>17</v>
      </c>
      <c r="C913" s="5" t="s">
        <v>23</v>
      </c>
      <c r="D913" s="5" t="s">
        <v>9</v>
      </c>
      <c r="E913" s="5" t="s">
        <v>24</v>
      </c>
      <c r="F913" s="5">
        <v>936.92034809999996</v>
      </c>
    </row>
    <row r="914" spans="1:6" ht="15.75" thickBot="1" x14ac:dyDescent="0.3">
      <c r="A914" s="4" t="s">
        <v>65</v>
      </c>
      <c r="B914" s="5" t="s">
        <v>30</v>
      </c>
      <c r="C914" s="5" t="s">
        <v>8</v>
      </c>
      <c r="D914" s="5" t="s">
        <v>9</v>
      </c>
      <c r="E914" s="5" t="s">
        <v>24</v>
      </c>
      <c r="F914" s="5">
        <v>1890.569927</v>
      </c>
    </row>
    <row r="915" spans="1:6" ht="15.75" thickBot="1" x14ac:dyDescent="0.3">
      <c r="A915" s="4" t="s">
        <v>78</v>
      </c>
      <c r="B915" s="5" t="s">
        <v>7</v>
      </c>
      <c r="C915" s="5" t="s">
        <v>13</v>
      </c>
      <c r="D915" s="5" t="s">
        <v>9</v>
      </c>
      <c r="E915" s="5" t="s">
        <v>10</v>
      </c>
      <c r="F915" s="5">
        <v>4697.92</v>
      </c>
    </row>
    <row r="916" spans="1:6" ht="15.75" thickBot="1" x14ac:dyDescent="0.3">
      <c r="A916" s="4" t="s">
        <v>52</v>
      </c>
      <c r="B916" s="5" t="s">
        <v>19</v>
      </c>
      <c r="C916" s="5" t="s">
        <v>34</v>
      </c>
      <c r="D916" s="5" t="s">
        <v>28</v>
      </c>
      <c r="E916" s="5" t="s">
        <v>24</v>
      </c>
      <c r="F916" s="5">
        <v>3192.85</v>
      </c>
    </row>
    <row r="917" spans="1:6" ht="15.75" thickBot="1" x14ac:dyDescent="0.3">
      <c r="A917" s="4" t="s">
        <v>160</v>
      </c>
      <c r="B917" s="5" t="s">
        <v>30</v>
      </c>
      <c r="C917" s="5" t="s">
        <v>13</v>
      </c>
      <c r="D917" s="5" t="s">
        <v>9</v>
      </c>
      <c r="E917" s="5" t="s">
        <v>10</v>
      </c>
      <c r="F917" s="5">
        <v>3010.17</v>
      </c>
    </row>
    <row r="918" spans="1:6" ht="15.75" thickBot="1" x14ac:dyDescent="0.3">
      <c r="A918" s="4" t="s">
        <v>188</v>
      </c>
      <c r="B918" s="5" t="s">
        <v>19</v>
      </c>
      <c r="C918" s="5" t="s">
        <v>23</v>
      </c>
      <c r="D918" s="5" t="s">
        <v>9</v>
      </c>
      <c r="E918" s="5" t="s">
        <v>24</v>
      </c>
      <c r="F918" s="5">
        <v>4348.8599999999997</v>
      </c>
    </row>
    <row r="919" spans="1:6" ht="15.75" thickBot="1" x14ac:dyDescent="0.3">
      <c r="A919" s="4" t="s">
        <v>22</v>
      </c>
      <c r="B919" s="5" t="s">
        <v>12</v>
      </c>
      <c r="C919" s="5" t="s">
        <v>8</v>
      </c>
      <c r="D919" s="5" t="s">
        <v>9</v>
      </c>
      <c r="E919" s="5" t="s">
        <v>10</v>
      </c>
      <c r="F919" s="5">
        <v>4115.1509260000003</v>
      </c>
    </row>
    <row r="920" spans="1:6" ht="15.75" thickBot="1" x14ac:dyDescent="0.3">
      <c r="A920" s="4" t="s">
        <v>195</v>
      </c>
      <c r="B920" s="5" t="s">
        <v>7</v>
      </c>
      <c r="C920" s="5" t="s">
        <v>8</v>
      </c>
      <c r="D920" s="5" t="s">
        <v>28</v>
      </c>
      <c r="E920" s="5" t="s">
        <v>15</v>
      </c>
      <c r="F920" s="5">
        <v>4352.3</v>
      </c>
    </row>
    <row r="921" spans="1:6" ht="15.75" thickBot="1" x14ac:dyDescent="0.3">
      <c r="A921" s="4" t="s">
        <v>56</v>
      </c>
      <c r="B921" s="5" t="s">
        <v>19</v>
      </c>
      <c r="C921" s="5" t="s">
        <v>13</v>
      </c>
      <c r="D921" s="5" t="s">
        <v>9</v>
      </c>
      <c r="E921" s="5" t="s">
        <v>15</v>
      </c>
      <c r="F921" s="5">
        <v>3591.3304600000001</v>
      </c>
    </row>
    <row r="922" spans="1:6" ht="15.75" thickBot="1" x14ac:dyDescent="0.3">
      <c r="A922" s="4" t="s">
        <v>87</v>
      </c>
      <c r="B922" s="5" t="s">
        <v>12</v>
      </c>
      <c r="C922" s="5" t="s">
        <v>8</v>
      </c>
      <c r="D922" s="5" t="s">
        <v>28</v>
      </c>
      <c r="E922" s="5" t="s">
        <v>15</v>
      </c>
      <c r="F922" s="5">
        <v>3260.39</v>
      </c>
    </row>
    <row r="923" spans="1:6" ht="15.75" thickBot="1" x14ac:dyDescent="0.3">
      <c r="A923" s="4" t="s">
        <v>91</v>
      </c>
      <c r="B923" s="5" t="s">
        <v>30</v>
      </c>
      <c r="C923" s="5" t="s">
        <v>23</v>
      </c>
      <c r="D923" s="5" t="s">
        <v>14</v>
      </c>
      <c r="E923" s="5" t="s">
        <v>24</v>
      </c>
      <c r="F923" s="5">
        <v>1083.03</v>
      </c>
    </row>
    <row r="924" spans="1:6" ht="30.75" thickBot="1" x14ac:dyDescent="0.3">
      <c r="A924" s="4" t="s">
        <v>215</v>
      </c>
      <c r="B924" s="5" t="s">
        <v>17</v>
      </c>
      <c r="C924" s="5" t="s">
        <v>13</v>
      </c>
      <c r="D924" s="5" t="s">
        <v>28</v>
      </c>
      <c r="E924" s="5" t="s">
        <v>10</v>
      </c>
      <c r="F924" s="5">
        <v>2051.69</v>
      </c>
    </row>
    <row r="925" spans="1:6" ht="15.75" thickBot="1" x14ac:dyDescent="0.3">
      <c r="A925" s="4" t="s">
        <v>33</v>
      </c>
      <c r="B925" s="5" t="s">
        <v>19</v>
      </c>
      <c r="C925" s="5" t="s">
        <v>23</v>
      </c>
      <c r="D925" s="5" t="s">
        <v>28</v>
      </c>
      <c r="E925" s="5" t="s">
        <v>10</v>
      </c>
      <c r="F925" s="5">
        <v>2402.8200000000002</v>
      </c>
    </row>
    <row r="926" spans="1:6" ht="30.75" thickBot="1" x14ac:dyDescent="0.3">
      <c r="A926" s="4" t="s">
        <v>168</v>
      </c>
      <c r="B926" s="5" t="s">
        <v>17</v>
      </c>
      <c r="C926" s="5" t="s">
        <v>13</v>
      </c>
      <c r="D926" s="5" t="s">
        <v>9</v>
      </c>
      <c r="E926" s="5" t="s">
        <v>10</v>
      </c>
      <c r="F926" s="5">
        <v>1465.512424</v>
      </c>
    </row>
    <row r="927" spans="1:6" ht="30.75" thickBot="1" x14ac:dyDescent="0.3">
      <c r="A927" s="4" t="s">
        <v>129</v>
      </c>
      <c r="B927" s="5" t="s">
        <v>17</v>
      </c>
      <c r="C927" s="5" t="s">
        <v>8</v>
      </c>
      <c r="D927" s="5" t="s">
        <v>9</v>
      </c>
      <c r="E927" s="5" t="s">
        <v>10</v>
      </c>
      <c r="F927" s="5">
        <v>4841.5442560000001</v>
      </c>
    </row>
    <row r="928" spans="1:6" ht="15.75" thickBot="1" x14ac:dyDescent="0.3">
      <c r="A928" s="4" t="s">
        <v>206</v>
      </c>
      <c r="B928" s="5" t="s">
        <v>19</v>
      </c>
      <c r="C928" s="5" t="s">
        <v>34</v>
      </c>
      <c r="D928" s="5" t="s">
        <v>28</v>
      </c>
      <c r="E928" s="5" t="s">
        <v>10</v>
      </c>
      <c r="F928" s="5">
        <v>3187.8</v>
      </c>
    </row>
    <row r="929" spans="1:6" ht="30.75" thickBot="1" x14ac:dyDescent="0.3">
      <c r="A929" s="4" t="s">
        <v>129</v>
      </c>
      <c r="B929" s="5" t="s">
        <v>17</v>
      </c>
      <c r="C929" s="5" t="s">
        <v>34</v>
      </c>
      <c r="D929" s="5" t="s">
        <v>28</v>
      </c>
      <c r="E929" s="5" t="s">
        <v>24</v>
      </c>
      <c r="F929" s="5">
        <v>4547.92</v>
      </c>
    </row>
    <row r="930" spans="1:6" ht="15.75" thickBot="1" x14ac:dyDescent="0.3">
      <c r="A930" s="4" t="s">
        <v>135</v>
      </c>
      <c r="B930" s="5" t="s">
        <v>12</v>
      </c>
      <c r="C930" s="5" t="s">
        <v>13</v>
      </c>
      <c r="D930" s="5" t="s">
        <v>9</v>
      </c>
      <c r="E930" s="5" t="s">
        <v>10</v>
      </c>
      <c r="F930" s="5">
        <v>4751.75</v>
      </c>
    </row>
    <row r="931" spans="1:6" ht="15.75" thickBot="1" x14ac:dyDescent="0.3">
      <c r="A931" s="4" t="s">
        <v>49</v>
      </c>
      <c r="B931" s="5" t="s">
        <v>19</v>
      </c>
      <c r="C931" s="5" t="s">
        <v>13</v>
      </c>
      <c r="D931" s="5" t="s">
        <v>28</v>
      </c>
      <c r="E931" s="5" t="s">
        <v>10</v>
      </c>
      <c r="F931" s="5">
        <v>3218.33</v>
      </c>
    </row>
    <row r="932" spans="1:6" ht="15.75" thickBot="1" x14ac:dyDescent="0.3">
      <c r="A932" s="4" t="s">
        <v>177</v>
      </c>
      <c r="B932" s="5" t="s">
        <v>7</v>
      </c>
      <c r="C932" s="5" t="s">
        <v>23</v>
      </c>
      <c r="D932" s="5" t="s">
        <v>14</v>
      </c>
      <c r="E932" s="5" t="s">
        <v>24</v>
      </c>
      <c r="F932" s="5">
        <v>107.49</v>
      </c>
    </row>
    <row r="933" spans="1:6" ht="15.75" thickBot="1" x14ac:dyDescent="0.3">
      <c r="A933" s="4" t="s">
        <v>159</v>
      </c>
      <c r="B933" s="5" t="s">
        <v>7</v>
      </c>
      <c r="C933" s="5" t="s">
        <v>8</v>
      </c>
      <c r="D933" s="5" t="s">
        <v>28</v>
      </c>
      <c r="E933" s="5" t="s">
        <v>15</v>
      </c>
      <c r="F933" s="5">
        <v>4162.1899999999996</v>
      </c>
    </row>
    <row r="934" spans="1:6" ht="15.75" thickBot="1" x14ac:dyDescent="0.3">
      <c r="A934" s="4" t="s">
        <v>172</v>
      </c>
      <c r="B934" s="5" t="s">
        <v>7</v>
      </c>
      <c r="C934" s="5" t="s">
        <v>13</v>
      </c>
      <c r="D934" s="5" t="s">
        <v>14</v>
      </c>
      <c r="E934" s="5" t="s">
        <v>10</v>
      </c>
      <c r="F934" s="5">
        <v>1795.35</v>
      </c>
    </row>
    <row r="935" spans="1:6" ht="15.75" thickBot="1" x14ac:dyDescent="0.3">
      <c r="A935" s="4" t="s">
        <v>163</v>
      </c>
      <c r="B935" s="5" t="s">
        <v>19</v>
      </c>
      <c r="C935" s="5" t="s">
        <v>13</v>
      </c>
      <c r="D935" s="5" t="s">
        <v>14</v>
      </c>
      <c r="E935" s="5" t="s">
        <v>24</v>
      </c>
      <c r="F935" s="5">
        <v>930.97</v>
      </c>
    </row>
    <row r="936" spans="1:6" ht="30.75" thickBot="1" x14ac:dyDescent="0.3">
      <c r="A936" s="4" t="s">
        <v>143</v>
      </c>
      <c r="B936" s="5" t="s">
        <v>17</v>
      </c>
      <c r="C936" s="5" t="s">
        <v>23</v>
      </c>
      <c r="D936" s="5" t="s">
        <v>9</v>
      </c>
      <c r="E936" s="5" t="s">
        <v>10</v>
      </c>
      <c r="F936" s="5">
        <v>1962.973495</v>
      </c>
    </row>
    <row r="937" spans="1:6" ht="15.75" thickBot="1" x14ac:dyDescent="0.3">
      <c r="A937" s="4" t="s">
        <v>181</v>
      </c>
      <c r="B937" s="5" t="s">
        <v>30</v>
      </c>
      <c r="C937" s="5" t="s">
        <v>23</v>
      </c>
      <c r="D937" s="5" t="s">
        <v>14</v>
      </c>
      <c r="E937" s="5" t="s">
        <v>10</v>
      </c>
      <c r="F937" s="5">
        <v>4615.88</v>
      </c>
    </row>
    <row r="938" spans="1:6" ht="15.75" thickBot="1" x14ac:dyDescent="0.3">
      <c r="A938" s="4" t="s">
        <v>146</v>
      </c>
      <c r="B938" s="5" t="s">
        <v>7</v>
      </c>
      <c r="C938" s="5" t="s">
        <v>34</v>
      </c>
      <c r="D938" s="5" t="s">
        <v>28</v>
      </c>
      <c r="E938" s="5" t="s">
        <v>15</v>
      </c>
      <c r="F938" s="5">
        <v>1530.83</v>
      </c>
    </row>
    <row r="939" spans="1:6" ht="15.75" thickBot="1" x14ac:dyDescent="0.3">
      <c r="A939" s="4" t="s">
        <v>173</v>
      </c>
      <c r="B939" s="5" t="s">
        <v>30</v>
      </c>
      <c r="C939" s="5" t="s">
        <v>23</v>
      </c>
      <c r="D939" s="5" t="s">
        <v>9</v>
      </c>
      <c r="E939" s="5" t="s">
        <v>10</v>
      </c>
      <c r="F939" s="5">
        <v>2440.987615</v>
      </c>
    </row>
    <row r="940" spans="1:6" ht="15.75" thickBot="1" x14ac:dyDescent="0.3">
      <c r="A940" s="4" t="s">
        <v>121</v>
      </c>
      <c r="B940" s="5" t="s">
        <v>30</v>
      </c>
      <c r="C940" s="5" t="s">
        <v>8</v>
      </c>
      <c r="D940" s="5" t="s">
        <v>28</v>
      </c>
      <c r="E940" s="5" t="s">
        <v>24</v>
      </c>
      <c r="F940" s="5">
        <v>1674.72</v>
      </c>
    </row>
    <row r="941" spans="1:6" ht="15.75" thickBot="1" x14ac:dyDescent="0.3">
      <c r="A941" s="4" t="s">
        <v>50</v>
      </c>
      <c r="B941" s="5" t="s">
        <v>19</v>
      </c>
      <c r="C941" s="5" t="s">
        <v>13</v>
      </c>
      <c r="D941" s="5" t="s">
        <v>28</v>
      </c>
      <c r="E941" s="5" t="s">
        <v>15</v>
      </c>
      <c r="F941" s="5">
        <v>3245.74</v>
      </c>
    </row>
    <row r="942" spans="1:6" ht="15.75" thickBot="1" x14ac:dyDescent="0.3">
      <c r="A942" s="4" t="s">
        <v>214</v>
      </c>
      <c r="B942" s="5" t="s">
        <v>30</v>
      </c>
      <c r="C942" s="5" t="s">
        <v>8</v>
      </c>
      <c r="D942" s="5" t="s">
        <v>28</v>
      </c>
      <c r="E942" s="5" t="s">
        <v>15</v>
      </c>
      <c r="F942" s="5">
        <v>3114.72</v>
      </c>
    </row>
    <row r="943" spans="1:6" ht="15.75" thickBot="1" x14ac:dyDescent="0.3">
      <c r="A943" s="4" t="s">
        <v>101</v>
      </c>
      <c r="B943" s="5" t="s">
        <v>19</v>
      </c>
      <c r="C943" s="5" t="s">
        <v>13</v>
      </c>
      <c r="D943" s="5" t="s">
        <v>14</v>
      </c>
      <c r="E943" s="5" t="s">
        <v>15</v>
      </c>
      <c r="F943" s="5">
        <v>2078.6799999999998</v>
      </c>
    </row>
    <row r="944" spans="1:6" ht="30.75" thickBot="1" x14ac:dyDescent="0.3">
      <c r="A944" s="4" t="s">
        <v>137</v>
      </c>
      <c r="B944" s="5" t="s">
        <v>17</v>
      </c>
      <c r="C944" s="5" t="s">
        <v>8</v>
      </c>
      <c r="D944" s="5" t="s">
        <v>28</v>
      </c>
      <c r="E944" s="5" t="s">
        <v>15</v>
      </c>
      <c r="F944" s="5">
        <v>2458.83</v>
      </c>
    </row>
    <row r="945" spans="1:6" ht="15.75" thickBot="1" x14ac:dyDescent="0.3">
      <c r="A945" s="4" t="s">
        <v>126</v>
      </c>
      <c r="B945" s="5" t="s">
        <v>30</v>
      </c>
      <c r="C945" s="5" t="s">
        <v>23</v>
      </c>
      <c r="D945" s="5" t="s">
        <v>14</v>
      </c>
      <c r="E945" s="5" t="s">
        <v>15</v>
      </c>
      <c r="F945" s="5">
        <v>3902.33</v>
      </c>
    </row>
    <row r="946" spans="1:6" ht="15.75" thickBot="1" x14ac:dyDescent="0.3">
      <c r="A946" s="4" t="s">
        <v>22</v>
      </c>
      <c r="B946" s="5" t="s">
        <v>12</v>
      </c>
      <c r="C946" s="5" t="s">
        <v>23</v>
      </c>
      <c r="D946" s="5" t="s">
        <v>9</v>
      </c>
      <c r="E946" s="5" t="s">
        <v>10</v>
      </c>
      <c r="F946" s="5">
        <v>3436.6858299999999</v>
      </c>
    </row>
    <row r="947" spans="1:6" ht="30.75" thickBot="1" x14ac:dyDescent="0.3">
      <c r="A947" s="4" t="s">
        <v>133</v>
      </c>
      <c r="B947" s="5" t="s">
        <v>17</v>
      </c>
      <c r="C947" s="5" t="s">
        <v>23</v>
      </c>
      <c r="D947" s="5" t="s">
        <v>28</v>
      </c>
      <c r="E947" s="5" t="s">
        <v>24</v>
      </c>
      <c r="F947" s="5">
        <v>3373.97</v>
      </c>
    </row>
    <row r="948" spans="1:6" ht="15.75" thickBot="1" x14ac:dyDescent="0.3">
      <c r="A948" s="4" t="s">
        <v>202</v>
      </c>
      <c r="B948" s="5" t="s">
        <v>12</v>
      </c>
      <c r="C948" s="5" t="s">
        <v>8</v>
      </c>
      <c r="D948" s="5" t="s">
        <v>14</v>
      </c>
      <c r="E948" s="5" t="s">
        <v>15</v>
      </c>
      <c r="F948" s="5">
        <v>2524.3200000000002</v>
      </c>
    </row>
    <row r="949" spans="1:6" ht="15.75" thickBot="1" x14ac:dyDescent="0.3">
      <c r="A949" s="4" t="s">
        <v>67</v>
      </c>
      <c r="B949" s="5" t="s">
        <v>7</v>
      </c>
      <c r="C949" s="5" t="s">
        <v>13</v>
      </c>
      <c r="D949" s="5" t="s">
        <v>28</v>
      </c>
      <c r="E949" s="5" t="s">
        <v>24</v>
      </c>
      <c r="F949" s="5">
        <v>4152.62</v>
      </c>
    </row>
    <row r="950" spans="1:6" ht="15.75" thickBot="1" x14ac:dyDescent="0.3">
      <c r="A950" s="4" t="s">
        <v>159</v>
      </c>
      <c r="B950" s="5" t="s">
        <v>7</v>
      </c>
      <c r="C950" s="5" t="s">
        <v>13</v>
      </c>
      <c r="D950" s="5" t="s">
        <v>9</v>
      </c>
      <c r="E950" s="5" t="s">
        <v>15</v>
      </c>
      <c r="F950" s="5">
        <v>5429.1162919999997</v>
      </c>
    </row>
    <row r="951" spans="1:6" ht="15.75" thickBot="1" x14ac:dyDescent="0.3">
      <c r="A951" s="4" t="s">
        <v>193</v>
      </c>
      <c r="B951" s="5" t="s">
        <v>12</v>
      </c>
      <c r="C951" s="5" t="s">
        <v>23</v>
      </c>
      <c r="D951" s="5" t="s">
        <v>9</v>
      </c>
      <c r="E951" s="5" t="s">
        <v>24</v>
      </c>
      <c r="F951" s="5">
        <v>4835.4238480000004</v>
      </c>
    </row>
    <row r="952" spans="1:6" ht="15.75" thickBot="1" x14ac:dyDescent="0.3">
      <c r="A952" s="4" t="s">
        <v>101</v>
      </c>
      <c r="B952" s="5" t="s">
        <v>19</v>
      </c>
      <c r="C952" s="5" t="s">
        <v>23</v>
      </c>
      <c r="D952" s="5" t="s">
        <v>28</v>
      </c>
      <c r="E952" s="5" t="s">
        <v>15</v>
      </c>
      <c r="F952" s="5">
        <v>783.3</v>
      </c>
    </row>
    <row r="953" spans="1:6" ht="15.75" thickBot="1" x14ac:dyDescent="0.3">
      <c r="A953" s="4" t="s">
        <v>112</v>
      </c>
      <c r="B953" s="5" t="s">
        <v>30</v>
      </c>
      <c r="C953" s="5" t="s">
        <v>8</v>
      </c>
      <c r="D953" s="5" t="s">
        <v>28</v>
      </c>
      <c r="E953" s="5" t="s">
        <v>24</v>
      </c>
      <c r="F953" s="5">
        <v>4038.18</v>
      </c>
    </row>
    <row r="954" spans="1:6" ht="30.75" thickBot="1" x14ac:dyDescent="0.3">
      <c r="A954" s="4" t="s">
        <v>140</v>
      </c>
      <c r="B954" s="5" t="s">
        <v>17</v>
      </c>
      <c r="C954" s="5" t="s">
        <v>13</v>
      </c>
      <c r="D954" s="5" t="s">
        <v>9</v>
      </c>
      <c r="E954" s="5" t="s">
        <v>10</v>
      </c>
      <c r="F954" s="5">
        <v>4925.5299789999999</v>
      </c>
    </row>
    <row r="955" spans="1:6" ht="30.75" thickBot="1" x14ac:dyDescent="0.3">
      <c r="A955" s="4" t="s">
        <v>20</v>
      </c>
      <c r="B955" s="5" t="s">
        <v>17</v>
      </c>
      <c r="C955" s="5" t="s">
        <v>23</v>
      </c>
      <c r="D955" s="5" t="s">
        <v>9</v>
      </c>
      <c r="E955" s="5" t="s">
        <v>10</v>
      </c>
      <c r="F955" s="5">
        <v>2926.74557</v>
      </c>
    </row>
    <row r="956" spans="1:6" ht="15.75" thickBot="1" x14ac:dyDescent="0.3">
      <c r="A956" s="4" t="s">
        <v>170</v>
      </c>
      <c r="B956" s="5" t="s">
        <v>12</v>
      </c>
      <c r="C956" s="5" t="s">
        <v>8</v>
      </c>
      <c r="D956" s="5" t="s">
        <v>28</v>
      </c>
      <c r="E956" s="5" t="s">
        <v>15</v>
      </c>
      <c r="F956" s="5">
        <v>1931.14</v>
      </c>
    </row>
    <row r="957" spans="1:6" ht="30.75" thickBot="1" x14ac:dyDescent="0.3">
      <c r="A957" s="4" t="s">
        <v>80</v>
      </c>
      <c r="B957" s="5" t="s">
        <v>17</v>
      </c>
      <c r="C957" s="5" t="s">
        <v>13</v>
      </c>
      <c r="D957" s="5" t="s">
        <v>9</v>
      </c>
      <c r="E957" s="5" t="s">
        <v>24</v>
      </c>
      <c r="F957" s="5">
        <v>3586.9128329999999</v>
      </c>
    </row>
    <row r="958" spans="1:6" ht="15.75" thickBot="1" x14ac:dyDescent="0.3">
      <c r="A958" s="4" t="s">
        <v>217</v>
      </c>
      <c r="B958" s="5" t="s">
        <v>19</v>
      </c>
      <c r="C958" s="5" t="s">
        <v>34</v>
      </c>
      <c r="D958" s="5" t="s">
        <v>14</v>
      </c>
      <c r="E958" s="5" t="s">
        <v>15</v>
      </c>
      <c r="F958" s="5">
        <v>2192.19</v>
      </c>
    </row>
    <row r="959" spans="1:6" ht="15.75" thickBot="1" x14ac:dyDescent="0.3">
      <c r="A959" s="4" t="s">
        <v>55</v>
      </c>
      <c r="B959" s="5" t="s">
        <v>12</v>
      </c>
      <c r="C959" s="5" t="s">
        <v>34</v>
      </c>
      <c r="D959" s="5" t="s">
        <v>28</v>
      </c>
      <c r="E959" s="5" t="s">
        <v>15</v>
      </c>
      <c r="F959" s="5">
        <v>3113.98</v>
      </c>
    </row>
    <row r="960" spans="1:6" ht="30.75" thickBot="1" x14ac:dyDescent="0.3">
      <c r="A960" s="4" t="s">
        <v>142</v>
      </c>
      <c r="B960" s="5" t="s">
        <v>17</v>
      </c>
      <c r="C960" s="5" t="s">
        <v>34</v>
      </c>
      <c r="D960" s="5" t="s">
        <v>9</v>
      </c>
      <c r="E960" s="5" t="s">
        <v>10</v>
      </c>
      <c r="F960" s="5">
        <v>4943.0830340000002</v>
      </c>
    </row>
    <row r="961" spans="1:6" ht="15.75" thickBot="1" x14ac:dyDescent="0.3">
      <c r="A961" s="4" t="s">
        <v>214</v>
      </c>
      <c r="B961" s="5" t="s">
        <v>30</v>
      </c>
      <c r="C961" s="5" t="s">
        <v>8</v>
      </c>
      <c r="D961" s="5" t="s">
        <v>14</v>
      </c>
      <c r="E961" s="5" t="s">
        <v>15</v>
      </c>
      <c r="F961" s="5">
        <v>4608.99</v>
      </c>
    </row>
    <row r="962" spans="1:6" ht="15.75" thickBot="1" x14ac:dyDescent="0.3">
      <c r="A962" s="4" t="s">
        <v>56</v>
      </c>
      <c r="B962" s="5" t="s">
        <v>19</v>
      </c>
      <c r="C962" s="5" t="s">
        <v>13</v>
      </c>
      <c r="D962" s="5" t="s">
        <v>28</v>
      </c>
      <c r="E962" s="5" t="s">
        <v>15</v>
      </c>
      <c r="F962" s="5">
        <v>548.27</v>
      </c>
    </row>
    <row r="963" spans="1:6" ht="15.75" thickBot="1" x14ac:dyDescent="0.3">
      <c r="A963" s="4" t="s">
        <v>61</v>
      </c>
      <c r="B963" s="5" t="s">
        <v>30</v>
      </c>
      <c r="C963" s="5" t="s">
        <v>8</v>
      </c>
      <c r="D963" s="5" t="s">
        <v>9</v>
      </c>
      <c r="E963" s="5" t="s">
        <v>10</v>
      </c>
      <c r="F963" s="5">
        <v>2949.1193939999998</v>
      </c>
    </row>
    <row r="964" spans="1:6" ht="15.75" thickBot="1" x14ac:dyDescent="0.3">
      <c r="A964" s="4" t="s">
        <v>41</v>
      </c>
      <c r="B964" s="5" t="s">
        <v>30</v>
      </c>
      <c r="C964" s="5" t="s">
        <v>34</v>
      </c>
      <c r="D964" s="5" t="s">
        <v>9</v>
      </c>
      <c r="E964" s="5" t="s">
        <v>24</v>
      </c>
      <c r="F964" s="5">
        <v>2617.0703119999998</v>
      </c>
    </row>
    <row r="965" spans="1:6" ht="15.75" thickBot="1" x14ac:dyDescent="0.3">
      <c r="A965" s="4" t="s">
        <v>92</v>
      </c>
      <c r="B965" s="5" t="s">
        <v>30</v>
      </c>
      <c r="C965" s="5" t="s">
        <v>34</v>
      </c>
      <c r="D965" s="5" t="s">
        <v>14</v>
      </c>
      <c r="E965" s="5" t="s">
        <v>15</v>
      </c>
      <c r="F965" s="5">
        <v>4990.76</v>
      </c>
    </row>
    <row r="966" spans="1:6" ht="15.75" thickBot="1" x14ac:dyDescent="0.3">
      <c r="A966" s="4" t="s">
        <v>182</v>
      </c>
      <c r="B966" s="5" t="s">
        <v>12</v>
      </c>
      <c r="C966" s="5" t="s">
        <v>34</v>
      </c>
      <c r="D966" s="5" t="s">
        <v>28</v>
      </c>
      <c r="E966" s="5" t="s">
        <v>15</v>
      </c>
      <c r="F966" s="5">
        <v>922.25</v>
      </c>
    </row>
    <row r="967" spans="1:6" ht="15.75" thickBot="1" x14ac:dyDescent="0.3">
      <c r="A967" s="4" t="s">
        <v>68</v>
      </c>
      <c r="B967" s="5" t="s">
        <v>12</v>
      </c>
      <c r="C967" s="5" t="s">
        <v>23</v>
      </c>
      <c r="D967" s="5" t="s">
        <v>14</v>
      </c>
      <c r="E967" s="5" t="s">
        <v>15</v>
      </c>
      <c r="F967" s="5">
        <v>1919.35</v>
      </c>
    </row>
    <row r="968" spans="1:6" ht="15.75" thickBot="1" x14ac:dyDescent="0.3">
      <c r="A968" s="4" t="s">
        <v>192</v>
      </c>
      <c r="B968" s="5" t="s">
        <v>19</v>
      </c>
      <c r="C968" s="5" t="s">
        <v>34</v>
      </c>
      <c r="D968" s="5" t="s">
        <v>9</v>
      </c>
      <c r="E968" s="5" t="s">
        <v>24</v>
      </c>
      <c r="F968" s="5">
        <v>3296.9829679999998</v>
      </c>
    </row>
    <row r="969" spans="1:6" ht="15.75" thickBot="1" x14ac:dyDescent="0.3">
      <c r="A969" s="4" t="s">
        <v>102</v>
      </c>
      <c r="B969" s="5" t="s">
        <v>19</v>
      </c>
      <c r="C969" s="5" t="s">
        <v>13</v>
      </c>
      <c r="D969" s="5" t="s">
        <v>28</v>
      </c>
      <c r="E969" s="5" t="s">
        <v>24</v>
      </c>
      <c r="F969" s="5">
        <v>3879.07</v>
      </c>
    </row>
    <row r="970" spans="1:6" ht="15.75" thickBot="1" x14ac:dyDescent="0.3">
      <c r="A970" s="4" t="s">
        <v>177</v>
      </c>
      <c r="B970" s="5" t="s">
        <v>7</v>
      </c>
      <c r="C970" s="5" t="s">
        <v>23</v>
      </c>
      <c r="D970" s="5" t="s">
        <v>9</v>
      </c>
      <c r="E970" s="5" t="s">
        <v>15</v>
      </c>
      <c r="F970" s="5">
        <v>3326.9593620000001</v>
      </c>
    </row>
    <row r="971" spans="1:6" ht="15.75" thickBot="1" x14ac:dyDescent="0.3">
      <c r="A971" s="4" t="s">
        <v>113</v>
      </c>
      <c r="B971" s="5" t="s">
        <v>30</v>
      </c>
      <c r="C971" s="5" t="s">
        <v>13</v>
      </c>
      <c r="D971" s="5" t="s">
        <v>9</v>
      </c>
      <c r="E971" s="5" t="s">
        <v>15</v>
      </c>
      <c r="F971" s="5">
        <v>2620.3764460000002</v>
      </c>
    </row>
    <row r="972" spans="1:6" ht="15.75" thickBot="1" x14ac:dyDescent="0.3">
      <c r="A972" s="4" t="s">
        <v>100</v>
      </c>
      <c r="B972" s="5" t="s">
        <v>7</v>
      </c>
      <c r="C972" s="5" t="s">
        <v>23</v>
      </c>
      <c r="D972" s="5" t="s">
        <v>28</v>
      </c>
      <c r="E972" s="5" t="s">
        <v>10</v>
      </c>
      <c r="F972" s="5">
        <v>3511.53</v>
      </c>
    </row>
    <row r="973" spans="1:6" ht="15.75" thickBot="1" x14ac:dyDescent="0.3">
      <c r="A973" s="4" t="s">
        <v>200</v>
      </c>
      <c r="B973" s="5" t="s">
        <v>30</v>
      </c>
      <c r="C973" s="5" t="s">
        <v>8</v>
      </c>
      <c r="D973" s="5" t="s">
        <v>28</v>
      </c>
      <c r="E973" s="5" t="s">
        <v>15</v>
      </c>
      <c r="F973" s="5">
        <v>402.68</v>
      </c>
    </row>
    <row r="974" spans="1:6" ht="30.75" thickBot="1" x14ac:dyDescent="0.3">
      <c r="A974" s="4" t="s">
        <v>147</v>
      </c>
      <c r="B974" s="5" t="s">
        <v>17</v>
      </c>
      <c r="C974" s="5" t="s">
        <v>34</v>
      </c>
      <c r="D974" s="5" t="s">
        <v>14</v>
      </c>
      <c r="E974" s="5" t="s">
        <v>10</v>
      </c>
      <c r="F974" s="5">
        <v>3834.83</v>
      </c>
    </row>
    <row r="975" spans="1:6" ht="15.75" thickBot="1" x14ac:dyDescent="0.3">
      <c r="A975" s="4" t="s">
        <v>123</v>
      </c>
      <c r="B975" s="5" t="s">
        <v>30</v>
      </c>
      <c r="C975" s="5" t="s">
        <v>13</v>
      </c>
      <c r="D975" s="5" t="s">
        <v>14</v>
      </c>
      <c r="E975" s="5" t="s">
        <v>15</v>
      </c>
      <c r="F975" s="5">
        <v>2705.01</v>
      </c>
    </row>
    <row r="976" spans="1:6" ht="15.75" thickBot="1" x14ac:dyDescent="0.3">
      <c r="A976" s="4" t="s">
        <v>151</v>
      </c>
      <c r="B976" s="5" t="s">
        <v>12</v>
      </c>
      <c r="C976" s="5" t="s">
        <v>13</v>
      </c>
      <c r="D976" s="5" t="s">
        <v>14</v>
      </c>
      <c r="E976" s="5" t="s">
        <v>15</v>
      </c>
      <c r="F976" s="5">
        <v>2242.38</v>
      </c>
    </row>
    <row r="977" spans="1:6" ht="30.75" thickBot="1" x14ac:dyDescent="0.3">
      <c r="A977" s="4" t="s">
        <v>58</v>
      </c>
      <c r="B977" s="5" t="s">
        <v>17</v>
      </c>
      <c r="C977" s="5" t="s">
        <v>34</v>
      </c>
      <c r="D977" s="5" t="s">
        <v>9</v>
      </c>
      <c r="E977" s="5" t="s">
        <v>15</v>
      </c>
      <c r="F977" s="5">
        <v>1860.7437640000001</v>
      </c>
    </row>
    <row r="978" spans="1:6" ht="15.75" thickBot="1" x14ac:dyDescent="0.3">
      <c r="A978" s="4" t="s">
        <v>66</v>
      </c>
      <c r="B978" s="5" t="s">
        <v>30</v>
      </c>
      <c r="C978" s="5" t="s">
        <v>8</v>
      </c>
      <c r="D978" s="5" t="s">
        <v>28</v>
      </c>
      <c r="E978" s="5" t="s">
        <v>24</v>
      </c>
      <c r="F978" s="5">
        <v>2978.15</v>
      </c>
    </row>
    <row r="979" spans="1:6" ht="15.75" thickBot="1" x14ac:dyDescent="0.3">
      <c r="A979" s="4" t="s">
        <v>197</v>
      </c>
      <c r="B979" s="5" t="s">
        <v>30</v>
      </c>
      <c r="C979" s="5" t="s">
        <v>23</v>
      </c>
      <c r="D979" s="5" t="s">
        <v>28</v>
      </c>
      <c r="E979" s="5" t="s">
        <v>10</v>
      </c>
      <c r="F979" s="5">
        <v>1338.04</v>
      </c>
    </row>
    <row r="980" spans="1:6" ht="15.75" thickBot="1" x14ac:dyDescent="0.3">
      <c r="A980" s="4" t="s">
        <v>65</v>
      </c>
      <c r="B980" s="5" t="s">
        <v>30</v>
      </c>
      <c r="C980" s="5" t="s">
        <v>34</v>
      </c>
      <c r="D980" s="5" t="s">
        <v>28</v>
      </c>
      <c r="E980" s="5" t="s">
        <v>24</v>
      </c>
      <c r="F980" s="5">
        <v>2538.44</v>
      </c>
    </row>
    <row r="981" spans="1:6" ht="15.75" thickBot="1" x14ac:dyDescent="0.3">
      <c r="A981" s="4" t="s">
        <v>210</v>
      </c>
      <c r="B981" s="5" t="s">
        <v>7</v>
      </c>
      <c r="C981" s="5" t="s">
        <v>13</v>
      </c>
      <c r="D981" s="5" t="s">
        <v>28</v>
      </c>
      <c r="E981" s="5" t="s">
        <v>24</v>
      </c>
      <c r="F981" s="5">
        <v>1644.11</v>
      </c>
    </row>
    <row r="982" spans="1:6" ht="15.75" thickBot="1" x14ac:dyDescent="0.3">
      <c r="A982" s="4" t="s">
        <v>166</v>
      </c>
      <c r="B982" s="5" t="s">
        <v>7</v>
      </c>
      <c r="C982" s="5" t="s">
        <v>13</v>
      </c>
      <c r="D982" s="5" t="s">
        <v>14</v>
      </c>
      <c r="E982" s="5" t="s">
        <v>15</v>
      </c>
      <c r="F982" s="5">
        <v>3858.7</v>
      </c>
    </row>
    <row r="983" spans="1:6" ht="15.75" thickBot="1" x14ac:dyDescent="0.3">
      <c r="A983" s="4" t="s">
        <v>112</v>
      </c>
      <c r="B983" s="5" t="s">
        <v>30</v>
      </c>
      <c r="C983" s="5" t="s">
        <v>34</v>
      </c>
      <c r="D983" s="5" t="s">
        <v>28</v>
      </c>
      <c r="E983" s="5" t="s">
        <v>24</v>
      </c>
      <c r="F983" s="5">
        <v>2079.69</v>
      </c>
    </row>
    <row r="984" spans="1:6" ht="15.75" thickBot="1" x14ac:dyDescent="0.3">
      <c r="A984" s="4" t="s">
        <v>77</v>
      </c>
      <c r="B984" s="5" t="s">
        <v>30</v>
      </c>
      <c r="C984" s="5" t="s">
        <v>8</v>
      </c>
      <c r="D984" s="5" t="s">
        <v>28</v>
      </c>
      <c r="E984" s="5" t="s">
        <v>15</v>
      </c>
      <c r="F984" s="5">
        <v>439.97</v>
      </c>
    </row>
    <row r="985" spans="1:6" ht="15.75" thickBot="1" x14ac:dyDescent="0.3">
      <c r="A985" s="4" t="s">
        <v>176</v>
      </c>
      <c r="B985" s="5" t="s">
        <v>19</v>
      </c>
      <c r="C985" s="5" t="s">
        <v>23</v>
      </c>
      <c r="D985" s="5" t="s">
        <v>28</v>
      </c>
      <c r="E985" s="5" t="s">
        <v>10</v>
      </c>
      <c r="F985" s="5">
        <v>1486</v>
      </c>
    </row>
    <row r="986" spans="1:6" ht="15.75" thickBot="1" x14ac:dyDescent="0.3">
      <c r="A986" s="4" t="s">
        <v>179</v>
      </c>
      <c r="B986" s="5" t="s">
        <v>7</v>
      </c>
      <c r="C986" s="5" t="s">
        <v>23</v>
      </c>
      <c r="D986" s="5" t="s">
        <v>9</v>
      </c>
      <c r="E986" s="5" t="s">
        <v>24</v>
      </c>
      <c r="F986" s="5">
        <v>396.69632039999999</v>
      </c>
    </row>
    <row r="987" spans="1:6" ht="15.75" thickBot="1" x14ac:dyDescent="0.3">
      <c r="A987" s="4" t="s">
        <v>135</v>
      </c>
      <c r="B987" s="5" t="s">
        <v>12</v>
      </c>
      <c r="C987" s="5" t="s">
        <v>13</v>
      </c>
      <c r="D987" s="5" t="s">
        <v>9</v>
      </c>
      <c r="E987" s="5" t="s">
        <v>15</v>
      </c>
      <c r="F987" s="5">
        <v>1724.46</v>
      </c>
    </row>
    <row r="988" spans="1:6" ht="15.75" thickBot="1" x14ac:dyDescent="0.3">
      <c r="A988" s="4" t="s">
        <v>77</v>
      </c>
      <c r="B988" s="5" t="s">
        <v>30</v>
      </c>
      <c r="C988" s="5" t="s">
        <v>23</v>
      </c>
      <c r="D988" s="5" t="s">
        <v>28</v>
      </c>
      <c r="E988" s="5" t="s">
        <v>15</v>
      </c>
      <c r="F988" s="5">
        <v>3569.77</v>
      </c>
    </row>
    <row r="989" spans="1:6" ht="15.75" thickBot="1" x14ac:dyDescent="0.3">
      <c r="A989" s="4" t="s">
        <v>151</v>
      </c>
      <c r="B989" s="5" t="s">
        <v>12</v>
      </c>
      <c r="C989" s="5" t="s">
        <v>8</v>
      </c>
      <c r="D989" s="5" t="s">
        <v>14</v>
      </c>
      <c r="E989" s="5" t="s">
        <v>10</v>
      </c>
      <c r="F989" s="5">
        <v>1244.99</v>
      </c>
    </row>
    <row r="990" spans="1:6" ht="30.75" thickBot="1" x14ac:dyDescent="0.3">
      <c r="A990" s="4" t="s">
        <v>218</v>
      </c>
      <c r="B990" s="5" t="s">
        <v>17</v>
      </c>
      <c r="C990" s="5" t="s">
        <v>13</v>
      </c>
      <c r="D990" s="5" t="s">
        <v>9</v>
      </c>
      <c r="E990" s="5" t="s">
        <v>10</v>
      </c>
      <c r="F990" s="5">
        <v>4645.6365770000002</v>
      </c>
    </row>
    <row r="991" spans="1:6" ht="15.75" thickBot="1" x14ac:dyDescent="0.3">
      <c r="A991" s="4" t="s">
        <v>106</v>
      </c>
      <c r="B991" s="5" t="s">
        <v>12</v>
      </c>
      <c r="C991" s="5" t="s">
        <v>8</v>
      </c>
      <c r="D991" s="5" t="s">
        <v>9</v>
      </c>
      <c r="E991" s="5" t="s">
        <v>24</v>
      </c>
      <c r="F991" s="5">
        <v>3635.37</v>
      </c>
    </row>
    <row r="992" spans="1:6" ht="15.75" thickBot="1" x14ac:dyDescent="0.3">
      <c r="A992" s="4" t="s">
        <v>87</v>
      </c>
      <c r="B992" s="5" t="s">
        <v>12</v>
      </c>
      <c r="C992" s="5" t="s">
        <v>13</v>
      </c>
      <c r="D992" s="5" t="s">
        <v>9</v>
      </c>
      <c r="E992" s="5" t="s">
        <v>24</v>
      </c>
      <c r="F992" s="5">
        <v>4563.1180219999997</v>
      </c>
    </row>
    <row r="993" spans="1:6" ht="30.75" thickBot="1" x14ac:dyDescent="0.3">
      <c r="A993" s="4" t="s">
        <v>20</v>
      </c>
      <c r="B993" s="5" t="s">
        <v>17</v>
      </c>
      <c r="C993" s="5" t="s">
        <v>8</v>
      </c>
      <c r="D993" s="5" t="s">
        <v>9</v>
      </c>
      <c r="E993" s="5" t="s">
        <v>15</v>
      </c>
      <c r="F993" s="5">
        <v>1337.435551</v>
      </c>
    </row>
    <row r="994" spans="1:6" ht="30.75" thickBot="1" x14ac:dyDescent="0.3">
      <c r="A994" s="4" t="s">
        <v>136</v>
      </c>
      <c r="B994" s="5" t="s">
        <v>17</v>
      </c>
      <c r="C994" s="5" t="s">
        <v>23</v>
      </c>
      <c r="D994" s="5" t="s">
        <v>9</v>
      </c>
      <c r="E994" s="5" t="s">
        <v>24</v>
      </c>
      <c r="F994" s="5">
        <v>527.43320610000001</v>
      </c>
    </row>
    <row r="995" spans="1:6" ht="30.75" thickBot="1" x14ac:dyDescent="0.3">
      <c r="A995" s="4" t="s">
        <v>190</v>
      </c>
      <c r="B995" s="5" t="s">
        <v>17</v>
      </c>
      <c r="C995" s="5" t="s">
        <v>34</v>
      </c>
      <c r="D995" s="5" t="s">
        <v>14</v>
      </c>
      <c r="E995" s="5" t="s">
        <v>10</v>
      </c>
      <c r="F995" s="5">
        <v>1979.48</v>
      </c>
    </row>
    <row r="996" spans="1:6" ht="15.75" thickBot="1" x14ac:dyDescent="0.3">
      <c r="A996" s="4" t="s">
        <v>99</v>
      </c>
      <c r="B996" s="5" t="s">
        <v>19</v>
      </c>
      <c r="C996" s="5" t="s">
        <v>23</v>
      </c>
      <c r="D996" s="5" t="s">
        <v>9</v>
      </c>
      <c r="E996" s="5" t="s">
        <v>15</v>
      </c>
      <c r="F996" s="5">
        <v>2025.95</v>
      </c>
    </row>
    <row r="997" spans="1:6" ht="30.75" thickBot="1" x14ac:dyDescent="0.3">
      <c r="A997" s="4" t="s">
        <v>20</v>
      </c>
      <c r="B997" s="5" t="s">
        <v>17</v>
      </c>
      <c r="C997" s="5" t="s">
        <v>13</v>
      </c>
      <c r="D997" s="5" t="s">
        <v>28</v>
      </c>
      <c r="E997" s="5" t="s">
        <v>15</v>
      </c>
      <c r="F997" s="5">
        <v>4195.17</v>
      </c>
    </row>
    <row r="998" spans="1:6" ht="15.75" thickBot="1" x14ac:dyDescent="0.3">
      <c r="A998" s="4" t="s">
        <v>125</v>
      </c>
      <c r="B998" s="5" t="s">
        <v>7</v>
      </c>
      <c r="C998" s="5" t="s">
        <v>8</v>
      </c>
      <c r="D998" s="5" t="s">
        <v>28</v>
      </c>
      <c r="E998" s="5" t="s">
        <v>24</v>
      </c>
      <c r="F998" s="5">
        <v>2104.08</v>
      </c>
    </row>
    <row r="999" spans="1:6" ht="15.75" thickBot="1" x14ac:dyDescent="0.3">
      <c r="A999" s="4" t="s">
        <v>49</v>
      </c>
      <c r="B999" s="5" t="s">
        <v>19</v>
      </c>
      <c r="C999" s="5" t="s">
        <v>8</v>
      </c>
      <c r="D999" s="5" t="s">
        <v>28</v>
      </c>
      <c r="E999" s="5" t="s">
        <v>15</v>
      </c>
      <c r="F999" s="5">
        <v>4229.93</v>
      </c>
    </row>
    <row r="1000" spans="1:6" ht="30.75" thickBot="1" x14ac:dyDescent="0.3">
      <c r="A1000" s="4" t="s">
        <v>143</v>
      </c>
      <c r="B1000" s="5" t="s">
        <v>17</v>
      </c>
      <c r="C1000" s="5" t="s">
        <v>8</v>
      </c>
      <c r="D1000" s="5" t="s">
        <v>14</v>
      </c>
      <c r="E1000" s="5" t="s">
        <v>15</v>
      </c>
      <c r="F1000" s="5">
        <v>3136.15</v>
      </c>
    </row>
    <row r="1001" spans="1:6" ht="15.75" thickBot="1" x14ac:dyDescent="0.3">
      <c r="A1001" s="4" t="s">
        <v>182</v>
      </c>
      <c r="B1001" s="5" t="s">
        <v>12</v>
      </c>
      <c r="C1001" s="5" t="s">
        <v>34</v>
      </c>
      <c r="D1001" s="5" t="s">
        <v>9</v>
      </c>
      <c r="E1001" s="5" t="s">
        <v>24</v>
      </c>
      <c r="F1001" s="5">
        <v>1959.3291340000001</v>
      </c>
    </row>
    <row r="1002" spans="1:6" ht="15.75" thickBot="1" x14ac:dyDescent="0.3">
      <c r="A1002" s="4" t="s">
        <v>134</v>
      </c>
      <c r="B1002" s="5" t="s">
        <v>7</v>
      </c>
      <c r="C1002" s="5" t="s">
        <v>8</v>
      </c>
      <c r="D1002" s="5" t="s">
        <v>9</v>
      </c>
      <c r="E1002" s="5" t="s">
        <v>24</v>
      </c>
      <c r="F1002" s="5">
        <v>1221.953049</v>
      </c>
    </row>
    <row r="1003" spans="1:6" ht="15.75" thickBot="1" x14ac:dyDescent="0.3">
      <c r="A1003" s="4" t="s">
        <v>92</v>
      </c>
      <c r="B1003" s="5" t="s">
        <v>30</v>
      </c>
      <c r="C1003" s="5" t="s">
        <v>13</v>
      </c>
      <c r="D1003" s="5" t="s">
        <v>28</v>
      </c>
      <c r="E1003" s="5" t="s">
        <v>10</v>
      </c>
      <c r="F1003" s="5">
        <v>300.75</v>
      </c>
    </row>
    <row r="1004" spans="1:6" ht="15.75" thickBot="1" x14ac:dyDescent="0.3">
      <c r="A1004" s="4" t="s">
        <v>107</v>
      </c>
      <c r="B1004" s="5" t="s">
        <v>30</v>
      </c>
      <c r="C1004" s="5" t="s">
        <v>23</v>
      </c>
      <c r="D1004" s="5" t="s">
        <v>28</v>
      </c>
      <c r="E1004" s="5" t="s">
        <v>24</v>
      </c>
      <c r="F1004" s="5">
        <v>4099.18</v>
      </c>
    </row>
    <row r="1005" spans="1:6" ht="15.75" thickBot="1" x14ac:dyDescent="0.3">
      <c r="A1005" s="4" t="s">
        <v>50</v>
      </c>
      <c r="B1005" s="5" t="s">
        <v>19</v>
      </c>
      <c r="C1005" s="5" t="s">
        <v>13</v>
      </c>
      <c r="D1005" s="5" t="s">
        <v>14</v>
      </c>
      <c r="E1005" s="5" t="s">
        <v>10</v>
      </c>
      <c r="F1005" s="5">
        <v>104.53</v>
      </c>
    </row>
    <row r="1006" spans="1:6" ht="15.75" thickBot="1" x14ac:dyDescent="0.3">
      <c r="A1006" s="4" t="s">
        <v>172</v>
      </c>
      <c r="B1006" s="5" t="s">
        <v>7</v>
      </c>
      <c r="C1006" s="5" t="s">
        <v>34</v>
      </c>
      <c r="D1006" s="5" t="s">
        <v>14</v>
      </c>
      <c r="E1006" s="5" t="s">
        <v>24</v>
      </c>
      <c r="F1006" s="5">
        <v>2781</v>
      </c>
    </row>
    <row r="1007" spans="1:6" ht="30.75" thickBot="1" x14ac:dyDescent="0.3">
      <c r="A1007" s="4" t="s">
        <v>20</v>
      </c>
      <c r="B1007" s="5" t="s">
        <v>17</v>
      </c>
      <c r="C1007" s="5" t="s">
        <v>23</v>
      </c>
      <c r="D1007" s="5" t="s">
        <v>9</v>
      </c>
      <c r="E1007" s="5" t="s">
        <v>24</v>
      </c>
      <c r="F1007" s="5">
        <v>3597.303453</v>
      </c>
    </row>
    <row r="1008" spans="1:6" ht="15.75" thickBot="1" x14ac:dyDescent="0.3">
      <c r="A1008" s="4" t="s">
        <v>174</v>
      </c>
      <c r="B1008" s="5" t="s">
        <v>19</v>
      </c>
      <c r="C1008" s="5" t="s">
        <v>23</v>
      </c>
      <c r="D1008" s="5" t="s">
        <v>28</v>
      </c>
      <c r="E1008" s="5" t="s">
        <v>24</v>
      </c>
      <c r="F1008" s="5">
        <v>2055.7399999999998</v>
      </c>
    </row>
    <row r="1009" spans="1:6" ht="15.75" thickBot="1" x14ac:dyDescent="0.3">
      <c r="A1009" s="4" t="s">
        <v>167</v>
      </c>
      <c r="B1009" s="5" t="s">
        <v>30</v>
      </c>
      <c r="C1009" s="5" t="s">
        <v>23</v>
      </c>
      <c r="D1009" s="5" t="s">
        <v>14</v>
      </c>
      <c r="E1009" s="5" t="s">
        <v>10</v>
      </c>
      <c r="F1009" s="5">
        <v>437.58</v>
      </c>
    </row>
    <row r="1010" spans="1:6" ht="15.75" thickBot="1" x14ac:dyDescent="0.3">
      <c r="A1010" s="4" t="s">
        <v>185</v>
      </c>
      <c r="B1010" s="5" t="s">
        <v>30</v>
      </c>
      <c r="C1010" s="5" t="s">
        <v>13</v>
      </c>
      <c r="D1010" s="5" t="s">
        <v>28</v>
      </c>
      <c r="E1010" s="5" t="s">
        <v>10</v>
      </c>
      <c r="F1010" s="5">
        <v>3087.52</v>
      </c>
    </row>
    <row r="1011" spans="1:6" ht="30.75" thickBot="1" x14ac:dyDescent="0.3">
      <c r="A1011" s="4" t="s">
        <v>190</v>
      </c>
      <c r="B1011" s="5" t="s">
        <v>17</v>
      </c>
      <c r="C1011" s="5" t="s">
        <v>13</v>
      </c>
      <c r="D1011" s="5" t="s">
        <v>9</v>
      </c>
      <c r="E1011" s="5" t="s">
        <v>10</v>
      </c>
      <c r="F1011" s="5">
        <v>2226.371185</v>
      </c>
    </row>
    <row r="1012" spans="1:6" ht="15.75" thickBot="1" x14ac:dyDescent="0.3">
      <c r="A1012" s="4" t="s">
        <v>211</v>
      </c>
      <c r="B1012" s="5" t="s">
        <v>7</v>
      </c>
      <c r="C1012" s="5" t="s">
        <v>8</v>
      </c>
      <c r="D1012" s="5" t="s">
        <v>28</v>
      </c>
      <c r="E1012" s="5" t="s">
        <v>10</v>
      </c>
      <c r="F1012" s="5">
        <v>769.29</v>
      </c>
    </row>
    <row r="1013" spans="1:6" ht="15.75" thickBot="1" x14ac:dyDescent="0.3">
      <c r="A1013" s="4" t="s">
        <v>27</v>
      </c>
      <c r="B1013" s="5" t="s">
        <v>12</v>
      </c>
      <c r="C1013" s="5" t="s">
        <v>23</v>
      </c>
      <c r="D1013" s="5" t="s">
        <v>28</v>
      </c>
      <c r="E1013" s="5" t="s">
        <v>24</v>
      </c>
      <c r="F1013" s="5">
        <v>3008.89</v>
      </c>
    </row>
    <row r="1014" spans="1:6" ht="15.75" thickBot="1" x14ac:dyDescent="0.3">
      <c r="A1014" s="4" t="s">
        <v>121</v>
      </c>
      <c r="B1014" s="5" t="s">
        <v>30</v>
      </c>
      <c r="C1014" s="5" t="s">
        <v>34</v>
      </c>
      <c r="D1014" s="5" t="s">
        <v>9</v>
      </c>
      <c r="E1014" s="5" t="s">
        <v>10</v>
      </c>
      <c r="F1014" s="5">
        <v>1802.2968639999999</v>
      </c>
    </row>
    <row r="1015" spans="1:6" ht="15.75" thickBot="1" x14ac:dyDescent="0.3">
      <c r="A1015" s="4" t="s">
        <v>121</v>
      </c>
      <c r="B1015" s="5" t="s">
        <v>30</v>
      </c>
      <c r="C1015" s="5" t="s">
        <v>34</v>
      </c>
      <c r="D1015" s="5" t="s">
        <v>28</v>
      </c>
      <c r="E1015" s="5" t="s">
        <v>10</v>
      </c>
      <c r="F1015" s="5">
        <v>3707.94</v>
      </c>
    </row>
    <row r="1016" spans="1:6" ht="15.75" thickBot="1" x14ac:dyDescent="0.3">
      <c r="A1016" s="4" t="s">
        <v>128</v>
      </c>
      <c r="B1016" s="5" t="s">
        <v>12</v>
      </c>
      <c r="C1016" s="5" t="s">
        <v>13</v>
      </c>
      <c r="D1016" s="5" t="s">
        <v>9</v>
      </c>
      <c r="E1016" s="5" t="s">
        <v>10</v>
      </c>
      <c r="F1016" s="5">
        <v>3134.2444770000002</v>
      </c>
    </row>
    <row r="1017" spans="1:6" ht="15.75" thickBot="1" x14ac:dyDescent="0.3">
      <c r="A1017" s="4" t="s">
        <v>29</v>
      </c>
      <c r="B1017" s="5" t="s">
        <v>30</v>
      </c>
      <c r="C1017" s="5" t="s">
        <v>23</v>
      </c>
      <c r="D1017" s="5" t="s">
        <v>28</v>
      </c>
      <c r="E1017" s="5" t="s">
        <v>15</v>
      </c>
      <c r="F1017" s="5">
        <v>1671.05</v>
      </c>
    </row>
    <row r="1018" spans="1:6" ht="15.75" thickBot="1" x14ac:dyDescent="0.3">
      <c r="A1018" s="4" t="s">
        <v>90</v>
      </c>
      <c r="B1018" s="5" t="s">
        <v>19</v>
      </c>
      <c r="C1018" s="5" t="s">
        <v>8</v>
      </c>
      <c r="D1018" s="5" t="s">
        <v>9</v>
      </c>
      <c r="E1018" s="5" t="s">
        <v>15</v>
      </c>
      <c r="F1018" s="5">
        <v>456.60088710000002</v>
      </c>
    </row>
    <row r="1019" spans="1:6" ht="30.75" thickBot="1" x14ac:dyDescent="0.3">
      <c r="A1019" s="4" t="s">
        <v>140</v>
      </c>
      <c r="B1019" s="5" t="s">
        <v>17</v>
      </c>
      <c r="C1019" s="5" t="s">
        <v>8</v>
      </c>
      <c r="D1019" s="5" t="s">
        <v>14</v>
      </c>
      <c r="E1019" s="5" t="s">
        <v>10</v>
      </c>
      <c r="F1019" s="5">
        <v>4237.93</v>
      </c>
    </row>
    <row r="1020" spans="1:6" ht="15.75" thickBot="1" x14ac:dyDescent="0.3">
      <c r="A1020" s="4" t="s">
        <v>203</v>
      </c>
      <c r="B1020" s="5" t="s">
        <v>12</v>
      </c>
      <c r="C1020" s="5" t="s">
        <v>23</v>
      </c>
      <c r="D1020" s="5" t="s">
        <v>9</v>
      </c>
      <c r="E1020" s="5" t="s">
        <v>24</v>
      </c>
      <c r="F1020" s="5">
        <v>4750.1918850000002</v>
      </c>
    </row>
    <row r="1021" spans="1:6" ht="30.75" thickBot="1" x14ac:dyDescent="0.3">
      <c r="A1021" s="4" t="s">
        <v>215</v>
      </c>
      <c r="B1021" s="5" t="s">
        <v>17</v>
      </c>
      <c r="C1021" s="5" t="s">
        <v>23</v>
      </c>
      <c r="D1021" s="5" t="s">
        <v>28</v>
      </c>
      <c r="E1021" s="5" t="s">
        <v>10</v>
      </c>
      <c r="F1021" s="5">
        <v>3912.43</v>
      </c>
    </row>
    <row r="1022" spans="1:6" ht="15.75" thickBot="1" x14ac:dyDescent="0.3">
      <c r="A1022" s="4" t="s">
        <v>50</v>
      </c>
      <c r="B1022" s="5" t="s">
        <v>19</v>
      </c>
      <c r="C1022" s="5" t="s">
        <v>23</v>
      </c>
      <c r="D1022" s="5" t="s">
        <v>14</v>
      </c>
      <c r="E1022" s="5" t="s">
        <v>15</v>
      </c>
      <c r="F1022" s="5">
        <v>349.13</v>
      </c>
    </row>
    <row r="1023" spans="1:6" ht="15.75" thickBot="1" x14ac:dyDescent="0.3">
      <c r="A1023" s="4" t="s">
        <v>35</v>
      </c>
      <c r="B1023" s="5" t="s">
        <v>19</v>
      </c>
      <c r="C1023" s="5" t="s">
        <v>13</v>
      </c>
      <c r="D1023" s="5" t="s">
        <v>28</v>
      </c>
      <c r="E1023" s="5" t="s">
        <v>24</v>
      </c>
      <c r="F1023" s="5">
        <v>3133.74</v>
      </c>
    </row>
    <row r="1024" spans="1:6" ht="15.75" thickBot="1" x14ac:dyDescent="0.3">
      <c r="A1024" s="4" t="s">
        <v>50</v>
      </c>
      <c r="B1024" s="5" t="s">
        <v>19</v>
      </c>
      <c r="C1024" s="5" t="s">
        <v>34</v>
      </c>
      <c r="D1024" s="5" t="s">
        <v>28</v>
      </c>
      <c r="E1024" s="5" t="s">
        <v>10</v>
      </c>
      <c r="F1024" s="5">
        <v>228.22</v>
      </c>
    </row>
    <row r="1025" spans="1:6" ht="15.75" thickBot="1" x14ac:dyDescent="0.3">
      <c r="A1025" s="4" t="s">
        <v>123</v>
      </c>
      <c r="B1025" s="5" t="s">
        <v>30</v>
      </c>
      <c r="C1025" s="5" t="s">
        <v>8</v>
      </c>
      <c r="D1025" s="5" t="s">
        <v>28</v>
      </c>
      <c r="E1025" s="5" t="s">
        <v>15</v>
      </c>
      <c r="F1025" s="5">
        <v>1437.79</v>
      </c>
    </row>
    <row r="1026" spans="1:6" ht="30.75" thickBot="1" x14ac:dyDescent="0.3">
      <c r="A1026" s="4" t="s">
        <v>83</v>
      </c>
      <c r="B1026" s="5" t="s">
        <v>17</v>
      </c>
      <c r="C1026" s="5" t="s">
        <v>34</v>
      </c>
      <c r="D1026" s="5" t="s">
        <v>28</v>
      </c>
      <c r="E1026" s="5" t="s">
        <v>24</v>
      </c>
      <c r="F1026" s="5">
        <v>3734.66</v>
      </c>
    </row>
    <row r="1027" spans="1:6" ht="15.75" thickBot="1" x14ac:dyDescent="0.3">
      <c r="A1027" s="4" t="s">
        <v>40</v>
      </c>
      <c r="B1027" s="5" t="s">
        <v>19</v>
      </c>
      <c r="C1027" s="5" t="s">
        <v>13</v>
      </c>
      <c r="D1027" s="5" t="s">
        <v>28</v>
      </c>
      <c r="E1027" s="5" t="s">
        <v>15</v>
      </c>
      <c r="F1027" s="5">
        <v>923.68</v>
      </c>
    </row>
    <row r="1028" spans="1:6" ht="15.75" thickBot="1" x14ac:dyDescent="0.3">
      <c r="A1028" s="4" t="s">
        <v>163</v>
      </c>
      <c r="B1028" s="5" t="s">
        <v>19</v>
      </c>
      <c r="C1028" s="5" t="s">
        <v>34</v>
      </c>
      <c r="D1028" s="5" t="s">
        <v>28</v>
      </c>
      <c r="E1028" s="5" t="s">
        <v>24</v>
      </c>
      <c r="F1028" s="5">
        <v>1962.58</v>
      </c>
    </row>
    <row r="1029" spans="1:6" ht="15.75" thickBot="1" x14ac:dyDescent="0.3">
      <c r="A1029" s="4" t="s">
        <v>180</v>
      </c>
      <c r="B1029" s="5" t="s">
        <v>30</v>
      </c>
      <c r="C1029" s="5" t="s">
        <v>8</v>
      </c>
      <c r="D1029" s="5" t="s">
        <v>14</v>
      </c>
      <c r="E1029" s="5" t="s">
        <v>15</v>
      </c>
      <c r="F1029" s="5">
        <v>690.6</v>
      </c>
    </row>
    <row r="1030" spans="1:6" ht="15.75" thickBot="1" x14ac:dyDescent="0.3">
      <c r="A1030" s="4" t="s">
        <v>175</v>
      </c>
      <c r="B1030" s="5" t="s">
        <v>7</v>
      </c>
      <c r="C1030" s="5" t="s">
        <v>34</v>
      </c>
      <c r="D1030" s="5" t="s">
        <v>9</v>
      </c>
      <c r="E1030" s="5" t="s">
        <v>10</v>
      </c>
      <c r="F1030" s="5">
        <v>1785.8245850000001</v>
      </c>
    </row>
    <row r="1031" spans="1:6" ht="15.75" thickBot="1" x14ac:dyDescent="0.3">
      <c r="A1031" s="4" t="s">
        <v>38</v>
      </c>
      <c r="B1031" s="5" t="s">
        <v>30</v>
      </c>
      <c r="C1031" s="5" t="s">
        <v>23</v>
      </c>
      <c r="D1031" s="5" t="s">
        <v>28</v>
      </c>
      <c r="E1031" s="5" t="s">
        <v>24</v>
      </c>
      <c r="F1031" s="5">
        <v>4949.3</v>
      </c>
    </row>
    <row r="1032" spans="1:6" ht="15.75" thickBot="1" x14ac:dyDescent="0.3">
      <c r="A1032" s="4" t="s">
        <v>92</v>
      </c>
      <c r="B1032" s="5" t="s">
        <v>30</v>
      </c>
      <c r="C1032" s="5" t="s">
        <v>23</v>
      </c>
      <c r="D1032" s="5" t="s">
        <v>9</v>
      </c>
      <c r="E1032" s="5" t="s">
        <v>10</v>
      </c>
      <c r="F1032" s="5">
        <v>3153.3403969999999</v>
      </c>
    </row>
    <row r="1033" spans="1:6" ht="30.75" thickBot="1" x14ac:dyDescent="0.3">
      <c r="A1033" s="4" t="s">
        <v>129</v>
      </c>
      <c r="B1033" s="5" t="s">
        <v>17</v>
      </c>
      <c r="C1033" s="5" t="s">
        <v>34</v>
      </c>
      <c r="D1033" s="5" t="s">
        <v>14</v>
      </c>
      <c r="E1033" s="5" t="s">
        <v>15</v>
      </c>
      <c r="F1033" s="5">
        <v>919.35</v>
      </c>
    </row>
    <row r="1034" spans="1:6" ht="15.75" thickBot="1" x14ac:dyDescent="0.3">
      <c r="A1034" s="4" t="s">
        <v>123</v>
      </c>
      <c r="B1034" s="5" t="s">
        <v>30</v>
      </c>
      <c r="C1034" s="5" t="s">
        <v>34</v>
      </c>
      <c r="D1034" s="5" t="s">
        <v>14</v>
      </c>
      <c r="E1034" s="5" t="s">
        <v>15</v>
      </c>
      <c r="F1034" s="5">
        <v>2465.21</v>
      </c>
    </row>
    <row r="1035" spans="1:6" ht="30.75" thickBot="1" x14ac:dyDescent="0.3">
      <c r="A1035" s="4" t="s">
        <v>147</v>
      </c>
      <c r="B1035" s="5" t="s">
        <v>17</v>
      </c>
      <c r="C1035" s="5" t="s">
        <v>23</v>
      </c>
      <c r="D1035" s="5" t="s">
        <v>14</v>
      </c>
      <c r="E1035" s="5" t="s">
        <v>10</v>
      </c>
      <c r="F1035" s="5">
        <v>2956.74</v>
      </c>
    </row>
    <row r="1036" spans="1:6" ht="15.75" thickBot="1" x14ac:dyDescent="0.3">
      <c r="A1036" s="4" t="s">
        <v>125</v>
      </c>
      <c r="B1036" s="5" t="s">
        <v>7</v>
      </c>
      <c r="C1036" s="5" t="s">
        <v>34</v>
      </c>
      <c r="D1036" s="5" t="s">
        <v>9</v>
      </c>
      <c r="E1036" s="5" t="s">
        <v>10</v>
      </c>
      <c r="F1036" s="5">
        <v>1174.629844</v>
      </c>
    </row>
    <row r="1037" spans="1:6" ht="15.75" thickBot="1" x14ac:dyDescent="0.3">
      <c r="A1037" s="4" t="s">
        <v>130</v>
      </c>
      <c r="B1037" s="5" t="s">
        <v>12</v>
      </c>
      <c r="C1037" s="5" t="s">
        <v>34</v>
      </c>
      <c r="D1037" s="5" t="s">
        <v>14</v>
      </c>
      <c r="E1037" s="5" t="s">
        <v>24</v>
      </c>
      <c r="F1037" s="5">
        <v>1574.82</v>
      </c>
    </row>
    <row r="1038" spans="1:6" ht="15.75" thickBot="1" x14ac:dyDescent="0.3">
      <c r="A1038" s="4" t="s">
        <v>102</v>
      </c>
      <c r="B1038" s="5" t="s">
        <v>19</v>
      </c>
      <c r="C1038" s="5" t="s">
        <v>8</v>
      </c>
      <c r="D1038" s="5" t="s">
        <v>9</v>
      </c>
      <c r="E1038" s="5" t="s">
        <v>10</v>
      </c>
      <c r="F1038" s="5">
        <v>922.32219610000004</v>
      </c>
    </row>
    <row r="1039" spans="1:6" ht="15.75" thickBot="1" x14ac:dyDescent="0.3">
      <c r="A1039" s="4" t="s">
        <v>73</v>
      </c>
      <c r="B1039" s="5" t="s">
        <v>30</v>
      </c>
      <c r="C1039" s="5" t="s">
        <v>23</v>
      </c>
      <c r="D1039" s="5" t="s">
        <v>9</v>
      </c>
      <c r="E1039" s="5" t="s">
        <v>10</v>
      </c>
      <c r="F1039" s="5">
        <v>842.92266970000003</v>
      </c>
    </row>
    <row r="1040" spans="1:6" ht="15.75" thickBot="1" x14ac:dyDescent="0.3">
      <c r="A1040" s="4" t="s">
        <v>110</v>
      </c>
      <c r="B1040" s="5" t="s">
        <v>12</v>
      </c>
      <c r="C1040" s="5" t="s">
        <v>8</v>
      </c>
      <c r="D1040" s="5" t="s">
        <v>14</v>
      </c>
      <c r="E1040" s="5" t="s">
        <v>10</v>
      </c>
      <c r="F1040" s="5">
        <v>3132.1</v>
      </c>
    </row>
    <row r="1041" spans="1:6" ht="15.75" thickBot="1" x14ac:dyDescent="0.3">
      <c r="A1041" s="4" t="s">
        <v>109</v>
      </c>
      <c r="B1041" s="5" t="s">
        <v>12</v>
      </c>
      <c r="C1041" s="5" t="s">
        <v>13</v>
      </c>
      <c r="D1041" s="5" t="s">
        <v>9</v>
      </c>
      <c r="E1041" s="5" t="s">
        <v>10</v>
      </c>
      <c r="F1041" s="5">
        <v>3613.5009599999998</v>
      </c>
    </row>
    <row r="1042" spans="1:6" ht="15.75" thickBot="1" x14ac:dyDescent="0.3">
      <c r="A1042" s="4" t="s">
        <v>45</v>
      </c>
      <c r="B1042" s="5" t="s">
        <v>7</v>
      </c>
      <c r="C1042" s="5" t="s">
        <v>34</v>
      </c>
      <c r="D1042" s="5" t="s">
        <v>9</v>
      </c>
      <c r="E1042" s="5" t="s">
        <v>24</v>
      </c>
      <c r="F1042" s="5">
        <v>1968.5236090000001</v>
      </c>
    </row>
    <row r="1043" spans="1:6" ht="15.75" thickBot="1" x14ac:dyDescent="0.3">
      <c r="A1043" s="4" t="s">
        <v>179</v>
      </c>
      <c r="B1043" s="5" t="s">
        <v>7</v>
      </c>
      <c r="C1043" s="5" t="s">
        <v>23</v>
      </c>
      <c r="D1043" s="5" t="s">
        <v>14</v>
      </c>
      <c r="E1043" s="5" t="s">
        <v>10</v>
      </c>
      <c r="F1043" s="5">
        <v>70.83</v>
      </c>
    </row>
    <row r="1044" spans="1:6" ht="15.75" thickBot="1" x14ac:dyDescent="0.3">
      <c r="A1044" s="4" t="s">
        <v>179</v>
      </c>
      <c r="B1044" s="5" t="s">
        <v>7</v>
      </c>
      <c r="C1044" s="5" t="s">
        <v>13</v>
      </c>
      <c r="D1044" s="5" t="s">
        <v>14</v>
      </c>
      <c r="E1044" s="5" t="s">
        <v>15</v>
      </c>
      <c r="F1044" s="5">
        <v>1698.04</v>
      </c>
    </row>
    <row r="1045" spans="1:6" ht="15.75" thickBot="1" x14ac:dyDescent="0.3">
      <c r="A1045" s="4" t="s">
        <v>173</v>
      </c>
      <c r="B1045" s="5" t="s">
        <v>30</v>
      </c>
      <c r="C1045" s="5" t="s">
        <v>23</v>
      </c>
      <c r="D1045" s="5" t="s">
        <v>28</v>
      </c>
      <c r="E1045" s="5" t="s">
        <v>10</v>
      </c>
      <c r="F1045" s="5">
        <v>4151.2</v>
      </c>
    </row>
    <row r="1046" spans="1:6" ht="15.75" thickBot="1" x14ac:dyDescent="0.3">
      <c r="A1046" s="4" t="s">
        <v>122</v>
      </c>
      <c r="B1046" s="5" t="s">
        <v>19</v>
      </c>
      <c r="C1046" s="5" t="s">
        <v>34</v>
      </c>
      <c r="D1046" s="5" t="s">
        <v>28</v>
      </c>
      <c r="E1046" s="5" t="s">
        <v>15</v>
      </c>
      <c r="F1046" s="5">
        <v>4411.01</v>
      </c>
    </row>
    <row r="1047" spans="1:6" ht="15.75" thickBot="1" x14ac:dyDescent="0.3">
      <c r="A1047" s="4" t="s">
        <v>155</v>
      </c>
      <c r="B1047" s="5" t="s">
        <v>7</v>
      </c>
      <c r="C1047" s="5" t="s">
        <v>13</v>
      </c>
      <c r="D1047" s="5" t="s">
        <v>28</v>
      </c>
      <c r="E1047" s="5" t="s">
        <v>15</v>
      </c>
      <c r="F1047" s="5">
        <v>284.04000000000002</v>
      </c>
    </row>
    <row r="1048" spans="1:6" ht="15.75" thickBot="1" x14ac:dyDescent="0.3">
      <c r="A1048" s="4" t="s">
        <v>200</v>
      </c>
      <c r="B1048" s="5" t="s">
        <v>30</v>
      </c>
      <c r="C1048" s="5" t="s">
        <v>8</v>
      </c>
      <c r="D1048" s="5" t="s">
        <v>9</v>
      </c>
      <c r="E1048" s="5" t="s">
        <v>24</v>
      </c>
      <c r="F1048" s="5">
        <v>3725.8493830000002</v>
      </c>
    </row>
    <row r="1049" spans="1:6" ht="15.75" thickBot="1" x14ac:dyDescent="0.3">
      <c r="A1049" s="4" t="s">
        <v>191</v>
      </c>
      <c r="B1049" s="5" t="s">
        <v>12</v>
      </c>
      <c r="C1049" s="5" t="s">
        <v>13</v>
      </c>
      <c r="D1049" s="5" t="s">
        <v>28</v>
      </c>
      <c r="E1049" s="5" t="s">
        <v>24</v>
      </c>
      <c r="F1049" s="5">
        <v>324.83999999999997</v>
      </c>
    </row>
    <row r="1050" spans="1:6" ht="15.75" thickBot="1" x14ac:dyDescent="0.3">
      <c r="A1050" s="4" t="s">
        <v>51</v>
      </c>
      <c r="B1050" s="5" t="s">
        <v>30</v>
      </c>
      <c r="C1050" s="5" t="s">
        <v>13</v>
      </c>
      <c r="D1050" s="5" t="s">
        <v>28</v>
      </c>
      <c r="E1050" s="5" t="s">
        <v>24</v>
      </c>
      <c r="F1050" s="5">
        <v>574.69000000000005</v>
      </c>
    </row>
    <row r="1051" spans="1:6" ht="15.75" thickBot="1" x14ac:dyDescent="0.3">
      <c r="A1051" s="4" t="s">
        <v>198</v>
      </c>
      <c r="B1051" s="5" t="s">
        <v>12</v>
      </c>
      <c r="C1051" s="5" t="s">
        <v>34</v>
      </c>
      <c r="D1051" s="5" t="s">
        <v>9</v>
      </c>
      <c r="E1051" s="5" t="s">
        <v>24</v>
      </c>
      <c r="F1051" s="5">
        <v>3034.3254080000002</v>
      </c>
    </row>
    <row r="1052" spans="1:6" ht="30.75" thickBot="1" x14ac:dyDescent="0.3">
      <c r="A1052" s="4" t="s">
        <v>116</v>
      </c>
      <c r="B1052" s="5" t="s">
        <v>17</v>
      </c>
      <c r="C1052" s="5" t="s">
        <v>34</v>
      </c>
      <c r="D1052" s="5" t="s">
        <v>28</v>
      </c>
      <c r="E1052" s="5" t="s">
        <v>24</v>
      </c>
      <c r="F1052" s="5">
        <v>169.73</v>
      </c>
    </row>
    <row r="1053" spans="1:6" ht="30.75" thickBot="1" x14ac:dyDescent="0.3">
      <c r="A1053" s="4" t="s">
        <v>142</v>
      </c>
      <c r="B1053" s="5" t="s">
        <v>17</v>
      </c>
      <c r="C1053" s="5" t="s">
        <v>13</v>
      </c>
      <c r="D1053" s="5" t="s">
        <v>14</v>
      </c>
      <c r="E1053" s="5" t="s">
        <v>24</v>
      </c>
      <c r="F1053" s="5">
        <v>1309.6199999999999</v>
      </c>
    </row>
    <row r="1054" spans="1:6" ht="30.75" thickBot="1" x14ac:dyDescent="0.3">
      <c r="A1054" s="4" t="s">
        <v>149</v>
      </c>
      <c r="B1054" s="5" t="s">
        <v>17</v>
      </c>
      <c r="C1054" s="5" t="s">
        <v>8</v>
      </c>
      <c r="D1054" s="5" t="s">
        <v>28</v>
      </c>
      <c r="E1054" s="5" t="s">
        <v>24</v>
      </c>
      <c r="F1054" s="5">
        <v>2624.96</v>
      </c>
    </row>
    <row r="1055" spans="1:6" ht="15.75" thickBot="1" x14ac:dyDescent="0.3">
      <c r="A1055" s="4" t="s">
        <v>113</v>
      </c>
      <c r="B1055" s="5" t="s">
        <v>30</v>
      </c>
      <c r="C1055" s="5" t="s">
        <v>8</v>
      </c>
      <c r="D1055" s="5" t="s">
        <v>14</v>
      </c>
      <c r="E1055" s="5" t="s">
        <v>15</v>
      </c>
      <c r="F1055" s="5">
        <v>1753.99</v>
      </c>
    </row>
    <row r="1056" spans="1:6" ht="15.75" thickBot="1" x14ac:dyDescent="0.3">
      <c r="A1056" s="4" t="s">
        <v>94</v>
      </c>
      <c r="B1056" s="5" t="s">
        <v>7</v>
      </c>
      <c r="C1056" s="5" t="s">
        <v>13</v>
      </c>
      <c r="D1056" s="5" t="s">
        <v>9</v>
      </c>
      <c r="E1056" s="5" t="s">
        <v>10</v>
      </c>
      <c r="F1056" s="5">
        <v>4506.350676</v>
      </c>
    </row>
    <row r="1057" spans="1:6" ht="15.75" thickBot="1" x14ac:dyDescent="0.3">
      <c r="A1057" s="4" t="s">
        <v>154</v>
      </c>
      <c r="B1057" s="5" t="s">
        <v>12</v>
      </c>
      <c r="C1057" s="5" t="s">
        <v>13</v>
      </c>
      <c r="D1057" s="5" t="s">
        <v>9</v>
      </c>
      <c r="E1057" s="5" t="s">
        <v>24</v>
      </c>
      <c r="F1057" s="5">
        <v>1399.9373109999999</v>
      </c>
    </row>
    <row r="1058" spans="1:6" ht="15.75" thickBot="1" x14ac:dyDescent="0.3">
      <c r="A1058" s="4" t="s">
        <v>103</v>
      </c>
      <c r="B1058" s="5" t="s">
        <v>19</v>
      </c>
      <c r="C1058" s="5" t="s">
        <v>23</v>
      </c>
      <c r="D1058" s="5" t="s">
        <v>9</v>
      </c>
      <c r="E1058" s="5" t="s">
        <v>15</v>
      </c>
      <c r="F1058" s="5">
        <v>3722.0575220000001</v>
      </c>
    </row>
    <row r="1059" spans="1:6" ht="15.75" thickBot="1" x14ac:dyDescent="0.3">
      <c r="A1059" s="4" t="s">
        <v>66</v>
      </c>
      <c r="B1059" s="5" t="s">
        <v>30</v>
      </c>
      <c r="C1059" s="5" t="s">
        <v>23</v>
      </c>
      <c r="D1059" s="5" t="s">
        <v>9</v>
      </c>
      <c r="E1059" s="5" t="s">
        <v>24</v>
      </c>
      <c r="F1059" s="5">
        <v>4854.660578</v>
      </c>
    </row>
    <row r="1060" spans="1:6" ht="30.75" thickBot="1" x14ac:dyDescent="0.3">
      <c r="A1060" s="4" t="s">
        <v>168</v>
      </c>
      <c r="B1060" s="5" t="s">
        <v>17</v>
      </c>
      <c r="C1060" s="5" t="s">
        <v>13</v>
      </c>
      <c r="D1060" s="5" t="s">
        <v>9</v>
      </c>
      <c r="E1060" s="5" t="s">
        <v>24</v>
      </c>
      <c r="F1060" s="5">
        <v>3995.7127209999999</v>
      </c>
    </row>
    <row r="1061" spans="1:6" ht="15.75" thickBot="1" x14ac:dyDescent="0.3">
      <c r="A1061" s="4" t="s">
        <v>183</v>
      </c>
      <c r="B1061" s="5" t="s">
        <v>7</v>
      </c>
      <c r="C1061" s="5" t="s">
        <v>23</v>
      </c>
      <c r="D1061" s="5" t="s">
        <v>9</v>
      </c>
      <c r="E1061" s="5" t="s">
        <v>10</v>
      </c>
      <c r="F1061" s="5">
        <v>1233.9262349999999</v>
      </c>
    </row>
    <row r="1062" spans="1:6" ht="15.75" thickBot="1" x14ac:dyDescent="0.3">
      <c r="A1062" s="4" t="s">
        <v>159</v>
      </c>
      <c r="B1062" s="5" t="s">
        <v>7</v>
      </c>
      <c r="C1062" s="5" t="s">
        <v>23</v>
      </c>
      <c r="D1062" s="5" t="s">
        <v>14</v>
      </c>
      <c r="E1062" s="5" t="s">
        <v>15</v>
      </c>
      <c r="F1062" s="5">
        <v>2802.78</v>
      </c>
    </row>
    <row r="1063" spans="1:6" ht="15.75" thickBot="1" x14ac:dyDescent="0.3">
      <c r="A1063" s="4" t="s">
        <v>211</v>
      </c>
      <c r="B1063" s="5" t="s">
        <v>7</v>
      </c>
      <c r="C1063" s="5" t="s">
        <v>8</v>
      </c>
      <c r="D1063" s="5" t="s">
        <v>14</v>
      </c>
      <c r="E1063" s="5" t="s">
        <v>15</v>
      </c>
      <c r="F1063" s="5">
        <v>2330.0300000000002</v>
      </c>
    </row>
    <row r="1064" spans="1:6" ht="15.75" thickBot="1" x14ac:dyDescent="0.3">
      <c r="A1064" s="4" t="s">
        <v>214</v>
      </c>
      <c r="B1064" s="5" t="s">
        <v>30</v>
      </c>
      <c r="C1064" s="5" t="s">
        <v>8</v>
      </c>
      <c r="D1064" s="5" t="s">
        <v>28</v>
      </c>
      <c r="E1064" s="5" t="s">
        <v>24</v>
      </c>
      <c r="F1064" s="5">
        <v>4895.2700000000004</v>
      </c>
    </row>
    <row r="1065" spans="1:6" ht="15.75" thickBot="1" x14ac:dyDescent="0.3">
      <c r="A1065" s="4" t="s">
        <v>52</v>
      </c>
      <c r="B1065" s="5" t="s">
        <v>19</v>
      </c>
      <c r="C1065" s="5" t="s">
        <v>13</v>
      </c>
      <c r="D1065" s="5" t="s">
        <v>14</v>
      </c>
      <c r="E1065" s="5" t="s">
        <v>24</v>
      </c>
      <c r="F1065" s="5">
        <v>804.58</v>
      </c>
    </row>
    <row r="1066" spans="1:6" ht="15.75" thickBot="1" x14ac:dyDescent="0.3">
      <c r="A1066" s="4" t="s">
        <v>61</v>
      </c>
      <c r="B1066" s="5" t="s">
        <v>30</v>
      </c>
      <c r="C1066" s="5" t="s">
        <v>13</v>
      </c>
      <c r="D1066" s="5" t="s">
        <v>9</v>
      </c>
      <c r="E1066" s="5" t="s">
        <v>10</v>
      </c>
      <c r="F1066" s="5">
        <v>5233.9546099999998</v>
      </c>
    </row>
    <row r="1067" spans="1:6" ht="15.75" thickBot="1" x14ac:dyDescent="0.3">
      <c r="A1067" s="4" t="s">
        <v>182</v>
      </c>
      <c r="B1067" s="5" t="s">
        <v>12</v>
      </c>
      <c r="C1067" s="5" t="s">
        <v>23</v>
      </c>
      <c r="D1067" s="5" t="s">
        <v>14</v>
      </c>
      <c r="E1067" s="5" t="s">
        <v>10</v>
      </c>
      <c r="F1067" s="5">
        <v>2997.09</v>
      </c>
    </row>
    <row r="1068" spans="1:6" ht="15.75" thickBot="1" x14ac:dyDescent="0.3">
      <c r="A1068" s="4" t="s">
        <v>161</v>
      </c>
      <c r="B1068" s="5" t="s">
        <v>7</v>
      </c>
      <c r="C1068" s="5" t="s">
        <v>8</v>
      </c>
      <c r="D1068" s="5" t="s">
        <v>9</v>
      </c>
      <c r="E1068" s="5" t="s">
        <v>10</v>
      </c>
      <c r="F1068" s="5">
        <v>964.92144989999997</v>
      </c>
    </row>
    <row r="1069" spans="1:6" ht="15.75" thickBot="1" x14ac:dyDescent="0.3">
      <c r="A1069" s="4" t="s">
        <v>180</v>
      </c>
      <c r="B1069" s="5" t="s">
        <v>30</v>
      </c>
      <c r="C1069" s="5" t="s">
        <v>8</v>
      </c>
      <c r="D1069" s="5" t="s">
        <v>9</v>
      </c>
      <c r="E1069" s="5" t="s">
        <v>24</v>
      </c>
      <c r="F1069" s="5">
        <v>3145.31</v>
      </c>
    </row>
    <row r="1070" spans="1:6" ht="15.75" thickBot="1" x14ac:dyDescent="0.3">
      <c r="A1070" s="4" t="s">
        <v>38</v>
      </c>
      <c r="B1070" s="5" t="s">
        <v>30</v>
      </c>
      <c r="C1070" s="5" t="s">
        <v>13</v>
      </c>
      <c r="D1070" s="5" t="s">
        <v>28</v>
      </c>
      <c r="E1070" s="5" t="s">
        <v>15</v>
      </c>
      <c r="F1070" s="5">
        <v>2135.2800000000002</v>
      </c>
    </row>
    <row r="1071" spans="1:6" ht="15.75" thickBot="1" x14ac:dyDescent="0.3">
      <c r="A1071" s="4" t="s">
        <v>128</v>
      </c>
      <c r="B1071" s="5" t="s">
        <v>12</v>
      </c>
      <c r="C1071" s="5" t="s">
        <v>34</v>
      </c>
      <c r="D1071" s="5" t="s">
        <v>9</v>
      </c>
      <c r="E1071" s="5" t="s">
        <v>24</v>
      </c>
      <c r="F1071" s="5">
        <v>4359.5105709999998</v>
      </c>
    </row>
    <row r="1072" spans="1:6" ht="15.75" thickBot="1" x14ac:dyDescent="0.3">
      <c r="A1072" s="4" t="s">
        <v>99</v>
      </c>
      <c r="B1072" s="5" t="s">
        <v>19</v>
      </c>
      <c r="C1072" s="5" t="s">
        <v>23</v>
      </c>
      <c r="D1072" s="5" t="s">
        <v>14</v>
      </c>
      <c r="E1072" s="5" t="s">
        <v>15</v>
      </c>
      <c r="F1072" s="5">
        <v>4094.25</v>
      </c>
    </row>
    <row r="1073" spans="1:6" ht="15.75" thickBot="1" x14ac:dyDescent="0.3">
      <c r="A1073" s="4" t="s">
        <v>183</v>
      </c>
      <c r="B1073" s="5" t="s">
        <v>7</v>
      </c>
      <c r="C1073" s="5" t="s">
        <v>34</v>
      </c>
      <c r="D1073" s="5" t="s">
        <v>9</v>
      </c>
      <c r="E1073" s="5" t="s">
        <v>15</v>
      </c>
      <c r="F1073" s="5">
        <v>1200.6229960000001</v>
      </c>
    </row>
    <row r="1074" spans="1:6" ht="30.75" thickBot="1" x14ac:dyDescent="0.3">
      <c r="A1074" s="4" t="s">
        <v>205</v>
      </c>
      <c r="B1074" s="5" t="s">
        <v>17</v>
      </c>
      <c r="C1074" s="5" t="s">
        <v>23</v>
      </c>
      <c r="D1074" s="5" t="s">
        <v>9</v>
      </c>
      <c r="E1074" s="5" t="s">
        <v>24</v>
      </c>
      <c r="F1074" s="5">
        <v>2599.9448320000001</v>
      </c>
    </row>
    <row r="1075" spans="1:6" ht="30.75" thickBot="1" x14ac:dyDescent="0.3">
      <c r="A1075" s="4" t="s">
        <v>199</v>
      </c>
      <c r="B1075" s="5" t="s">
        <v>17</v>
      </c>
      <c r="C1075" s="5" t="s">
        <v>34</v>
      </c>
      <c r="D1075" s="5" t="s">
        <v>14</v>
      </c>
      <c r="E1075" s="5" t="s">
        <v>10</v>
      </c>
      <c r="F1075" s="5">
        <v>3672.52</v>
      </c>
    </row>
    <row r="1076" spans="1:6" ht="15.75" thickBot="1" x14ac:dyDescent="0.3">
      <c r="A1076" s="4" t="s">
        <v>196</v>
      </c>
      <c r="B1076" s="5" t="s">
        <v>30</v>
      </c>
      <c r="C1076" s="5" t="s">
        <v>23</v>
      </c>
      <c r="D1076" s="5" t="s">
        <v>28</v>
      </c>
      <c r="E1076" s="5" t="s">
        <v>24</v>
      </c>
      <c r="F1076" s="5">
        <v>787.76</v>
      </c>
    </row>
    <row r="1077" spans="1:6" ht="15.75" thickBot="1" x14ac:dyDescent="0.3">
      <c r="A1077" s="4" t="s">
        <v>154</v>
      </c>
      <c r="B1077" s="5" t="s">
        <v>12</v>
      </c>
      <c r="C1077" s="5" t="s">
        <v>8</v>
      </c>
      <c r="D1077" s="5" t="s">
        <v>14</v>
      </c>
      <c r="E1077" s="5" t="s">
        <v>10</v>
      </c>
      <c r="F1077" s="5">
        <v>4418.3</v>
      </c>
    </row>
    <row r="1078" spans="1:6" ht="15.75" thickBot="1" x14ac:dyDescent="0.3">
      <c r="A1078" s="4" t="s">
        <v>145</v>
      </c>
      <c r="B1078" s="5" t="s">
        <v>7</v>
      </c>
      <c r="C1078" s="5" t="s">
        <v>23</v>
      </c>
      <c r="D1078" s="5" t="s">
        <v>28</v>
      </c>
      <c r="E1078" s="5" t="s">
        <v>24</v>
      </c>
      <c r="F1078" s="5">
        <v>1918.45</v>
      </c>
    </row>
    <row r="1079" spans="1:6" ht="15.75" thickBot="1" x14ac:dyDescent="0.3">
      <c r="A1079" s="4" t="s">
        <v>208</v>
      </c>
      <c r="B1079" s="5" t="s">
        <v>19</v>
      </c>
      <c r="C1079" s="5" t="s">
        <v>23</v>
      </c>
      <c r="D1079" s="5" t="s">
        <v>28</v>
      </c>
      <c r="E1079" s="5" t="s">
        <v>10</v>
      </c>
      <c r="F1079" s="5">
        <v>4411.78</v>
      </c>
    </row>
    <row r="1080" spans="1:6" ht="15.75" thickBot="1" x14ac:dyDescent="0.3">
      <c r="A1080" s="4" t="s">
        <v>177</v>
      </c>
      <c r="B1080" s="5" t="s">
        <v>7</v>
      </c>
      <c r="C1080" s="5" t="s">
        <v>23</v>
      </c>
      <c r="D1080" s="5" t="s">
        <v>9</v>
      </c>
      <c r="E1080" s="5" t="s">
        <v>10</v>
      </c>
      <c r="F1080" s="5">
        <v>755.83986930000003</v>
      </c>
    </row>
    <row r="1081" spans="1:6" ht="15.75" thickBot="1" x14ac:dyDescent="0.3">
      <c r="A1081" s="4" t="s">
        <v>166</v>
      </c>
      <c r="B1081" s="5" t="s">
        <v>7</v>
      </c>
      <c r="C1081" s="5" t="s">
        <v>13</v>
      </c>
      <c r="D1081" s="5" t="s">
        <v>9</v>
      </c>
      <c r="E1081" s="5" t="s">
        <v>10</v>
      </c>
      <c r="F1081" s="5">
        <v>868.5117434</v>
      </c>
    </row>
    <row r="1082" spans="1:6" ht="30.75" thickBot="1" x14ac:dyDescent="0.3">
      <c r="A1082" s="4" t="s">
        <v>26</v>
      </c>
      <c r="B1082" s="5" t="s">
        <v>17</v>
      </c>
      <c r="C1082" s="5" t="s">
        <v>34</v>
      </c>
      <c r="D1082" s="5" t="s">
        <v>14</v>
      </c>
      <c r="E1082" s="5" t="s">
        <v>10</v>
      </c>
      <c r="F1082" s="5">
        <v>3296.99</v>
      </c>
    </row>
    <row r="1083" spans="1:6" ht="15.75" thickBot="1" x14ac:dyDescent="0.3">
      <c r="A1083" s="4" t="s">
        <v>101</v>
      </c>
      <c r="B1083" s="5" t="s">
        <v>19</v>
      </c>
      <c r="C1083" s="5" t="s">
        <v>34</v>
      </c>
      <c r="D1083" s="5" t="s">
        <v>28</v>
      </c>
      <c r="E1083" s="5" t="s">
        <v>24</v>
      </c>
      <c r="F1083" s="5">
        <v>4240.42</v>
      </c>
    </row>
    <row r="1084" spans="1:6" ht="30.75" thickBot="1" x14ac:dyDescent="0.3">
      <c r="A1084" s="4" t="s">
        <v>194</v>
      </c>
      <c r="B1084" s="5" t="s">
        <v>17</v>
      </c>
      <c r="C1084" s="5" t="s">
        <v>13</v>
      </c>
      <c r="D1084" s="5" t="s">
        <v>9</v>
      </c>
      <c r="E1084" s="5" t="s">
        <v>10</v>
      </c>
      <c r="F1084" s="5">
        <v>1409.821359</v>
      </c>
    </row>
    <row r="1085" spans="1:6" ht="15.75" thickBot="1" x14ac:dyDescent="0.3">
      <c r="A1085" s="4" t="s">
        <v>122</v>
      </c>
      <c r="B1085" s="5" t="s">
        <v>19</v>
      </c>
      <c r="C1085" s="5" t="s">
        <v>34</v>
      </c>
      <c r="D1085" s="5" t="s">
        <v>14</v>
      </c>
      <c r="E1085" s="5" t="s">
        <v>10</v>
      </c>
      <c r="F1085" s="5">
        <v>3970.76</v>
      </c>
    </row>
    <row r="1086" spans="1:6" ht="15.75" thickBot="1" x14ac:dyDescent="0.3">
      <c r="A1086" s="4" t="s">
        <v>102</v>
      </c>
      <c r="B1086" s="5" t="s">
        <v>19</v>
      </c>
      <c r="C1086" s="5" t="s">
        <v>8</v>
      </c>
      <c r="D1086" s="5" t="s">
        <v>28</v>
      </c>
      <c r="E1086" s="5" t="s">
        <v>15</v>
      </c>
      <c r="F1086" s="5">
        <v>549.77</v>
      </c>
    </row>
    <row r="1087" spans="1:6" ht="15.75" thickBot="1" x14ac:dyDescent="0.3">
      <c r="A1087" s="4" t="s">
        <v>69</v>
      </c>
      <c r="B1087" s="5" t="s">
        <v>7</v>
      </c>
      <c r="C1087" s="5" t="s">
        <v>13</v>
      </c>
      <c r="D1087" s="5" t="s">
        <v>14</v>
      </c>
      <c r="E1087" s="5" t="s">
        <v>10</v>
      </c>
      <c r="F1087" s="5">
        <v>104.29</v>
      </c>
    </row>
    <row r="1088" spans="1:6" ht="15.75" thickBot="1" x14ac:dyDescent="0.3">
      <c r="A1088" s="4" t="s">
        <v>212</v>
      </c>
      <c r="B1088" s="5" t="s">
        <v>7</v>
      </c>
      <c r="C1088" s="5" t="s">
        <v>13</v>
      </c>
      <c r="D1088" s="5" t="s">
        <v>14</v>
      </c>
      <c r="E1088" s="5" t="s">
        <v>10</v>
      </c>
      <c r="F1088" s="5">
        <v>1468.86</v>
      </c>
    </row>
    <row r="1089" spans="1:6" ht="15.75" thickBot="1" x14ac:dyDescent="0.3">
      <c r="A1089" s="4" t="s">
        <v>163</v>
      </c>
      <c r="B1089" s="5" t="s">
        <v>19</v>
      </c>
      <c r="C1089" s="5" t="s">
        <v>13</v>
      </c>
      <c r="D1089" s="5" t="s">
        <v>14</v>
      </c>
      <c r="E1089" s="5" t="s">
        <v>15</v>
      </c>
      <c r="F1089" s="5">
        <v>2876.13</v>
      </c>
    </row>
    <row r="1090" spans="1:6" ht="15.75" thickBot="1" x14ac:dyDescent="0.3">
      <c r="A1090" s="4" t="s">
        <v>154</v>
      </c>
      <c r="B1090" s="5" t="s">
        <v>12</v>
      </c>
      <c r="C1090" s="5" t="s">
        <v>13</v>
      </c>
      <c r="D1090" s="5" t="s">
        <v>28</v>
      </c>
      <c r="E1090" s="5" t="s">
        <v>24</v>
      </c>
      <c r="F1090" s="5">
        <v>1825.34</v>
      </c>
    </row>
    <row r="1091" spans="1:6" ht="15.75" thickBot="1" x14ac:dyDescent="0.3">
      <c r="A1091" s="4" t="s">
        <v>124</v>
      </c>
      <c r="B1091" s="5" t="s">
        <v>12</v>
      </c>
      <c r="C1091" s="5" t="s">
        <v>23</v>
      </c>
      <c r="D1091" s="5" t="s">
        <v>14</v>
      </c>
      <c r="E1091" s="5" t="s">
        <v>15</v>
      </c>
      <c r="F1091" s="5">
        <v>3246.39</v>
      </c>
    </row>
    <row r="1092" spans="1:6" ht="15.75" thickBot="1" x14ac:dyDescent="0.3">
      <c r="A1092" s="4" t="s">
        <v>42</v>
      </c>
      <c r="B1092" s="5" t="s">
        <v>30</v>
      </c>
      <c r="C1092" s="5" t="s">
        <v>8</v>
      </c>
      <c r="D1092" s="5" t="s">
        <v>28</v>
      </c>
      <c r="E1092" s="5" t="s">
        <v>10</v>
      </c>
      <c r="F1092" s="5">
        <v>1846.98</v>
      </c>
    </row>
    <row r="1093" spans="1:6" ht="15.75" thickBot="1" x14ac:dyDescent="0.3">
      <c r="A1093" s="4" t="s">
        <v>134</v>
      </c>
      <c r="B1093" s="5" t="s">
        <v>7</v>
      </c>
      <c r="C1093" s="5" t="s">
        <v>23</v>
      </c>
      <c r="D1093" s="5" t="s">
        <v>14</v>
      </c>
      <c r="E1093" s="5" t="s">
        <v>24</v>
      </c>
      <c r="F1093" s="5">
        <v>4193.53</v>
      </c>
    </row>
    <row r="1094" spans="1:6" ht="15.75" thickBot="1" x14ac:dyDescent="0.3">
      <c r="A1094" s="4" t="s">
        <v>135</v>
      </c>
      <c r="B1094" s="5" t="s">
        <v>12</v>
      </c>
      <c r="C1094" s="5" t="s">
        <v>34</v>
      </c>
      <c r="D1094" s="5" t="s">
        <v>28</v>
      </c>
      <c r="E1094" s="5" t="s">
        <v>10</v>
      </c>
      <c r="F1094" s="5">
        <v>1402.57</v>
      </c>
    </row>
    <row r="1095" spans="1:6" ht="30.75" thickBot="1" x14ac:dyDescent="0.3">
      <c r="A1095" s="4" t="s">
        <v>80</v>
      </c>
      <c r="B1095" s="5" t="s">
        <v>17</v>
      </c>
      <c r="C1095" s="5" t="s">
        <v>8</v>
      </c>
      <c r="D1095" s="5" t="s">
        <v>9</v>
      </c>
      <c r="E1095" s="5" t="s">
        <v>10</v>
      </c>
      <c r="F1095" s="5">
        <v>2860.1475580000001</v>
      </c>
    </row>
    <row r="1096" spans="1:6" ht="15.75" thickBot="1" x14ac:dyDescent="0.3">
      <c r="A1096" s="4" t="s">
        <v>62</v>
      </c>
      <c r="B1096" s="5" t="s">
        <v>30</v>
      </c>
      <c r="C1096" s="5" t="s">
        <v>13</v>
      </c>
      <c r="D1096" s="5" t="s">
        <v>28</v>
      </c>
      <c r="E1096" s="5" t="s">
        <v>15</v>
      </c>
      <c r="F1096" s="5">
        <v>1019.13</v>
      </c>
    </row>
    <row r="1097" spans="1:6" ht="15.75" thickBot="1" x14ac:dyDescent="0.3">
      <c r="A1097" s="4" t="s">
        <v>188</v>
      </c>
      <c r="B1097" s="5" t="s">
        <v>19</v>
      </c>
      <c r="C1097" s="5" t="s">
        <v>8</v>
      </c>
      <c r="D1097" s="5" t="s">
        <v>28</v>
      </c>
      <c r="E1097" s="5" t="s">
        <v>15</v>
      </c>
      <c r="F1097" s="5">
        <v>3886.16</v>
      </c>
    </row>
    <row r="1098" spans="1:6" ht="15.75" thickBot="1" x14ac:dyDescent="0.3">
      <c r="A1098" s="4" t="s">
        <v>125</v>
      </c>
      <c r="B1098" s="5" t="s">
        <v>7</v>
      </c>
      <c r="C1098" s="5" t="s">
        <v>34</v>
      </c>
      <c r="D1098" s="5" t="s">
        <v>9</v>
      </c>
      <c r="E1098" s="5" t="s">
        <v>15</v>
      </c>
      <c r="F1098" s="5">
        <v>2913.9286999999999</v>
      </c>
    </row>
    <row r="1099" spans="1:6" ht="15.75" thickBot="1" x14ac:dyDescent="0.3">
      <c r="A1099" s="4" t="s">
        <v>35</v>
      </c>
      <c r="B1099" s="5" t="s">
        <v>19</v>
      </c>
      <c r="C1099" s="5" t="s">
        <v>8</v>
      </c>
      <c r="D1099" s="5" t="s">
        <v>14</v>
      </c>
      <c r="E1099" s="5" t="s">
        <v>10</v>
      </c>
      <c r="F1099" s="5">
        <v>4929.24</v>
      </c>
    </row>
    <row r="1100" spans="1:6" ht="15.75" thickBot="1" x14ac:dyDescent="0.3">
      <c r="A1100" s="4" t="s">
        <v>48</v>
      </c>
      <c r="B1100" s="5" t="s">
        <v>19</v>
      </c>
      <c r="C1100" s="5" t="s">
        <v>13</v>
      </c>
      <c r="D1100" s="5" t="s">
        <v>14</v>
      </c>
      <c r="E1100" s="5" t="s">
        <v>10</v>
      </c>
      <c r="F1100" s="5">
        <v>197.22</v>
      </c>
    </row>
    <row r="1101" spans="1:6" ht="30.75" thickBot="1" x14ac:dyDescent="0.3">
      <c r="A1101" s="4" t="s">
        <v>205</v>
      </c>
      <c r="B1101" s="5" t="s">
        <v>17</v>
      </c>
      <c r="C1101" s="5" t="s">
        <v>34</v>
      </c>
      <c r="D1101" s="5" t="s">
        <v>28</v>
      </c>
      <c r="E1101" s="5" t="s">
        <v>10</v>
      </c>
      <c r="F1101" s="5">
        <v>3407.21</v>
      </c>
    </row>
    <row r="1102" spans="1:6" ht="15.75" thickBot="1" x14ac:dyDescent="0.3">
      <c r="A1102" s="4" t="s">
        <v>145</v>
      </c>
      <c r="B1102" s="5" t="s">
        <v>7</v>
      </c>
      <c r="C1102" s="5" t="s">
        <v>13</v>
      </c>
      <c r="D1102" s="5" t="s">
        <v>28</v>
      </c>
      <c r="E1102" s="5" t="s">
        <v>24</v>
      </c>
      <c r="F1102" s="5">
        <v>538.5</v>
      </c>
    </row>
    <row r="1103" spans="1:6" ht="15.75" thickBot="1" x14ac:dyDescent="0.3">
      <c r="A1103" s="4" t="s">
        <v>105</v>
      </c>
      <c r="B1103" s="5" t="s">
        <v>30</v>
      </c>
      <c r="C1103" s="5" t="s">
        <v>13</v>
      </c>
      <c r="D1103" s="5" t="s">
        <v>28</v>
      </c>
      <c r="E1103" s="5" t="s">
        <v>10</v>
      </c>
      <c r="F1103" s="5">
        <v>4976.37</v>
      </c>
    </row>
    <row r="1104" spans="1:6" ht="30.75" thickBot="1" x14ac:dyDescent="0.3">
      <c r="A1104" s="4" t="s">
        <v>131</v>
      </c>
      <c r="B1104" s="5" t="s">
        <v>17</v>
      </c>
      <c r="C1104" s="5" t="s">
        <v>8</v>
      </c>
      <c r="D1104" s="5" t="s">
        <v>14</v>
      </c>
      <c r="E1104" s="5" t="s">
        <v>24</v>
      </c>
      <c r="F1104" s="5">
        <v>1334.36</v>
      </c>
    </row>
    <row r="1105" spans="1:6" ht="15.75" thickBot="1" x14ac:dyDescent="0.3">
      <c r="A1105" s="4" t="s">
        <v>172</v>
      </c>
      <c r="B1105" s="5" t="s">
        <v>7</v>
      </c>
      <c r="C1105" s="5" t="s">
        <v>23</v>
      </c>
      <c r="D1105" s="5" t="s">
        <v>14</v>
      </c>
      <c r="E1105" s="5" t="s">
        <v>10</v>
      </c>
      <c r="F1105" s="5">
        <v>2641.31</v>
      </c>
    </row>
    <row r="1106" spans="1:6" ht="15.75" thickBot="1" x14ac:dyDescent="0.3">
      <c r="A1106" s="4" t="s">
        <v>196</v>
      </c>
      <c r="B1106" s="5" t="s">
        <v>30</v>
      </c>
      <c r="C1106" s="5" t="s">
        <v>13</v>
      </c>
      <c r="D1106" s="5" t="s">
        <v>9</v>
      </c>
      <c r="E1106" s="5" t="s">
        <v>24</v>
      </c>
      <c r="F1106" s="5">
        <v>3466.627704</v>
      </c>
    </row>
    <row r="1107" spans="1:6" ht="15.75" thickBot="1" x14ac:dyDescent="0.3">
      <c r="A1107" s="4" t="s">
        <v>152</v>
      </c>
      <c r="B1107" s="5" t="s">
        <v>30</v>
      </c>
      <c r="C1107" s="5" t="s">
        <v>8</v>
      </c>
      <c r="D1107" s="5" t="s">
        <v>14</v>
      </c>
      <c r="E1107" s="5" t="s">
        <v>24</v>
      </c>
      <c r="F1107" s="5">
        <v>4682.5600000000004</v>
      </c>
    </row>
    <row r="1108" spans="1:6" ht="15.75" thickBot="1" x14ac:dyDescent="0.3">
      <c r="A1108" s="4" t="s">
        <v>202</v>
      </c>
      <c r="B1108" s="5" t="s">
        <v>12</v>
      </c>
      <c r="C1108" s="5" t="s">
        <v>13</v>
      </c>
      <c r="D1108" s="5" t="s">
        <v>14</v>
      </c>
      <c r="E1108" s="5" t="s">
        <v>24</v>
      </c>
      <c r="F1108" s="5">
        <v>272.64</v>
      </c>
    </row>
    <row r="1109" spans="1:6" ht="30.75" thickBot="1" x14ac:dyDescent="0.3">
      <c r="A1109" s="4" t="s">
        <v>116</v>
      </c>
      <c r="B1109" s="5" t="s">
        <v>17</v>
      </c>
      <c r="C1109" s="5" t="s">
        <v>23</v>
      </c>
      <c r="D1109" s="5" t="s">
        <v>14</v>
      </c>
      <c r="E1109" s="5" t="s">
        <v>24</v>
      </c>
      <c r="F1109" s="5">
        <v>4584.96</v>
      </c>
    </row>
    <row r="1110" spans="1:6" ht="15.75" thickBot="1" x14ac:dyDescent="0.3">
      <c r="A1110" s="4" t="s">
        <v>175</v>
      </c>
      <c r="B1110" s="5" t="s">
        <v>7</v>
      </c>
      <c r="C1110" s="5" t="s">
        <v>23</v>
      </c>
      <c r="D1110" s="5" t="s">
        <v>14</v>
      </c>
      <c r="E1110" s="5" t="s">
        <v>15</v>
      </c>
      <c r="F1110" s="5">
        <v>3965.06</v>
      </c>
    </row>
    <row r="1111" spans="1:6" ht="15.75" thickBot="1" x14ac:dyDescent="0.3">
      <c r="A1111" s="4" t="s">
        <v>68</v>
      </c>
      <c r="B1111" s="5" t="s">
        <v>12</v>
      </c>
      <c r="C1111" s="5" t="s">
        <v>8</v>
      </c>
      <c r="D1111" s="5" t="s">
        <v>9</v>
      </c>
      <c r="E1111" s="5" t="s">
        <v>24</v>
      </c>
      <c r="F1111" s="5">
        <v>1855.0036909999999</v>
      </c>
    </row>
    <row r="1112" spans="1:6" ht="30.75" thickBot="1" x14ac:dyDescent="0.3">
      <c r="A1112" s="4" t="s">
        <v>58</v>
      </c>
      <c r="B1112" s="5" t="s">
        <v>17</v>
      </c>
      <c r="C1112" s="5" t="s">
        <v>34</v>
      </c>
      <c r="D1112" s="5" t="s">
        <v>9</v>
      </c>
      <c r="E1112" s="5" t="s">
        <v>10</v>
      </c>
      <c r="F1112" s="5">
        <v>1170.4913859999999</v>
      </c>
    </row>
    <row r="1113" spans="1:6" ht="15.75" thickBot="1" x14ac:dyDescent="0.3">
      <c r="A1113" s="4" t="s">
        <v>90</v>
      </c>
      <c r="B1113" s="5" t="s">
        <v>19</v>
      </c>
      <c r="C1113" s="5" t="s">
        <v>23</v>
      </c>
      <c r="D1113" s="5" t="s">
        <v>14</v>
      </c>
      <c r="E1113" s="5" t="s">
        <v>10</v>
      </c>
      <c r="F1113" s="5">
        <v>2881.56</v>
      </c>
    </row>
    <row r="1114" spans="1:6" ht="15.75" thickBot="1" x14ac:dyDescent="0.3">
      <c r="A1114" s="4" t="s">
        <v>73</v>
      </c>
      <c r="B1114" s="5" t="s">
        <v>30</v>
      </c>
      <c r="C1114" s="5" t="s">
        <v>34</v>
      </c>
      <c r="D1114" s="5" t="s">
        <v>14</v>
      </c>
      <c r="E1114" s="5" t="s">
        <v>24</v>
      </c>
      <c r="F1114" s="5">
        <v>4820.21</v>
      </c>
    </row>
    <row r="1115" spans="1:6" ht="15.75" thickBot="1" x14ac:dyDescent="0.3">
      <c r="A1115" s="4" t="s">
        <v>122</v>
      </c>
      <c r="B1115" s="5" t="s">
        <v>19</v>
      </c>
      <c r="C1115" s="5" t="s">
        <v>8</v>
      </c>
      <c r="D1115" s="5" t="s">
        <v>14</v>
      </c>
      <c r="E1115" s="5" t="s">
        <v>15</v>
      </c>
      <c r="F1115" s="5">
        <v>2635.84</v>
      </c>
    </row>
    <row r="1116" spans="1:6" ht="15.75" thickBot="1" x14ac:dyDescent="0.3">
      <c r="A1116" s="4" t="s">
        <v>25</v>
      </c>
      <c r="B1116" s="5" t="s">
        <v>19</v>
      </c>
      <c r="C1116" s="5" t="s">
        <v>34</v>
      </c>
      <c r="D1116" s="5" t="s">
        <v>28</v>
      </c>
      <c r="E1116" s="5" t="s">
        <v>15</v>
      </c>
      <c r="F1116" s="5">
        <v>3933.16</v>
      </c>
    </row>
    <row r="1117" spans="1:6" ht="15.75" thickBot="1" x14ac:dyDescent="0.3">
      <c r="A1117" s="4" t="s">
        <v>33</v>
      </c>
      <c r="B1117" s="5" t="s">
        <v>19</v>
      </c>
      <c r="C1117" s="5" t="s">
        <v>23</v>
      </c>
      <c r="D1117" s="5" t="s">
        <v>14</v>
      </c>
      <c r="E1117" s="5" t="s">
        <v>24</v>
      </c>
      <c r="F1117" s="5">
        <v>425.14</v>
      </c>
    </row>
    <row r="1118" spans="1:6" ht="30.75" thickBot="1" x14ac:dyDescent="0.3">
      <c r="A1118" s="4" t="s">
        <v>136</v>
      </c>
      <c r="B1118" s="5" t="s">
        <v>17</v>
      </c>
      <c r="C1118" s="5" t="s">
        <v>23</v>
      </c>
      <c r="D1118" s="5" t="s">
        <v>28</v>
      </c>
      <c r="E1118" s="5" t="s">
        <v>24</v>
      </c>
      <c r="F1118" s="5">
        <v>3494.61</v>
      </c>
    </row>
    <row r="1119" spans="1:6" ht="15.75" thickBot="1" x14ac:dyDescent="0.3">
      <c r="A1119" s="4" t="s">
        <v>204</v>
      </c>
      <c r="B1119" s="5" t="s">
        <v>30</v>
      </c>
      <c r="C1119" s="5" t="s">
        <v>23</v>
      </c>
      <c r="D1119" s="5" t="s">
        <v>9</v>
      </c>
      <c r="E1119" s="5" t="s">
        <v>10</v>
      </c>
      <c r="F1119" s="5">
        <v>3199.7601610000002</v>
      </c>
    </row>
    <row r="1120" spans="1:6" ht="15.75" thickBot="1" x14ac:dyDescent="0.3">
      <c r="A1120" s="4" t="s">
        <v>183</v>
      </c>
      <c r="B1120" s="5" t="s">
        <v>7</v>
      </c>
      <c r="C1120" s="5" t="s">
        <v>8</v>
      </c>
      <c r="D1120" s="5" t="s">
        <v>14</v>
      </c>
      <c r="E1120" s="5" t="s">
        <v>15</v>
      </c>
      <c r="F1120" s="5">
        <v>290.08999999999997</v>
      </c>
    </row>
    <row r="1121" spans="1:6" ht="15.75" thickBot="1" x14ac:dyDescent="0.3">
      <c r="A1121" s="4" t="s">
        <v>166</v>
      </c>
      <c r="B1121" s="5" t="s">
        <v>7</v>
      </c>
      <c r="C1121" s="5" t="s">
        <v>23</v>
      </c>
      <c r="D1121" s="5" t="s">
        <v>28</v>
      </c>
      <c r="E1121" s="5" t="s">
        <v>15</v>
      </c>
      <c r="F1121" s="5">
        <v>1123.56</v>
      </c>
    </row>
    <row r="1122" spans="1:6" ht="15.75" thickBot="1" x14ac:dyDescent="0.3">
      <c r="A1122" s="4" t="s">
        <v>206</v>
      </c>
      <c r="B1122" s="5" t="s">
        <v>19</v>
      </c>
      <c r="C1122" s="5" t="s">
        <v>8</v>
      </c>
      <c r="D1122" s="5" t="s">
        <v>28</v>
      </c>
      <c r="E1122" s="5" t="s">
        <v>10</v>
      </c>
      <c r="F1122" s="5">
        <v>1109.47</v>
      </c>
    </row>
    <row r="1123" spans="1:6" ht="15.75" thickBot="1" x14ac:dyDescent="0.3">
      <c r="A1123" s="4" t="s">
        <v>47</v>
      </c>
      <c r="B1123" s="5" t="s">
        <v>30</v>
      </c>
      <c r="C1123" s="5" t="s">
        <v>34</v>
      </c>
      <c r="D1123" s="5" t="s">
        <v>9</v>
      </c>
      <c r="E1123" s="5" t="s">
        <v>10</v>
      </c>
      <c r="F1123" s="5">
        <v>1044.9244289999999</v>
      </c>
    </row>
    <row r="1124" spans="1:6" ht="15.75" thickBot="1" x14ac:dyDescent="0.3">
      <c r="A1124" s="4" t="s">
        <v>50</v>
      </c>
      <c r="B1124" s="5" t="s">
        <v>19</v>
      </c>
      <c r="C1124" s="5" t="s">
        <v>13</v>
      </c>
      <c r="D1124" s="5" t="s">
        <v>9</v>
      </c>
      <c r="E1124" s="5" t="s">
        <v>15</v>
      </c>
      <c r="F1124" s="5">
        <v>5387.6739100000004</v>
      </c>
    </row>
    <row r="1125" spans="1:6" ht="15.75" thickBot="1" x14ac:dyDescent="0.3">
      <c r="A1125" s="4" t="s">
        <v>130</v>
      </c>
      <c r="B1125" s="5" t="s">
        <v>12</v>
      </c>
      <c r="C1125" s="5" t="s">
        <v>13</v>
      </c>
      <c r="D1125" s="5" t="s">
        <v>9</v>
      </c>
      <c r="E1125" s="5" t="s">
        <v>10</v>
      </c>
      <c r="F1125" s="5">
        <v>3244.167426</v>
      </c>
    </row>
    <row r="1126" spans="1:6" ht="15.75" thickBot="1" x14ac:dyDescent="0.3">
      <c r="A1126" s="4" t="s">
        <v>125</v>
      </c>
      <c r="B1126" s="5" t="s">
        <v>7</v>
      </c>
      <c r="C1126" s="5" t="s">
        <v>34</v>
      </c>
      <c r="D1126" s="5" t="s">
        <v>14</v>
      </c>
      <c r="E1126" s="5" t="s">
        <v>15</v>
      </c>
      <c r="F1126" s="5">
        <v>3954.01</v>
      </c>
    </row>
    <row r="1127" spans="1:6" ht="30.75" thickBot="1" x14ac:dyDescent="0.3">
      <c r="A1127" s="4" t="s">
        <v>147</v>
      </c>
      <c r="B1127" s="5" t="s">
        <v>17</v>
      </c>
      <c r="C1127" s="5" t="s">
        <v>34</v>
      </c>
      <c r="D1127" s="5" t="s">
        <v>14</v>
      </c>
      <c r="E1127" s="5" t="s">
        <v>24</v>
      </c>
      <c r="F1127" s="5">
        <v>1475.99</v>
      </c>
    </row>
    <row r="1128" spans="1:6" ht="15.75" thickBot="1" x14ac:dyDescent="0.3">
      <c r="A1128" s="4" t="s">
        <v>120</v>
      </c>
      <c r="B1128" s="5" t="s">
        <v>30</v>
      </c>
      <c r="C1128" s="5" t="s">
        <v>34</v>
      </c>
      <c r="D1128" s="5" t="s">
        <v>9</v>
      </c>
      <c r="E1128" s="5" t="s">
        <v>24</v>
      </c>
      <c r="F1128" s="5">
        <v>4669.976944</v>
      </c>
    </row>
    <row r="1129" spans="1:6" ht="15.75" thickBot="1" x14ac:dyDescent="0.3">
      <c r="A1129" s="4" t="s">
        <v>138</v>
      </c>
      <c r="B1129" s="5" t="s">
        <v>12</v>
      </c>
      <c r="C1129" s="5" t="s">
        <v>13</v>
      </c>
      <c r="D1129" s="5" t="s">
        <v>9</v>
      </c>
      <c r="E1129" s="5" t="s">
        <v>15</v>
      </c>
      <c r="F1129" s="5">
        <v>502.5731907</v>
      </c>
    </row>
    <row r="1130" spans="1:6" ht="15.75" thickBot="1" x14ac:dyDescent="0.3">
      <c r="A1130" s="4" t="s">
        <v>166</v>
      </c>
      <c r="B1130" s="5" t="s">
        <v>7</v>
      </c>
      <c r="C1130" s="5" t="s">
        <v>8</v>
      </c>
      <c r="D1130" s="5" t="s">
        <v>14</v>
      </c>
      <c r="E1130" s="5" t="s">
        <v>10</v>
      </c>
      <c r="F1130" s="5">
        <v>2663.13</v>
      </c>
    </row>
    <row r="1131" spans="1:6" ht="15.75" thickBot="1" x14ac:dyDescent="0.3">
      <c r="A1131" s="4" t="s">
        <v>188</v>
      </c>
      <c r="B1131" s="5" t="s">
        <v>19</v>
      </c>
      <c r="C1131" s="5" t="s">
        <v>13</v>
      </c>
      <c r="D1131" s="5" t="s">
        <v>14</v>
      </c>
      <c r="E1131" s="5" t="s">
        <v>15</v>
      </c>
      <c r="F1131" s="5">
        <v>3327.22</v>
      </c>
    </row>
    <row r="1132" spans="1:6" ht="15.75" thickBot="1" x14ac:dyDescent="0.3">
      <c r="A1132" s="4" t="s">
        <v>198</v>
      </c>
      <c r="B1132" s="5" t="s">
        <v>12</v>
      </c>
      <c r="C1132" s="5" t="s">
        <v>23</v>
      </c>
      <c r="D1132" s="5" t="s">
        <v>14</v>
      </c>
      <c r="E1132" s="5" t="s">
        <v>10</v>
      </c>
      <c r="F1132" s="5">
        <v>441.04</v>
      </c>
    </row>
    <row r="1133" spans="1:6" ht="15.75" thickBot="1" x14ac:dyDescent="0.3">
      <c r="A1133" s="4" t="s">
        <v>31</v>
      </c>
      <c r="B1133" s="5" t="s">
        <v>30</v>
      </c>
      <c r="C1133" s="5" t="s">
        <v>13</v>
      </c>
      <c r="D1133" s="5" t="s">
        <v>9</v>
      </c>
      <c r="E1133" s="5" t="s">
        <v>10</v>
      </c>
      <c r="F1133" s="5">
        <v>1466.4726929999999</v>
      </c>
    </row>
    <row r="1134" spans="1:6" ht="15.75" thickBot="1" x14ac:dyDescent="0.3">
      <c r="A1134" s="4" t="s">
        <v>95</v>
      </c>
      <c r="B1134" s="5" t="s">
        <v>30</v>
      </c>
      <c r="C1134" s="5" t="s">
        <v>34</v>
      </c>
      <c r="D1134" s="5" t="s">
        <v>9</v>
      </c>
      <c r="E1134" s="5" t="s">
        <v>10</v>
      </c>
      <c r="F1134" s="5">
        <v>5076.0106109999997</v>
      </c>
    </row>
    <row r="1135" spans="1:6" ht="15.75" thickBot="1" x14ac:dyDescent="0.3">
      <c r="A1135" s="4" t="s">
        <v>41</v>
      </c>
      <c r="B1135" s="5" t="s">
        <v>30</v>
      </c>
      <c r="C1135" s="5" t="s">
        <v>34</v>
      </c>
      <c r="D1135" s="5" t="s">
        <v>28</v>
      </c>
      <c r="E1135" s="5" t="s">
        <v>10</v>
      </c>
      <c r="F1135" s="5">
        <v>3971.86</v>
      </c>
    </row>
    <row r="1136" spans="1:6" ht="15.75" thickBot="1" x14ac:dyDescent="0.3">
      <c r="A1136" s="4" t="s">
        <v>189</v>
      </c>
      <c r="B1136" s="5" t="s">
        <v>19</v>
      </c>
      <c r="C1136" s="5" t="s">
        <v>23</v>
      </c>
      <c r="D1136" s="5" t="s">
        <v>28</v>
      </c>
      <c r="E1136" s="5" t="s">
        <v>10</v>
      </c>
      <c r="F1136" s="5">
        <v>3120.88</v>
      </c>
    </row>
    <row r="1137" spans="1:6" ht="15.75" thickBot="1" x14ac:dyDescent="0.3">
      <c r="A1137" s="4" t="s">
        <v>25</v>
      </c>
      <c r="B1137" s="5" t="s">
        <v>19</v>
      </c>
      <c r="C1137" s="5" t="s">
        <v>23</v>
      </c>
      <c r="D1137" s="5" t="s">
        <v>14</v>
      </c>
      <c r="E1137" s="5" t="s">
        <v>15</v>
      </c>
      <c r="F1137" s="5">
        <v>3407.69</v>
      </c>
    </row>
    <row r="1138" spans="1:6" ht="15.75" thickBot="1" x14ac:dyDescent="0.3">
      <c r="A1138" s="4" t="s">
        <v>103</v>
      </c>
      <c r="B1138" s="5" t="s">
        <v>19</v>
      </c>
      <c r="C1138" s="5" t="s">
        <v>8</v>
      </c>
      <c r="D1138" s="5" t="s">
        <v>9</v>
      </c>
      <c r="E1138" s="5" t="s">
        <v>10</v>
      </c>
      <c r="F1138" s="5">
        <v>4867.8938900000003</v>
      </c>
    </row>
    <row r="1139" spans="1:6" ht="15.75" thickBot="1" x14ac:dyDescent="0.3">
      <c r="A1139" s="4" t="s">
        <v>56</v>
      </c>
      <c r="B1139" s="5" t="s">
        <v>19</v>
      </c>
      <c r="C1139" s="5" t="s">
        <v>13</v>
      </c>
      <c r="D1139" s="5" t="s">
        <v>14</v>
      </c>
      <c r="E1139" s="5" t="s">
        <v>15</v>
      </c>
      <c r="F1139" s="5">
        <v>1080.8399999999999</v>
      </c>
    </row>
    <row r="1140" spans="1:6" ht="30.75" thickBot="1" x14ac:dyDescent="0.3">
      <c r="A1140" s="4" t="s">
        <v>171</v>
      </c>
      <c r="B1140" s="5" t="s">
        <v>17</v>
      </c>
      <c r="C1140" s="5" t="s">
        <v>23</v>
      </c>
      <c r="D1140" s="5" t="s">
        <v>9</v>
      </c>
      <c r="E1140" s="5" t="s">
        <v>24</v>
      </c>
      <c r="F1140" s="5">
        <v>1196.416798</v>
      </c>
    </row>
    <row r="1141" spans="1:6" ht="15.75" thickBot="1" x14ac:dyDescent="0.3">
      <c r="A1141" s="4" t="s">
        <v>176</v>
      </c>
      <c r="B1141" s="5" t="s">
        <v>19</v>
      </c>
      <c r="C1141" s="5" t="s">
        <v>34</v>
      </c>
      <c r="D1141" s="5" t="s">
        <v>14</v>
      </c>
      <c r="E1141" s="5" t="s">
        <v>15</v>
      </c>
      <c r="F1141" s="5">
        <v>2634.83</v>
      </c>
    </row>
    <row r="1142" spans="1:6" ht="15.75" thickBot="1" x14ac:dyDescent="0.3">
      <c r="A1142" s="4" t="s">
        <v>181</v>
      </c>
      <c r="B1142" s="5" t="s">
        <v>30</v>
      </c>
      <c r="C1142" s="5" t="s">
        <v>23</v>
      </c>
      <c r="D1142" s="5" t="s">
        <v>9</v>
      </c>
      <c r="E1142" s="5" t="s">
        <v>10</v>
      </c>
      <c r="F1142" s="5">
        <v>3396.5836939999999</v>
      </c>
    </row>
    <row r="1143" spans="1:6" ht="15.75" thickBot="1" x14ac:dyDescent="0.3">
      <c r="A1143" s="4" t="s">
        <v>186</v>
      </c>
      <c r="B1143" s="5" t="s">
        <v>30</v>
      </c>
      <c r="C1143" s="5" t="s">
        <v>13</v>
      </c>
      <c r="D1143" s="5" t="s">
        <v>14</v>
      </c>
      <c r="E1143" s="5" t="s">
        <v>15</v>
      </c>
      <c r="F1143" s="5">
        <v>4067.32</v>
      </c>
    </row>
    <row r="1144" spans="1:6" ht="15.75" thickBot="1" x14ac:dyDescent="0.3">
      <c r="A1144" s="4" t="s">
        <v>183</v>
      </c>
      <c r="B1144" s="5" t="s">
        <v>7</v>
      </c>
      <c r="C1144" s="5" t="s">
        <v>13</v>
      </c>
      <c r="D1144" s="5" t="s">
        <v>9</v>
      </c>
      <c r="E1144" s="5" t="s">
        <v>10</v>
      </c>
      <c r="F1144" s="5">
        <v>1241.4128969999999</v>
      </c>
    </row>
    <row r="1145" spans="1:6" ht="15.75" thickBot="1" x14ac:dyDescent="0.3">
      <c r="A1145" s="4" t="s">
        <v>52</v>
      </c>
      <c r="B1145" s="5" t="s">
        <v>19</v>
      </c>
      <c r="C1145" s="5" t="s">
        <v>23</v>
      </c>
      <c r="D1145" s="5" t="s">
        <v>14</v>
      </c>
      <c r="E1145" s="5" t="s">
        <v>24</v>
      </c>
      <c r="F1145" s="5">
        <v>3737.92</v>
      </c>
    </row>
    <row r="1146" spans="1:6" ht="15.75" thickBot="1" x14ac:dyDescent="0.3">
      <c r="A1146" s="4" t="s">
        <v>70</v>
      </c>
      <c r="B1146" s="5" t="s">
        <v>19</v>
      </c>
      <c r="C1146" s="5" t="s">
        <v>34</v>
      </c>
      <c r="D1146" s="5" t="s">
        <v>9</v>
      </c>
      <c r="E1146" s="5" t="s">
        <v>24</v>
      </c>
      <c r="F1146" s="5">
        <v>443.26562319999999</v>
      </c>
    </row>
    <row r="1147" spans="1:6" ht="15.75" thickBot="1" x14ac:dyDescent="0.3">
      <c r="A1147" s="4" t="s">
        <v>175</v>
      </c>
      <c r="B1147" s="5" t="s">
        <v>7</v>
      </c>
      <c r="C1147" s="5" t="s">
        <v>13</v>
      </c>
      <c r="D1147" s="5" t="s">
        <v>14</v>
      </c>
      <c r="E1147" s="5" t="s">
        <v>24</v>
      </c>
      <c r="F1147" s="5">
        <v>179.8</v>
      </c>
    </row>
    <row r="1148" spans="1:6" ht="30.75" thickBot="1" x14ac:dyDescent="0.3">
      <c r="A1148" s="4" t="s">
        <v>79</v>
      </c>
      <c r="B1148" s="5" t="s">
        <v>17</v>
      </c>
      <c r="C1148" s="5" t="s">
        <v>13</v>
      </c>
      <c r="D1148" s="5" t="s">
        <v>9</v>
      </c>
      <c r="E1148" s="5" t="s">
        <v>15</v>
      </c>
      <c r="F1148" s="5">
        <v>253.07943309999999</v>
      </c>
    </row>
    <row r="1149" spans="1:6" ht="15.75" thickBot="1" x14ac:dyDescent="0.3">
      <c r="A1149" s="4" t="s">
        <v>60</v>
      </c>
      <c r="B1149" s="5" t="s">
        <v>12</v>
      </c>
      <c r="C1149" s="5" t="s">
        <v>8</v>
      </c>
      <c r="D1149" s="5" t="s">
        <v>28</v>
      </c>
      <c r="E1149" s="5" t="s">
        <v>24</v>
      </c>
      <c r="F1149" s="5">
        <v>584.44000000000005</v>
      </c>
    </row>
    <row r="1150" spans="1:6" ht="15.75" thickBot="1" x14ac:dyDescent="0.3">
      <c r="A1150" s="4" t="s">
        <v>85</v>
      </c>
      <c r="B1150" s="5" t="s">
        <v>30</v>
      </c>
      <c r="C1150" s="5" t="s">
        <v>8</v>
      </c>
      <c r="D1150" s="5" t="s">
        <v>9</v>
      </c>
      <c r="E1150" s="5" t="s">
        <v>10</v>
      </c>
      <c r="F1150" s="5">
        <v>858.27154150000001</v>
      </c>
    </row>
    <row r="1151" spans="1:6" ht="15.75" thickBot="1" x14ac:dyDescent="0.3">
      <c r="A1151" s="4" t="s">
        <v>31</v>
      </c>
      <c r="B1151" s="5" t="s">
        <v>30</v>
      </c>
      <c r="C1151" s="5" t="s">
        <v>13</v>
      </c>
      <c r="D1151" s="5" t="s">
        <v>28</v>
      </c>
      <c r="E1151" s="5" t="s">
        <v>15</v>
      </c>
      <c r="F1151" s="5">
        <v>220.63</v>
      </c>
    </row>
    <row r="1152" spans="1:6" ht="15.75" thickBot="1" x14ac:dyDescent="0.3">
      <c r="A1152" s="4" t="s">
        <v>71</v>
      </c>
      <c r="B1152" s="5" t="s">
        <v>7</v>
      </c>
      <c r="C1152" s="5" t="s">
        <v>13</v>
      </c>
      <c r="D1152" s="5" t="s">
        <v>14</v>
      </c>
      <c r="E1152" s="5" t="s">
        <v>24</v>
      </c>
      <c r="F1152" s="5">
        <v>4665.38</v>
      </c>
    </row>
    <row r="1153" spans="1:6" ht="15.75" thickBot="1" x14ac:dyDescent="0.3">
      <c r="A1153" s="4" t="s">
        <v>212</v>
      </c>
      <c r="B1153" s="5" t="s">
        <v>7</v>
      </c>
      <c r="C1153" s="5" t="s">
        <v>13</v>
      </c>
      <c r="D1153" s="5" t="s">
        <v>14</v>
      </c>
      <c r="E1153" s="5" t="s">
        <v>15</v>
      </c>
      <c r="F1153" s="5">
        <v>3677.45</v>
      </c>
    </row>
    <row r="1154" spans="1:6" ht="30.75" thickBot="1" x14ac:dyDescent="0.3">
      <c r="A1154" s="4" t="s">
        <v>16</v>
      </c>
      <c r="B1154" s="5" t="s">
        <v>17</v>
      </c>
      <c r="C1154" s="5" t="s">
        <v>13</v>
      </c>
      <c r="D1154" s="5" t="s">
        <v>28</v>
      </c>
      <c r="E1154" s="5" t="s">
        <v>10</v>
      </c>
      <c r="F1154" s="5">
        <v>3434.59</v>
      </c>
    </row>
    <row r="1155" spans="1:6" ht="15.75" thickBot="1" x14ac:dyDescent="0.3">
      <c r="A1155" s="4" t="s">
        <v>40</v>
      </c>
      <c r="B1155" s="5" t="s">
        <v>19</v>
      </c>
      <c r="C1155" s="5" t="s">
        <v>34</v>
      </c>
      <c r="D1155" s="5" t="s">
        <v>9</v>
      </c>
      <c r="E1155" s="5" t="s">
        <v>24</v>
      </c>
      <c r="F1155" s="5">
        <v>1175.5930510000001</v>
      </c>
    </row>
    <row r="1156" spans="1:6" ht="15.75" thickBot="1" x14ac:dyDescent="0.3">
      <c r="A1156" s="4" t="s">
        <v>208</v>
      </c>
      <c r="B1156" s="5" t="s">
        <v>19</v>
      </c>
      <c r="C1156" s="5" t="s">
        <v>34</v>
      </c>
      <c r="D1156" s="5" t="s">
        <v>9</v>
      </c>
      <c r="E1156" s="5" t="s">
        <v>15</v>
      </c>
      <c r="F1156" s="5">
        <v>5155.3973189999997</v>
      </c>
    </row>
    <row r="1157" spans="1:6" ht="30.75" thickBot="1" x14ac:dyDescent="0.3">
      <c r="A1157" s="4" t="s">
        <v>148</v>
      </c>
      <c r="B1157" s="5" t="s">
        <v>17</v>
      </c>
      <c r="C1157" s="5" t="s">
        <v>34</v>
      </c>
      <c r="D1157" s="5" t="s">
        <v>14</v>
      </c>
      <c r="E1157" s="5" t="s">
        <v>10</v>
      </c>
      <c r="F1157" s="5">
        <v>4426.07</v>
      </c>
    </row>
    <row r="1158" spans="1:6" ht="30.75" thickBot="1" x14ac:dyDescent="0.3">
      <c r="A1158" s="4" t="s">
        <v>20</v>
      </c>
      <c r="B1158" s="5" t="s">
        <v>17</v>
      </c>
      <c r="C1158" s="5" t="s">
        <v>8</v>
      </c>
      <c r="D1158" s="5" t="s">
        <v>14</v>
      </c>
      <c r="E1158" s="5" t="s">
        <v>24</v>
      </c>
      <c r="F1158" s="5">
        <v>4487.54</v>
      </c>
    </row>
    <row r="1159" spans="1:6" ht="15.75" thickBot="1" x14ac:dyDescent="0.3">
      <c r="A1159" s="4" t="s">
        <v>209</v>
      </c>
      <c r="B1159" s="5" t="s">
        <v>7</v>
      </c>
      <c r="C1159" s="5" t="s">
        <v>13</v>
      </c>
      <c r="D1159" s="5" t="s">
        <v>28</v>
      </c>
      <c r="E1159" s="5" t="s">
        <v>15</v>
      </c>
      <c r="F1159" s="5">
        <v>844.07</v>
      </c>
    </row>
    <row r="1160" spans="1:6" ht="15.75" thickBot="1" x14ac:dyDescent="0.3">
      <c r="A1160" s="4" t="s">
        <v>157</v>
      </c>
      <c r="B1160" s="5" t="s">
        <v>30</v>
      </c>
      <c r="C1160" s="5" t="s">
        <v>34</v>
      </c>
      <c r="D1160" s="5" t="s">
        <v>28</v>
      </c>
      <c r="E1160" s="5" t="s">
        <v>24</v>
      </c>
      <c r="F1160" s="5">
        <v>808.96</v>
      </c>
    </row>
    <row r="1161" spans="1:6" ht="15.75" thickBot="1" x14ac:dyDescent="0.3">
      <c r="A1161" s="4" t="s">
        <v>54</v>
      </c>
      <c r="B1161" s="5" t="s">
        <v>12</v>
      </c>
      <c r="C1161" s="5" t="s">
        <v>23</v>
      </c>
      <c r="D1161" s="5" t="s">
        <v>9</v>
      </c>
      <c r="E1161" s="5" t="s">
        <v>10</v>
      </c>
      <c r="F1161" s="5">
        <v>4896.916663</v>
      </c>
    </row>
    <row r="1162" spans="1:6" ht="15.75" thickBot="1" x14ac:dyDescent="0.3">
      <c r="A1162" s="4" t="s">
        <v>151</v>
      </c>
      <c r="B1162" s="5" t="s">
        <v>12</v>
      </c>
      <c r="C1162" s="5" t="s">
        <v>8</v>
      </c>
      <c r="D1162" s="5" t="s">
        <v>9</v>
      </c>
      <c r="E1162" s="5" t="s">
        <v>10</v>
      </c>
      <c r="F1162" s="5">
        <v>191.17</v>
      </c>
    </row>
    <row r="1163" spans="1:6" ht="30.75" thickBot="1" x14ac:dyDescent="0.3">
      <c r="A1163" s="4" t="s">
        <v>137</v>
      </c>
      <c r="B1163" s="5" t="s">
        <v>17</v>
      </c>
      <c r="C1163" s="5" t="s">
        <v>34</v>
      </c>
      <c r="D1163" s="5" t="s">
        <v>14</v>
      </c>
      <c r="E1163" s="5" t="s">
        <v>10</v>
      </c>
      <c r="F1163" s="5">
        <v>1697.2</v>
      </c>
    </row>
    <row r="1164" spans="1:6" ht="15.75" thickBot="1" x14ac:dyDescent="0.3">
      <c r="A1164" s="4" t="s">
        <v>57</v>
      </c>
      <c r="B1164" s="5" t="s">
        <v>19</v>
      </c>
      <c r="C1164" s="5" t="s">
        <v>8</v>
      </c>
      <c r="D1164" s="5" t="s">
        <v>9</v>
      </c>
      <c r="E1164" s="5" t="s">
        <v>24</v>
      </c>
      <c r="F1164" s="5">
        <v>4105.0089230000003</v>
      </c>
    </row>
    <row r="1165" spans="1:6" ht="30.75" thickBot="1" x14ac:dyDescent="0.3">
      <c r="A1165" s="4" t="s">
        <v>80</v>
      </c>
      <c r="B1165" s="5" t="s">
        <v>17</v>
      </c>
      <c r="C1165" s="5" t="s">
        <v>13</v>
      </c>
      <c r="D1165" s="5" t="s">
        <v>28</v>
      </c>
      <c r="E1165" s="5" t="s">
        <v>10</v>
      </c>
      <c r="F1165" s="5">
        <v>4095.94</v>
      </c>
    </row>
    <row r="1166" spans="1:6" ht="15.75" thickBot="1" x14ac:dyDescent="0.3">
      <c r="A1166" s="4" t="s">
        <v>99</v>
      </c>
      <c r="B1166" s="5" t="s">
        <v>19</v>
      </c>
      <c r="C1166" s="5" t="s">
        <v>8</v>
      </c>
      <c r="D1166" s="5" t="s">
        <v>14</v>
      </c>
      <c r="E1166" s="5" t="s">
        <v>24</v>
      </c>
      <c r="F1166" s="5">
        <v>1094.42</v>
      </c>
    </row>
    <row r="1167" spans="1:6" ht="15.75" thickBot="1" x14ac:dyDescent="0.3">
      <c r="A1167" s="4" t="s">
        <v>178</v>
      </c>
      <c r="B1167" s="5" t="s">
        <v>30</v>
      </c>
      <c r="C1167" s="5" t="s">
        <v>34</v>
      </c>
      <c r="D1167" s="5" t="s">
        <v>9</v>
      </c>
      <c r="E1167" s="5" t="s">
        <v>15</v>
      </c>
      <c r="F1167" s="5">
        <v>2501.4700050000001</v>
      </c>
    </row>
    <row r="1168" spans="1:6" ht="15.75" thickBot="1" x14ac:dyDescent="0.3">
      <c r="A1168" s="4" t="s">
        <v>138</v>
      </c>
      <c r="B1168" s="5" t="s">
        <v>12</v>
      </c>
      <c r="C1168" s="5" t="s">
        <v>34</v>
      </c>
      <c r="D1168" s="5" t="s">
        <v>14</v>
      </c>
      <c r="E1168" s="5" t="s">
        <v>24</v>
      </c>
      <c r="F1168" s="5">
        <v>1137.71</v>
      </c>
    </row>
    <row r="1169" spans="1:6" ht="15.75" thickBot="1" x14ac:dyDescent="0.3">
      <c r="A1169" s="4" t="s">
        <v>113</v>
      </c>
      <c r="B1169" s="5" t="s">
        <v>30</v>
      </c>
      <c r="C1169" s="5" t="s">
        <v>23</v>
      </c>
      <c r="D1169" s="5" t="s">
        <v>28</v>
      </c>
      <c r="E1169" s="5" t="s">
        <v>15</v>
      </c>
      <c r="F1169" s="5">
        <v>2685.34</v>
      </c>
    </row>
    <row r="1170" spans="1:6" ht="15.75" thickBot="1" x14ac:dyDescent="0.3">
      <c r="A1170" s="4" t="s">
        <v>184</v>
      </c>
      <c r="B1170" s="5" t="s">
        <v>30</v>
      </c>
      <c r="C1170" s="5" t="s">
        <v>13</v>
      </c>
      <c r="D1170" s="5" t="s">
        <v>14</v>
      </c>
      <c r="E1170" s="5" t="s">
        <v>24</v>
      </c>
      <c r="F1170" s="5">
        <v>3561.14</v>
      </c>
    </row>
    <row r="1171" spans="1:6" ht="15.75" thickBot="1" x14ac:dyDescent="0.3">
      <c r="A1171" s="4" t="s">
        <v>55</v>
      </c>
      <c r="B1171" s="5" t="s">
        <v>12</v>
      </c>
      <c r="C1171" s="5" t="s">
        <v>23</v>
      </c>
      <c r="D1171" s="5" t="s">
        <v>9</v>
      </c>
      <c r="E1171" s="5" t="s">
        <v>10</v>
      </c>
      <c r="F1171" s="5">
        <v>135.56644890000001</v>
      </c>
    </row>
    <row r="1172" spans="1:6" ht="15.75" thickBot="1" x14ac:dyDescent="0.3">
      <c r="A1172" s="4" t="s">
        <v>201</v>
      </c>
      <c r="B1172" s="5" t="s">
        <v>12</v>
      </c>
      <c r="C1172" s="5" t="s">
        <v>8</v>
      </c>
      <c r="D1172" s="5" t="s">
        <v>28</v>
      </c>
      <c r="E1172" s="5" t="s">
        <v>15</v>
      </c>
      <c r="F1172" s="5">
        <v>651.62</v>
      </c>
    </row>
    <row r="1173" spans="1:6" ht="15.75" thickBot="1" x14ac:dyDescent="0.3">
      <c r="A1173" s="4" t="s">
        <v>189</v>
      </c>
      <c r="B1173" s="5" t="s">
        <v>19</v>
      </c>
      <c r="C1173" s="5" t="s">
        <v>34</v>
      </c>
      <c r="D1173" s="5" t="s">
        <v>9</v>
      </c>
      <c r="E1173" s="5" t="s">
        <v>10</v>
      </c>
      <c r="F1173" s="5">
        <v>243.88</v>
      </c>
    </row>
    <row r="1174" spans="1:6" ht="30.75" thickBot="1" x14ac:dyDescent="0.3">
      <c r="A1174" s="4" t="s">
        <v>215</v>
      </c>
      <c r="B1174" s="5" t="s">
        <v>17</v>
      </c>
      <c r="C1174" s="5" t="s">
        <v>34</v>
      </c>
      <c r="D1174" s="5" t="s">
        <v>28</v>
      </c>
      <c r="E1174" s="5" t="s">
        <v>24</v>
      </c>
      <c r="F1174" s="5">
        <v>2204.12</v>
      </c>
    </row>
    <row r="1175" spans="1:6" ht="15.75" thickBot="1" x14ac:dyDescent="0.3">
      <c r="A1175" s="4" t="s">
        <v>77</v>
      </c>
      <c r="B1175" s="5" t="s">
        <v>30</v>
      </c>
      <c r="C1175" s="5" t="s">
        <v>34</v>
      </c>
      <c r="D1175" s="5" t="s">
        <v>9</v>
      </c>
      <c r="E1175" s="5" t="s">
        <v>24</v>
      </c>
      <c r="F1175" s="5">
        <v>4031.3117550000002</v>
      </c>
    </row>
    <row r="1176" spans="1:6" ht="30.75" thickBot="1" x14ac:dyDescent="0.3">
      <c r="A1176" s="4" t="s">
        <v>37</v>
      </c>
      <c r="B1176" s="5" t="s">
        <v>17</v>
      </c>
      <c r="C1176" s="5" t="s">
        <v>8</v>
      </c>
      <c r="D1176" s="5" t="s">
        <v>14</v>
      </c>
      <c r="E1176" s="5" t="s">
        <v>24</v>
      </c>
      <c r="F1176" s="5">
        <v>1311.25</v>
      </c>
    </row>
    <row r="1177" spans="1:6" ht="15.75" thickBot="1" x14ac:dyDescent="0.3">
      <c r="A1177" s="4" t="s">
        <v>96</v>
      </c>
      <c r="B1177" s="5" t="s">
        <v>19</v>
      </c>
      <c r="C1177" s="5" t="s">
        <v>8</v>
      </c>
      <c r="D1177" s="5" t="s">
        <v>9</v>
      </c>
      <c r="E1177" s="5" t="s">
        <v>10</v>
      </c>
      <c r="F1177" s="5">
        <v>496.00451520000001</v>
      </c>
    </row>
    <row r="1178" spans="1:6" ht="30.75" thickBot="1" x14ac:dyDescent="0.3">
      <c r="A1178" s="4" t="s">
        <v>136</v>
      </c>
      <c r="B1178" s="5" t="s">
        <v>17</v>
      </c>
      <c r="C1178" s="5" t="s">
        <v>8</v>
      </c>
      <c r="D1178" s="5" t="s">
        <v>14</v>
      </c>
      <c r="E1178" s="5" t="s">
        <v>10</v>
      </c>
      <c r="F1178" s="5">
        <v>3182.6</v>
      </c>
    </row>
    <row r="1179" spans="1:6" ht="15.75" thickBot="1" x14ac:dyDescent="0.3">
      <c r="A1179" s="4" t="s">
        <v>182</v>
      </c>
      <c r="B1179" s="5" t="s">
        <v>12</v>
      </c>
      <c r="C1179" s="5" t="s">
        <v>23</v>
      </c>
      <c r="D1179" s="5" t="s">
        <v>14</v>
      </c>
      <c r="E1179" s="5" t="s">
        <v>15</v>
      </c>
      <c r="F1179" s="5">
        <v>1935.31</v>
      </c>
    </row>
    <row r="1180" spans="1:6" ht="15.75" thickBot="1" x14ac:dyDescent="0.3">
      <c r="A1180" s="4" t="s">
        <v>103</v>
      </c>
      <c r="B1180" s="5" t="s">
        <v>19</v>
      </c>
      <c r="C1180" s="5" t="s">
        <v>34</v>
      </c>
      <c r="D1180" s="5" t="s">
        <v>9</v>
      </c>
      <c r="E1180" s="5" t="s">
        <v>10</v>
      </c>
      <c r="F1180" s="5">
        <v>4354.07557</v>
      </c>
    </row>
    <row r="1181" spans="1:6" ht="15.75" thickBot="1" x14ac:dyDescent="0.3">
      <c r="A1181" s="4" t="s">
        <v>144</v>
      </c>
      <c r="B1181" s="5" t="s">
        <v>30</v>
      </c>
      <c r="C1181" s="5" t="s">
        <v>13</v>
      </c>
      <c r="D1181" s="5" t="s">
        <v>28</v>
      </c>
      <c r="E1181" s="5" t="s">
        <v>15</v>
      </c>
      <c r="F1181" s="5">
        <v>4545.6899999999996</v>
      </c>
    </row>
    <row r="1182" spans="1:6" ht="15.75" thickBot="1" x14ac:dyDescent="0.3">
      <c r="A1182" s="4" t="s">
        <v>126</v>
      </c>
      <c r="B1182" s="5" t="s">
        <v>30</v>
      </c>
      <c r="C1182" s="5" t="s">
        <v>13</v>
      </c>
      <c r="D1182" s="5" t="s">
        <v>28</v>
      </c>
      <c r="E1182" s="5" t="s">
        <v>10</v>
      </c>
      <c r="F1182" s="5">
        <v>1019.91</v>
      </c>
    </row>
    <row r="1183" spans="1:6" ht="30.75" thickBot="1" x14ac:dyDescent="0.3">
      <c r="A1183" s="4" t="s">
        <v>205</v>
      </c>
      <c r="B1183" s="5" t="s">
        <v>17</v>
      </c>
      <c r="C1183" s="5" t="s">
        <v>34</v>
      </c>
      <c r="D1183" s="5" t="s">
        <v>9</v>
      </c>
      <c r="E1183" s="5" t="s">
        <v>24</v>
      </c>
      <c r="F1183" s="5">
        <v>3313.0768830000002</v>
      </c>
    </row>
    <row r="1184" spans="1:6" ht="15.75" thickBot="1" x14ac:dyDescent="0.3">
      <c r="A1184" s="4" t="s">
        <v>72</v>
      </c>
      <c r="B1184" s="5" t="s">
        <v>19</v>
      </c>
      <c r="C1184" s="5" t="s">
        <v>34</v>
      </c>
      <c r="D1184" s="5" t="s">
        <v>28</v>
      </c>
      <c r="E1184" s="5" t="s">
        <v>24</v>
      </c>
      <c r="F1184" s="5">
        <v>2988.27</v>
      </c>
    </row>
    <row r="1185" spans="1:6" ht="15.75" thickBot="1" x14ac:dyDescent="0.3">
      <c r="A1185" s="4" t="s">
        <v>146</v>
      </c>
      <c r="B1185" s="5" t="s">
        <v>7</v>
      </c>
      <c r="C1185" s="5" t="s">
        <v>34</v>
      </c>
      <c r="D1185" s="5" t="s">
        <v>9</v>
      </c>
      <c r="E1185" s="5" t="s">
        <v>24</v>
      </c>
      <c r="F1185" s="5">
        <v>4688.4712579999996</v>
      </c>
    </row>
    <row r="1186" spans="1:6" ht="30.75" thickBot="1" x14ac:dyDescent="0.3">
      <c r="A1186" s="4" t="s">
        <v>76</v>
      </c>
      <c r="B1186" s="5" t="s">
        <v>17</v>
      </c>
      <c r="C1186" s="5" t="s">
        <v>34</v>
      </c>
      <c r="D1186" s="5" t="s">
        <v>9</v>
      </c>
      <c r="E1186" s="5" t="s">
        <v>24</v>
      </c>
      <c r="F1186" s="5">
        <v>4159.3606559999998</v>
      </c>
    </row>
    <row r="1187" spans="1:6" ht="15.75" thickBot="1" x14ac:dyDescent="0.3">
      <c r="A1187" s="4" t="s">
        <v>146</v>
      </c>
      <c r="B1187" s="5" t="s">
        <v>7</v>
      </c>
      <c r="C1187" s="5" t="s">
        <v>13</v>
      </c>
      <c r="D1187" s="5" t="s">
        <v>14</v>
      </c>
      <c r="E1187" s="5" t="s">
        <v>24</v>
      </c>
      <c r="F1187" s="5">
        <v>3142.22</v>
      </c>
    </row>
    <row r="1188" spans="1:6" ht="15.75" thickBot="1" x14ac:dyDescent="0.3">
      <c r="A1188" s="4" t="s">
        <v>193</v>
      </c>
      <c r="B1188" s="5" t="s">
        <v>12</v>
      </c>
      <c r="C1188" s="5" t="s">
        <v>34</v>
      </c>
      <c r="D1188" s="5" t="s">
        <v>9</v>
      </c>
      <c r="E1188" s="5" t="s">
        <v>15</v>
      </c>
      <c r="F1188" s="5">
        <v>4654.5582059999997</v>
      </c>
    </row>
    <row r="1189" spans="1:6" ht="30.75" thickBot="1" x14ac:dyDescent="0.3">
      <c r="A1189" s="4" t="s">
        <v>76</v>
      </c>
      <c r="B1189" s="5" t="s">
        <v>17</v>
      </c>
      <c r="C1189" s="5" t="s">
        <v>13</v>
      </c>
      <c r="D1189" s="5" t="s">
        <v>9</v>
      </c>
      <c r="E1189" s="5" t="s">
        <v>15</v>
      </c>
      <c r="F1189" s="5">
        <v>348.73387589999999</v>
      </c>
    </row>
    <row r="1190" spans="1:6" ht="15.75" thickBot="1" x14ac:dyDescent="0.3">
      <c r="A1190" s="4" t="s">
        <v>109</v>
      </c>
      <c r="B1190" s="5" t="s">
        <v>12</v>
      </c>
      <c r="C1190" s="5" t="s">
        <v>23</v>
      </c>
      <c r="D1190" s="5" t="s">
        <v>14</v>
      </c>
      <c r="E1190" s="5" t="s">
        <v>15</v>
      </c>
      <c r="F1190" s="5">
        <v>4243.12</v>
      </c>
    </row>
    <row r="1191" spans="1:6" ht="15.75" thickBot="1" x14ac:dyDescent="0.3">
      <c r="A1191" s="4" t="s">
        <v>52</v>
      </c>
      <c r="B1191" s="5" t="s">
        <v>19</v>
      </c>
      <c r="C1191" s="5" t="s">
        <v>8</v>
      </c>
      <c r="D1191" s="5" t="s">
        <v>14</v>
      </c>
      <c r="E1191" s="5" t="s">
        <v>24</v>
      </c>
      <c r="F1191" s="5">
        <v>4673.26</v>
      </c>
    </row>
    <row r="1192" spans="1:6" ht="15.75" thickBot="1" x14ac:dyDescent="0.3">
      <c r="A1192" s="4" t="s">
        <v>85</v>
      </c>
      <c r="B1192" s="5" t="s">
        <v>30</v>
      </c>
      <c r="C1192" s="5" t="s">
        <v>8</v>
      </c>
      <c r="D1192" s="5" t="s">
        <v>28</v>
      </c>
      <c r="E1192" s="5" t="s">
        <v>10</v>
      </c>
      <c r="F1192" s="5">
        <v>1127.24</v>
      </c>
    </row>
    <row r="1193" spans="1:6" ht="15.75" thickBot="1" x14ac:dyDescent="0.3">
      <c r="A1193" s="4" t="s">
        <v>185</v>
      </c>
      <c r="B1193" s="5" t="s">
        <v>30</v>
      </c>
      <c r="C1193" s="5" t="s">
        <v>34</v>
      </c>
      <c r="D1193" s="5" t="s">
        <v>9</v>
      </c>
      <c r="E1193" s="5" t="s">
        <v>24</v>
      </c>
      <c r="F1193" s="5">
        <v>884.52</v>
      </c>
    </row>
    <row r="1194" spans="1:6" ht="30.75" thickBot="1" x14ac:dyDescent="0.3">
      <c r="A1194" s="4" t="s">
        <v>131</v>
      </c>
      <c r="B1194" s="5" t="s">
        <v>17</v>
      </c>
      <c r="C1194" s="5" t="s">
        <v>34</v>
      </c>
      <c r="D1194" s="5" t="s">
        <v>9</v>
      </c>
      <c r="E1194" s="5" t="s">
        <v>24</v>
      </c>
      <c r="F1194" s="5">
        <v>692.69108289999997</v>
      </c>
    </row>
    <row r="1195" spans="1:6" ht="30.75" thickBot="1" x14ac:dyDescent="0.3">
      <c r="A1195" s="4" t="s">
        <v>149</v>
      </c>
      <c r="B1195" s="5" t="s">
        <v>17</v>
      </c>
      <c r="C1195" s="5" t="s">
        <v>8</v>
      </c>
      <c r="D1195" s="5" t="s">
        <v>9</v>
      </c>
      <c r="E1195" s="5" t="s">
        <v>15</v>
      </c>
      <c r="F1195" s="5">
        <v>1097.7746549999999</v>
      </c>
    </row>
    <row r="1196" spans="1:6" ht="15.75" thickBot="1" x14ac:dyDescent="0.3">
      <c r="A1196" s="4" t="s">
        <v>41</v>
      </c>
      <c r="B1196" s="5" t="s">
        <v>30</v>
      </c>
      <c r="C1196" s="5" t="s">
        <v>8</v>
      </c>
      <c r="D1196" s="5" t="s">
        <v>9</v>
      </c>
      <c r="E1196" s="5" t="s">
        <v>15</v>
      </c>
      <c r="F1196" s="5">
        <v>3601.7124260000001</v>
      </c>
    </row>
    <row r="1197" spans="1:6" ht="15.75" thickBot="1" x14ac:dyDescent="0.3">
      <c r="A1197" s="4" t="s">
        <v>130</v>
      </c>
      <c r="B1197" s="5" t="s">
        <v>12</v>
      </c>
      <c r="C1197" s="5" t="s">
        <v>23</v>
      </c>
      <c r="D1197" s="5" t="s">
        <v>14</v>
      </c>
      <c r="E1197" s="5" t="s">
        <v>15</v>
      </c>
      <c r="F1197" s="5">
        <v>4661.5</v>
      </c>
    </row>
    <row r="1198" spans="1:6" ht="15.75" thickBot="1" x14ac:dyDescent="0.3">
      <c r="A1198" s="4" t="s">
        <v>25</v>
      </c>
      <c r="B1198" s="5" t="s">
        <v>19</v>
      </c>
      <c r="C1198" s="5" t="s">
        <v>23</v>
      </c>
      <c r="D1198" s="5" t="s">
        <v>14</v>
      </c>
      <c r="E1198" s="5" t="s">
        <v>10</v>
      </c>
      <c r="F1198" s="5">
        <v>4163.95</v>
      </c>
    </row>
    <row r="1199" spans="1:6" ht="15.75" thickBot="1" x14ac:dyDescent="0.3">
      <c r="A1199" s="4" t="s">
        <v>40</v>
      </c>
      <c r="B1199" s="5" t="s">
        <v>19</v>
      </c>
      <c r="C1199" s="5" t="s">
        <v>23</v>
      </c>
      <c r="D1199" s="5" t="s">
        <v>14</v>
      </c>
      <c r="E1199" s="5" t="s">
        <v>15</v>
      </c>
      <c r="F1199" s="5">
        <v>2018.59</v>
      </c>
    </row>
    <row r="1200" spans="1:6" ht="15.75" thickBot="1" x14ac:dyDescent="0.3">
      <c r="A1200" s="4" t="s">
        <v>118</v>
      </c>
      <c r="B1200" s="5" t="s">
        <v>30</v>
      </c>
      <c r="C1200" s="5" t="s">
        <v>13</v>
      </c>
      <c r="D1200" s="5" t="s">
        <v>28</v>
      </c>
      <c r="E1200" s="5" t="s">
        <v>10</v>
      </c>
      <c r="F1200" s="5">
        <v>1373.09</v>
      </c>
    </row>
    <row r="1201" spans="1:6" ht="15.75" thickBot="1" x14ac:dyDescent="0.3">
      <c r="A1201" s="4" t="s">
        <v>65</v>
      </c>
      <c r="B1201" s="5" t="s">
        <v>30</v>
      </c>
      <c r="C1201" s="5" t="s">
        <v>13</v>
      </c>
      <c r="D1201" s="5" t="s">
        <v>14</v>
      </c>
      <c r="E1201" s="5" t="s">
        <v>10</v>
      </c>
      <c r="F1201" s="5">
        <v>1419.59</v>
      </c>
    </row>
    <row r="1202" spans="1:6" ht="15.75" thickBot="1" x14ac:dyDescent="0.3">
      <c r="A1202" s="4" t="s">
        <v>47</v>
      </c>
      <c r="B1202" s="5" t="s">
        <v>30</v>
      </c>
      <c r="C1202" s="5" t="s">
        <v>34</v>
      </c>
      <c r="D1202" s="5" t="s">
        <v>14</v>
      </c>
      <c r="E1202" s="5" t="s">
        <v>24</v>
      </c>
      <c r="F1202" s="5">
        <v>3946.93</v>
      </c>
    </row>
    <row r="1203" spans="1:6" ht="15.75" thickBot="1" x14ac:dyDescent="0.3">
      <c r="A1203" s="4" t="s">
        <v>32</v>
      </c>
      <c r="B1203" s="5" t="s">
        <v>7</v>
      </c>
      <c r="C1203" s="5" t="s">
        <v>34</v>
      </c>
      <c r="D1203" s="5" t="s">
        <v>14</v>
      </c>
      <c r="E1203" s="5" t="s">
        <v>24</v>
      </c>
      <c r="F1203" s="5">
        <v>685.73</v>
      </c>
    </row>
    <row r="1204" spans="1:6" ht="15.75" thickBot="1" x14ac:dyDescent="0.3">
      <c r="A1204" s="4" t="s">
        <v>108</v>
      </c>
      <c r="B1204" s="5" t="s">
        <v>7</v>
      </c>
      <c r="C1204" s="5" t="s">
        <v>8</v>
      </c>
      <c r="D1204" s="5" t="s">
        <v>14</v>
      </c>
      <c r="E1204" s="5" t="s">
        <v>10</v>
      </c>
      <c r="F1204" s="5">
        <v>4879.25</v>
      </c>
    </row>
    <row r="1205" spans="1:6" ht="15.75" thickBot="1" x14ac:dyDescent="0.3">
      <c r="A1205" s="4" t="s">
        <v>64</v>
      </c>
      <c r="B1205" s="5" t="s">
        <v>30</v>
      </c>
      <c r="C1205" s="5" t="s">
        <v>8</v>
      </c>
      <c r="D1205" s="5" t="s">
        <v>9</v>
      </c>
      <c r="E1205" s="5" t="s">
        <v>10</v>
      </c>
      <c r="F1205" s="5">
        <v>3667.49</v>
      </c>
    </row>
    <row r="1206" spans="1:6" ht="15.75" thickBot="1" x14ac:dyDescent="0.3">
      <c r="A1206" s="4" t="s">
        <v>150</v>
      </c>
      <c r="B1206" s="5" t="s">
        <v>30</v>
      </c>
      <c r="C1206" s="5" t="s">
        <v>13</v>
      </c>
      <c r="D1206" s="5" t="s">
        <v>28</v>
      </c>
      <c r="E1206" s="5" t="s">
        <v>15</v>
      </c>
      <c r="F1206" s="5">
        <v>1085.32</v>
      </c>
    </row>
    <row r="1207" spans="1:6" ht="15.75" thickBot="1" x14ac:dyDescent="0.3">
      <c r="A1207" s="4" t="s">
        <v>175</v>
      </c>
      <c r="B1207" s="5" t="s">
        <v>7</v>
      </c>
      <c r="C1207" s="5" t="s">
        <v>23</v>
      </c>
      <c r="D1207" s="5" t="s">
        <v>14</v>
      </c>
      <c r="E1207" s="5" t="s">
        <v>10</v>
      </c>
      <c r="F1207" s="5">
        <v>4510.42</v>
      </c>
    </row>
    <row r="1208" spans="1:6" ht="15.75" thickBot="1" x14ac:dyDescent="0.3">
      <c r="A1208" s="4" t="s">
        <v>84</v>
      </c>
      <c r="B1208" s="5" t="s">
        <v>30</v>
      </c>
      <c r="C1208" s="5" t="s">
        <v>34</v>
      </c>
      <c r="D1208" s="5" t="s">
        <v>14</v>
      </c>
      <c r="E1208" s="5" t="s">
        <v>24</v>
      </c>
      <c r="F1208" s="5">
        <v>499.33</v>
      </c>
    </row>
    <row r="1209" spans="1:6" ht="15.75" thickBot="1" x14ac:dyDescent="0.3">
      <c r="A1209" s="4" t="s">
        <v>153</v>
      </c>
      <c r="B1209" s="5" t="s">
        <v>7</v>
      </c>
      <c r="C1209" s="5" t="s">
        <v>8</v>
      </c>
      <c r="D1209" s="5" t="s">
        <v>9</v>
      </c>
      <c r="E1209" s="5" t="s">
        <v>15</v>
      </c>
      <c r="F1209" s="5">
        <v>1951.9222400000001</v>
      </c>
    </row>
    <row r="1210" spans="1:6" ht="15.75" thickBot="1" x14ac:dyDescent="0.3">
      <c r="A1210" s="4" t="s">
        <v>93</v>
      </c>
      <c r="B1210" s="5" t="s">
        <v>30</v>
      </c>
      <c r="C1210" s="5" t="s">
        <v>23</v>
      </c>
      <c r="D1210" s="5" t="s">
        <v>9</v>
      </c>
      <c r="E1210" s="5" t="s">
        <v>15</v>
      </c>
      <c r="F1210" s="5">
        <v>1473.5947920000001</v>
      </c>
    </row>
    <row r="1211" spans="1:6" ht="15.75" thickBot="1" x14ac:dyDescent="0.3">
      <c r="A1211" s="4" t="s">
        <v>97</v>
      </c>
      <c r="B1211" s="5" t="s">
        <v>7</v>
      </c>
      <c r="C1211" s="5" t="s">
        <v>13</v>
      </c>
      <c r="D1211" s="5" t="s">
        <v>14</v>
      </c>
      <c r="E1211" s="5" t="s">
        <v>15</v>
      </c>
      <c r="F1211" s="5">
        <v>3545.05</v>
      </c>
    </row>
    <row r="1212" spans="1:6" ht="15.75" thickBot="1" x14ac:dyDescent="0.3">
      <c r="A1212" s="4" t="s">
        <v>115</v>
      </c>
      <c r="B1212" s="5" t="s">
        <v>19</v>
      </c>
      <c r="C1212" s="5" t="s">
        <v>34</v>
      </c>
      <c r="D1212" s="5" t="s">
        <v>28</v>
      </c>
      <c r="E1212" s="5" t="s">
        <v>24</v>
      </c>
      <c r="F1212" s="5">
        <v>84.78</v>
      </c>
    </row>
    <row r="1213" spans="1:6" ht="15.75" thickBot="1" x14ac:dyDescent="0.3">
      <c r="A1213" s="4" t="s">
        <v>102</v>
      </c>
      <c r="B1213" s="5" t="s">
        <v>19</v>
      </c>
      <c r="C1213" s="5" t="s">
        <v>23</v>
      </c>
      <c r="D1213" s="5" t="s">
        <v>28</v>
      </c>
      <c r="E1213" s="5" t="s">
        <v>10</v>
      </c>
      <c r="F1213" s="5">
        <v>1941.65</v>
      </c>
    </row>
    <row r="1214" spans="1:6" ht="15.75" thickBot="1" x14ac:dyDescent="0.3">
      <c r="A1214" s="4" t="s">
        <v>191</v>
      </c>
      <c r="B1214" s="5" t="s">
        <v>12</v>
      </c>
      <c r="C1214" s="5" t="s">
        <v>34</v>
      </c>
      <c r="D1214" s="5" t="s">
        <v>14</v>
      </c>
      <c r="E1214" s="5" t="s">
        <v>10</v>
      </c>
      <c r="F1214" s="5">
        <v>2646.36</v>
      </c>
    </row>
    <row r="1215" spans="1:6" ht="15.75" thickBot="1" x14ac:dyDescent="0.3">
      <c r="A1215" s="4" t="s">
        <v>101</v>
      </c>
      <c r="B1215" s="5" t="s">
        <v>19</v>
      </c>
      <c r="C1215" s="5" t="s">
        <v>23</v>
      </c>
      <c r="D1215" s="5" t="s">
        <v>9</v>
      </c>
      <c r="E1215" s="5" t="s">
        <v>24</v>
      </c>
      <c r="F1215" s="5">
        <v>1257.0845320000001</v>
      </c>
    </row>
    <row r="1216" spans="1:6" ht="15.75" thickBot="1" x14ac:dyDescent="0.3">
      <c r="A1216" s="4" t="s">
        <v>49</v>
      </c>
      <c r="B1216" s="5" t="s">
        <v>19</v>
      </c>
      <c r="C1216" s="5" t="s">
        <v>13</v>
      </c>
      <c r="D1216" s="5" t="s">
        <v>14</v>
      </c>
      <c r="E1216" s="5" t="s">
        <v>10</v>
      </c>
      <c r="F1216" s="5">
        <v>4445.1499999999996</v>
      </c>
    </row>
    <row r="1217" spans="1:6" ht="15.75" thickBot="1" x14ac:dyDescent="0.3">
      <c r="A1217" s="4" t="s">
        <v>84</v>
      </c>
      <c r="B1217" s="5" t="s">
        <v>30</v>
      </c>
      <c r="C1217" s="5" t="s">
        <v>13</v>
      </c>
      <c r="D1217" s="5" t="s">
        <v>28</v>
      </c>
      <c r="E1217" s="5" t="s">
        <v>15</v>
      </c>
      <c r="F1217" s="5">
        <v>3717.99</v>
      </c>
    </row>
    <row r="1218" spans="1:6" ht="15.75" thickBot="1" x14ac:dyDescent="0.3">
      <c r="A1218" s="4" t="s">
        <v>196</v>
      </c>
      <c r="B1218" s="5" t="s">
        <v>30</v>
      </c>
      <c r="C1218" s="5" t="s">
        <v>23</v>
      </c>
      <c r="D1218" s="5" t="s">
        <v>9</v>
      </c>
      <c r="E1218" s="5" t="s">
        <v>24</v>
      </c>
      <c r="F1218" s="5">
        <v>4588.6389289999997</v>
      </c>
    </row>
    <row r="1219" spans="1:6" ht="15.75" thickBot="1" x14ac:dyDescent="0.3">
      <c r="A1219" s="4" t="s">
        <v>161</v>
      </c>
      <c r="B1219" s="5" t="s">
        <v>7</v>
      </c>
      <c r="C1219" s="5" t="s">
        <v>8</v>
      </c>
      <c r="D1219" s="5" t="s">
        <v>9</v>
      </c>
      <c r="E1219" s="5" t="s">
        <v>10</v>
      </c>
      <c r="F1219" s="5">
        <v>1806.876945</v>
      </c>
    </row>
    <row r="1220" spans="1:6" ht="30.75" thickBot="1" x14ac:dyDescent="0.3">
      <c r="A1220" s="4" t="s">
        <v>83</v>
      </c>
      <c r="B1220" s="5" t="s">
        <v>17</v>
      </c>
      <c r="C1220" s="5" t="s">
        <v>8</v>
      </c>
      <c r="D1220" s="5" t="s">
        <v>9</v>
      </c>
      <c r="E1220" s="5" t="s">
        <v>15</v>
      </c>
      <c r="F1220" s="5">
        <v>1893.445913</v>
      </c>
    </row>
    <row r="1221" spans="1:6" ht="15.75" thickBot="1" x14ac:dyDescent="0.3">
      <c r="A1221" s="4" t="s">
        <v>87</v>
      </c>
      <c r="B1221" s="5" t="s">
        <v>12</v>
      </c>
      <c r="C1221" s="5" t="s">
        <v>23</v>
      </c>
      <c r="D1221" s="5" t="s">
        <v>28</v>
      </c>
      <c r="E1221" s="5" t="s">
        <v>15</v>
      </c>
      <c r="F1221" s="5">
        <v>2906.15</v>
      </c>
    </row>
    <row r="1222" spans="1:6" ht="30.75" thickBot="1" x14ac:dyDescent="0.3">
      <c r="A1222" s="4" t="s">
        <v>205</v>
      </c>
      <c r="B1222" s="5" t="s">
        <v>17</v>
      </c>
      <c r="C1222" s="5" t="s">
        <v>23</v>
      </c>
      <c r="D1222" s="5" t="s">
        <v>9</v>
      </c>
      <c r="E1222" s="5" t="s">
        <v>10</v>
      </c>
      <c r="F1222" s="5">
        <v>4352.6233110000003</v>
      </c>
    </row>
    <row r="1223" spans="1:6" ht="15.75" thickBot="1" x14ac:dyDescent="0.3">
      <c r="A1223" s="4" t="s">
        <v>40</v>
      </c>
      <c r="B1223" s="5" t="s">
        <v>19</v>
      </c>
      <c r="C1223" s="5" t="s">
        <v>8</v>
      </c>
      <c r="D1223" s="5" t="s">
        <v>14</v>
      </c>
      <c r="E1223" s="5" t="s">
        <v>10</v>
      </c>
      <c r="F1223" s="5">
        <v>750.01</v>
      </c>
    </row>
    <row r="1224" spans="1:6" ht="15.75" thickBot="1" x14ac:dyDescent="0.3">
      <c r="A1224" s="4" t="s">
        <v>78</v>
      </c>
      <c r="B1224" s="5" t="s">
        <v>7</v>
      </c>
      <c r="C1224" s="5" t="s">
        <v>13</v>
      </c>
      <c r="D1224" s="5" t="s">
        <v>28</v>
      </c>
      <c r="E1224" s="5" t="s">
        <v>15</v>
      </c>
      <c r="F1224" s="5">
        <v>1435.13</v>
      </c>
    </row>
    <row r="1225" spans="1:6" ht="15.75" thickBot="1" x14ac:dyDescent="0.3">
      <c r="A1225" s="4" t="s">
        <v>181</v>
      </c>
      <c r="B1225" s="5" t="s">
        <v>30</v>
      </c>
      <c r="C1225" s="5" t="s">
        <v>13</v>
      </c>
      <c r="D1225" s="5" t="s">
        <v>14</v>
      </c>
      <c r="E1225" s="5" t="s">
        <v>24</v>
      </c>
      <c r="F1225" s="5">
        <v>3346.28</v>
      </c>
    </row>
    <row r="1226" spans="1:6" ht="15.75" thickBot="1" x14ac:dyDescent="0.3">
      <c r="A1226" s="4" t="s">
        <v>74</v>
      </c>
      <c r="B1226" s="5" t="s">
        <v>19</v>
      </c>
      <c r="C1226" s="5" t="s">
        <v>8</v>
      </c>
      <c r="D1226" s="5" t="s">
        <v>9</v>
      </c>
      <c r="E1226" s="5" t="s">
        <v>15</v>
      </c>
      <c r="F1226" s="5">
        <v>3975.6861549999999</v>
      </c>
    </row>
    <row r="1227" spans="1:6" ht="15.75" thickBot="1" x14ac:dyDescent="0.3">
      <c r="A1227" s="4" t="s">
        <v>88</v>
      </c>
      <c r="B1227" s="5" t="s">
        <v>7</v>
      </c>
      <c r="C1227" s="5" t="s">
        <v>23</v>
      </c>
      <c r="D1227" s="5" t="s">
        <v>14</v>
      </c>
      <c r="E1227" s="5" t="s">
        <v>24</v>
      </c>
      <c r="F1227" s="5">
        <v>3453.13</v>
      </c>
    </row>
    <row r="1228" spans="1:6" ht="15.75" thickBot="1" x14ac:dyDescent="0.3">
      <c r="A1228" s="4" t="s">
        <v>151</v>
      </c>
      <c r="B1228" s="5" t="s">
        <v>12</v>
      </c>
      <c r="C1228" s="5" t="s">
        <v>34</v>
      </c>
      <c r="D1228" s="5" t="s">
        <v>9</v>
      </c>
      <c r="E1228" s="5" t="s">
        <v>24</v>
      </c>
      <c r="F1228" s="5">
        <v>626.03</v>
      </c>
    </row>
    <row r="1229" spans="1:6" ht="15.75" thickBot="1" x14ac:dyDescent="0.3">
      <c r="A1229" s="4" t="s">
        <v>123</v>
      </c>
      <c r="B1229" s="5" t="s">
        <v>30</v>
      </c>
      <c r="C1229" s="5" t="s">
        <v>13</v>
      </c>
      <c r="D1229" s="5" t="s">
        <v>14</v>
      </c>
      <c r="E1229" s="5" t="s">
        <v>15</v>
      </c>
      <c r="F1229" s="5">
        <v>3255.93</v>
      </c>
    </row>
    <row r="1230" spans="1:6" ht="15.75" thickBot="1" x14ac:dyDescent="0.3">
      <c r="A1230" s="4" t="s">
        <v>219</v>
      </c>
      <c r="B1230" s="5" t="s">
        <v>12</v>
      </c>
      <c r="C1230" s="5" t="s">
        <v>8</v>
      </c>
      <c r="D1230" s="5" t="s">
        <v>28</v>
      </c>
      <c r="E1230" s="5" t="s">
        <v>24</v>
      </c>
      <c r="F1230" s="5">
        <v>4437.74</v>
      </c>
    </row>
    <row r="1231" spans="1:6" ht="15.75" thickBot="1" x14ac:dyDescent="0.3">
      <c r="A1231" s="4" t="s">
        <v>62</v>
      </c>
      <c r="B1231" s="5" t="s">
        <v>30</v>
      </c>
      <c r="C1231" s="5" t="s">
        <v>23</v>
      </c>
      <c r="D1231" s="5" t="s">
        <v>28</v>
      </c>
      <c r="E1231" s="5" t="s">
        <v>10</v>
      </c>
      <c r="F1231" s="5">
        <v>1531</v>
      </c>
    </row>
    <row r="1232" spans="1:6" ht="30.75" thickBot="1" x14ac:dyDescent="0.3">
      <c r="A1232" s="4" t="s">
        <v>142</v>
      </c>
      <c r="B1232" s="5" t="s">
        <v>17</v>
      </c>
      <c r="C1232" s="5" t="s">
        <v>8</v>
      </c>
      <c r="D1232" s="5" t="s">
        <v>28</v>
      </c>
      <c r="E1232" s="5" t="s">
        <v>24</v>
      </c>
      <c r="F1232" s="5">
        <v>3938.07</v>
      </c>
    </row>
    <row r="1233" spans="1:6" ht="15.75" thickBot="1" x14ac:dyDescent="0.3">
      <c r="A1233" s="4" t="s">
        <v>141</v>
      </c>
      <c r="B1233" s="5" t="s">
        <v>7</v>
      </c>
      <c r="C1233" s="5" t="s">
        <v>13</v>
      </c>
      <c r="D1233" s="5" t="s">
        <v>14</v>
      </c>
      <c r="E1233" s="5" t="s">
        <v>10</v>
      </c>
      <c r="F1233" s="5">
        <v>1999.93</v>
      </c>
    </row>
    <row r="1234" spans="1:6" ht="15.75" thickBot="1" x14ac:dyDescent="0.3">
      <c r="A1234" s="4" t="s">
        <v>214</v>
      </c>
      <c r="B1234" s="5" t="s">
        <v>30</v>
      </c>
      <c r="C1234" s="5" t="s">
        <v>13</v>
      </c>
      <c r="D1234" s="5" t="s">
        <v>9</v>
      </c>
      <c r="E1234" s="5" t="s">
        <v>15</v>
      </c>
      <c r="F1234" s="5">
        <v>379.85075039999998</v>
      </c>
    </row>
    <row r="1235" spans="1:6" ht="15.75" thickBot="1" x14ac:dyDescent="0.3">
      <c r="A1235" s="4" t="s">
        <v>55</v>
      </c>
      <c r="B1235" s="5" t="s">
        <v>12</v>
      </c>
      <c r="C1235" s="5" t="s">
        <v>13</v>
      </c>
      <c r="D1235" s="5" t="s">
        <v>9</v>
      </c>
      <c r="E1235" s="5" t="s">
        <v>24</v>
      </c>
      <c r="F1235" s="5">
        <v>4069.5413589999998</v>
      </c>
    </row>
    <row r="1236" spans="1:6" ht="30.75" thickBot="1" x14ac:dyDescent="0.3">
      <c r="A1236" s="4" t="s">
        <v>171</v>
      </c>
      <c r="B1236" s="5" t="s">
        <v>17</v>
      </c>
      <c r="C1236" s="5" t="s">
        <v>34</v>
      </c>
      <c r="D1236" s="5" t="s">
        <v>28</v>
      </c>
      <c r="E1236" s="5" t="s">
        <v>15</v>
      </c>
      <c r="F1236" s="5">
        <v>2664.95</v>
      </c>
    </row>
    <row r="1237" spans="1:6" ht="15.75" thickBot="1" x14ac:dyDescent="0.3">
      <c r="A1237" s="4" t="s">
        <v>160</v>
      </c>
      <c r="B1237" s="5" t="s">
        <v>30</v>
      </c>
      <c r="C1237" s="5" t="s">
        <v>34</v>
      </c>
      <c r="D1237" s="5" t="s">
        <v>9</v>
      </c>
      <c r="E1237" s="5" t="s">
        <v>15</v>
      </c>
      <c r="F1237" s="5">
        <v>1975.28</v>
      </c>
    </row>
    <row r="1238" spans="1:6" ht="30.75" thickBot="1" x14ac:dyDescent="0.3">
      <c r="A1238" s="4" t="s">
        <v>215</v>
      </c>
      <c r="B1238" s="5" t="s">
        <v>17</v>
      </c>
      <c r="C1238" s="5" t="s">
        <v>8</v>
      </c>
      <c r="D1238" s="5" t="s">
        <v>14</v>
      </c>
      <c r="E1238" s="5" t="s">
        <v>24</v>
      </c>
      <c r="F1238" s="5">
        <v>4697.13</v>
      </c>
    </row>
    <row r="1239" spans="1:6" ht="15.75" thickBot="1" x14ac:dyDescent="0.3">
      <c r="A1239" s="4" t="s">
        <v>204</v>
      </c>
      <c r="B1239" s="5" t="s">
        <v>30</v>
      </c>
      <c r="C1239" s="5" t="s">
        <v>13</v>
      </c>
      <c r="D1239" s="5" t="s">
        <v>14</v>
      </c>
      <c r="E1239" s="5" t="s">
        <v>15</v>
      </c>
      <c r="F1239" s="5">
        <v>2932.94</v>
      </c>
    </row>
    <row r="1240" spans="1:6" ht="30.75" thickBot="1" x14ac:dyDescent="0.3">
      <c r="A1240" s="4" t="s">
        <v>190</v>
      </c>
      <c r="B1240" s="5" t="s">
        <v>17</v>
      </c>
      <c r="C1240" s="5" t="s">
        <v>8</v>
      </c>
      <c r="D1240" s="5" t="s">
        <v>28</v>
      </c>
      <c r="E1240" s="5" t="s">
        <v>15</v>
      </c>
      <c r="F1240" s="5">
        <v>1869.13</v>
      </c>
    </row>
    <row r="1241" spans="1:6" ht="15.75" thickBot="1" x14ac:dyDescent="0.3">
      <c r="A1241" s="4" t="s">
        <v>87</v>
      </c>
      <c r="B1241" s="5" t="s">
        <v>12</v>
      </c>
      <c r="C1241" s="5" t="s">
        <v>8</v>
      </c>
      <c r="D1241" s="5" t="s">
        <v>14</v>
      </c>
      <c r="E1241" s="5" t="s">
        <v>15</v>
      </c>
      <c r="F1241" s="5">
        <v>3433.46</v>
      </c>
    </row>
    <row r="1242" spans="1:6" ht="30.75" thickBot="1" x14ac:dyDescent="0.3">
      <c r="A1242" s="4" t="s">
        <v>218</v>
      </c>
      <c r="B1242" s="5" t="s">
        <v>17</v>
      </c>
      <c r="C1242" s="5" t="s">
        <v>23</v>
      </c>
      <c r="D1242" s="5" t="s">
        <v>14</v>
      </c>
      <c r="E1242" s="5" t="s">
        <v>10</v>
      </c>
      <c r="F1242" s="5">
        <v>3234.84</v>
      </c>
    </row>
    <row r="1243" spans="1:6" ht="15.75" thickBot="1" x14ac:dyDescent="0.3">
      <c r="A1243" s="4" t="s">
        <v>31</v>
      </c>
      <c r="B1243" s="5" t="s">
        <v>30</v>
      </c>
      <c r="C1243" s="5" t="s">
        <v>8</v>
      </c>
      <c r="D1243" s="5" t="s">
        <v>14</v>
      </c>
      <c r="E1243" s="5" t="s">
        <v>24</v>
      </c>
      <c r="F1243" s="5">
        <v>2947.36</v>
      </c>
    </row>
    <row r="1244" spans="1:6" ht="15.75" thickBot="1" x14ac:dyDescent="0.3">
      <c r="A1244" s="4" t="s">
        <v>204</v>
      </c>
      <c r="B1244" s="5" t="s">
        <v>30</v>
      </c>
      <c r="C1244" s="5" t="s">
        <v>34</v>
      </c>
      <c r="D1244" s="5" t="s">
        <v>9</v>
      </c>
      <c r="E1244" s="5" t="s">
        <v>24</v>
      </c>
      <c r="F1244" s="5">
        <v>4189.4613179999997</v>
      </c>
    </row>
    <row r="1245" spans="1:6" ht="15.75" thickBot="1" x14ac:dyDescent="0.3">
      <c r="A1245" s="4" t="s">
        <v>31</v>
      </c>
      <c r="B1245" s="5" t="s">
        <v>30</v>
      </c>
      <c r="C1245" s="5" t="s">
        <v>8</v>
      </c>
      <c r="D1245" s="5" t="s">
        <v>14</v>
      </c>
      <c r="E1245" s="5" t="s">
        <v>15</v>
      </c>
      <c r="F1245" s="5">
        <v>4346.51</v>
      </c>
    </row>
    <row r="1246" spans="1:6" ht="15.75" thickBot="1" x14ac:dyDescent="0.3">
      <c r="A1246" s="4" t="s">
        <v>124</v>
      </c>
      <c r="B1246" s="5" t="s">
        <v>12</v>
      </c>
      <c r="C1246" s="5" t="s">
        <v>34</v>
      </c>
      <c r="D1246" s="5" t="s">
        <v>14</v>
      </c>
      <c r="E1246" s="5" t="s">
        <v>15</v>
      </c>
      <c r="F1246" s="5">
        <v>1356.94</v>
      </c>
    </row>
    <row r="1247" spans="1:6" ht="15.75" thickBot="1" x14ac:dyDescent="0.3">
      <c r="A1247" s="4" t="s">
        <v>197</v>
      </c>
      <c r="B1247" s="5" t="s">
        <v>30</v>
      </c>
      <c r="C1247" s="5" t="s">
        <v>8</v>
      </c>
      <c r="D1247" s="5" t="s">
        <v>28</v>
      </c>
      <c r="E1247" s="5" t="s">
        <v>10</v>
      </c>
      <c r="F1247" s="5">
        <v>50.06</v>
      </c>
    </row>
    <row r="1248" spans="1:6" ht="15.75" thickBot="1" x14ac:dyDescent="0.3">
      <c r="A1248" s="4" t="s">
        <v>202</v>
      </c>
      <c r="B1248" s="5" t="s">
        <v>12</v>
      </c>
      <c r="C1248" s="5" t="s">
        <v>13</v>
      </c>
      <c r="D1248" s="5" t="s">
        <v>28</v>
      </c>
      <c r="E1248" s="5" t="s">
        <v>15</v>
      </c>
      <c r="F1248" s="5">
        <v>3795.55</v>
      </c>
    </row>
    <row r="1249" spans="1:6" ht="15.75" thickBot="1" x14ac:dyDescent="0.3">
      <c r="A1249" s="4" t="s">
        <v>60</v>
      </c>
      <c r="B1249" s="5" t="s">
        <v>12</v>
      </c>
      <c r="C1249" s="5" t="s">
        <v>34</v>
      </c>
      <c r="D1249" s="5" t="s">
        <v>9</v>
      </c>
      <c r="E1249" s="5" t="s">
        <v>10</v>
      </c>
      <c r="F1249" s="5">
        <v>4134.2097940000003</v>
      </c>
    </row>
    <row r="1250" spans="1:6" ht="15.75" thickBot="1" x14ac:dyDescent="0.3">
      <c r="A1250" s="4" t="s">
        <v>214</v>
      </c>
      <c r="B1250" s="5" t="s">
        <v>30</v>
      </c>
      <c r="C1250" s="5" t="s">
        <v>34</v>
      </c>
      <c r="D1250" s="5" t="s">
        <v>9</v>
      </c>
      <c r="E1250" s="5" t="s">
        <v>24</v>
      </c>
      <c r="F1250" s="5">
        <v>2597.355055</v>
      </c>
    </row>
    <row r="1251" spans="1:6" ht="15.75" thickBot="1" x14ac:dyDescent="0.3">
      <c r="A1251" s="4" t="s">
        <v>219</v>
      </c>
      <c r="B1251" s="5" t="s">
        <v>12</v>
      </c>
      <c r="C1251" s="5" t="s">
        <v>8</v>
      </c>
      <c r="D1251" s="5" t="s">
        <v>14</v>
      </c>
      <c r="E1251" s="5" t="s">
        <v>24</v>
      </c>
      <c r="F1251" s="5">
        <v>2151.91</v>
      </c>
    </row>
    <row r="1252" spans="1:6" ht="15.75" thickBot="1" x14ac:dyDescent="0.3">
      <c r="A1252" s="4" t="s">
        <v>164</v>
      </c>
      <c r="B1252" s="5" t="s">
        <v>19</v>
      </c>
      <c r="C1252" s="5" t="s">
        <v>34</v>
      </c>
      <c r="D1252" s="5" t="s">
        <v>14</v>
      </c>
      <c r="E1252" s="5" t="s">
        <v>10</v>
      </c>
      <c r="F1252" s="5">
        <v>3338.56</v>
      </c>
    </row>
    <row r="1253" spans="1:6" ht="15.75" thickBot="1" x14ac:dyDescent="0.3">
      <c r="A1253" s="4" t="s">
        <v>123</v>
      </c>
      <c r="B1253" s="5" t="s">
        <v>30</v>
      </c>
      <c r="C1253" s="5" t="s">
        <v>23</v>
      </c>
      <c r="D1253" s="5" t="s">
        <v>9</v>
      </c>
      <c r="E1253" s="5" t="s">
        <v>15</v>
      </c>
      <c r="F1253" s="5">
        <v>284.86</v>
      </c>
    </row>
    <row r="1254" spans="1:6" ht="30.75" thickBot="1" x14ac:dyDescent="0.3">
      <c r="A1254" s="4" t="s">
        <v>149</v>
      </c>
      <c r="B1254" s="5" t="s">
        <v>17</v>
      </c>
      <c r="C1254" s="5" t="s">
        <v>34</v>
      </c>
      <c r="D1254" s="5" t="s">
        <v>14</v>
      </c>
      <c r="E1254" s="5" t="s">
        <v>15</v>
      </c>
      <c r="F1254" s="5">
        <v>4418.62</v>
      </c>
    </row>
    <row r="1255" spans="1:6" ht="30.75" thickBot="1" x14ac:dyDescent="0.3">
      <c r="A1255" s="4" t="s">
        <v>194</v>
      </c>
      <c r="B1255" s="5" t="s">
        <v>17</v>
      </c>
      <c r="C1255" s="5" t="s">
        <v>23</v>
      </c>
      <c r="D1255" s="5" t="s">
        <v>14</v>
      </c>
      <c r="E1255" s="5" t="s">
        <v>24</v>
      </c>
      <c r="F1255" s="5">
        <v>1452.21</v>
      </c>
    </row>
    <row r="1256" spans="1:6" ht="15.75" thickBot="1" x14ac:dyDescent="0.3">
      <c r="A1256" s="4" t="s">
        <v>35</v>
      </c>
      <c r="B1256" s="5" t="s">
        <v>19</v>
      </c>
      <c r="C1256" s="5" t="s">
        <v>23</v>
      </c>
      <c r="D1256" s="5" t="s">
        <v>28</v>
      </c>
      <c r="E1256" s="5" t="s">
        <v>15</v>
      </c>
      <c r="F1256" s="5">
        <v>1001.43</v>
      </c>
    </row>
    <row r="1257" spans="1:6" ht="15.75" thickBot="1" x14ac:dyDescent="0.3">
      <c r="A1257" s="4" t="s">
        <v>123</v>
      </c>
      <c r="B1257" s="5" t="s">
        <v>30</v>
      </c>
      <c r="C1257" s="5" t="s">
        <v>8</v>
      </c>
      <c r="D1257" s="5" t="s">
        <v>28</v>
      </c>
      <c r="E1257" s="5" t="s">
        <v>15</v>
      </c>
      <c r="F1257" s="5">
        <v>3280.78</v>
      </c>
    </row>
    <row r="1258" spans="1:6" ht="15.75" thickBot="1" x14ac:dyDescent="0.3">
      <c r="A1258" s="4" t="s">
        <v>209</v>
      </c>
      <c r="B1258" s="5" t="s">
        <v>7</v>
      </c>
      <c r="C1258" s="5" t="s">
        <v>8</v>
      </c>
      <c r="D1258" s="5" t="s">
        <v>14</v>
      </c>
      <c r="E1258" s="5" t="s">
        <v>24</v>
      </c>
      <c r="F1258" s="5">
        <v>2429.6</v>
      </c>
    </row>
    <row r="1259" spans="1:6" ht="15.75" thickBot="1" x14ac:dyDescent="0.3">
      <c r="A1259" s="4" t="s">
        <v>103</v>
      </c>
      <c r="B1259" s="5" t="s">
        <v>19</v>
      </c>
      <c r="C1259" s="5" t="s">
        <v>13</v>
      </c>
      <c r="D1259" s="5" t="s">
        <v>9</v>
      </c>
      <c r="E1259" s="5" t="s">
        <v>10</v>
      </c>
      <c r="F1259" s="5">
        <v>4025.991227</v>
      </c>
    </row>
    <row r="1260" spans="1:6" ht="15.75" thickBot="1" x14ac:dyDescent="0.3">
      <c r="A1260" s="4" t="s">
        <v>209</v>
      </c>
      <c r="B1260" s="5" t="s">
        <v>7</v>
      </c>
      <c r="C1260" s="5" t="s">
        <v>13</v>
      </c>
      <c r="D1260" s="5" t="s">
        <v>14</v>
      </c>
      <c r="E1260" s="5" t="s">
        <v>15</v>
      </c>
      <c r="F1260" s="5">
        <v>1880.25</v>
      </c>
    </row>
    <row r="1261" spans="1:6" ht="15.75" thickBot="1" x14ac:dyDescent="0.3">
      <c r="A1261" s="4" t="s">
        <v>132</v>
      </c>
      <c r="B1261" s="5" t="s">
        <v>19</v>
      </c>
      <c r="C1261" s="5" t="s">
        <v>23</v>
      </c>
      <c r="D1261" s="5" t="s">
        <v>28</v>
      </c>
      <c r="E1261" s="5" t="s">
        <v>15</v>
      </c>
      <c r="F1261" s="5">
        <v>3107.51</v>
      </c>
    </row>
    <row r="1262" spans="1:6" ht="15.75" thickBot="1" x14ac:dyDescent="0.3">
      <c r="A1262" s="4" t="s">
        <v>107</v>
      </c>
      <c r="B1262" s="5" t="s">
        <v>30</v>
      </c>
      <c r="C1262" s="5" t="s">
        <v>23</v>
      </c>
      <c r="D1262" s="5" t="s">
        <v>9</v>
      </c>
      <c r="E1262" s="5" t="s">
        <v>15</v>
      </c>
      <c r="F1262" s="5">
        <v>1430.937486</v>
      </c>
    </row>
    <row r="1263" spans="1:6" ht="15.75" thickBot="1" x14ac:dyDescent="0.3">
      <c r="A1263" s="4" t="s">
        <v>169</v>
      </c>
      <c r="B1263" s="5" t="s">
        <v>12</v>
      </c>
      <c r="C1263" s="5" t="s">
        <v>34</v>
      </c>
      <c r="D1263" s="5" t="s">
        <v>28</v>
      </c>
      <c r="E1263" s="5" t="s">
        <v>15</v>
      </c>
      <c r="F1263" s="5">
        <v>4735.9399999999996</v>
      </c>
    </row>
    <row r="1264" spans="1:6" ht="15.75" thickBot="1" x14ac:dyDescent="0.3">
      <c r="A1264" s="4" t="s">
        <v>177</v>
      </c>
      <c r="B1264" s="5" t="s">
        <v>7</v>
      </c>
      <c r="C1264" s="5" t="s">
        <v>8</v>
      </c>
      <c r="D1264" s="5" t="s">
        <v>28</v>
      </c>
      <c r="E1264" s="5" t="s">
        <v>15</v>
      </c>
      <c r="F1264" s="5">
        <v>419.21</v>
      </c>
    </row>
    <row r="1265" spans="1:6" ht="15.75" thickBot="1" x14ac:dyDescent="0.3">
      <c r="A1265" s="4" t="s">
        <v>208</v>
      </c>
      <c r="B1265" s="5" t="s">
        <v>19</v>
      </c>
      <c r="C1265" s="5" t="s">
        <v>34</v>
      </c>
      <c r="D1265" s="5" t="s">
        <v>9</v>
      </c>
      <c r="E1265" s="5" t="s">
        <v>24</v>
      </c>
      <c r="F1265" s="5">
        <v>3952.788094</v>
      </c>
    </row>
    <row r="1266" spans="1:6" ht="15.75" thickBot="1" x14ac:dyDescent="0.3">
      <c r="A1266" s="4" t="s">
        <v>170</v>
      </c>
      <c r="B1266" s="5" t="s">
        <v>12</v>
      </c>
      <c r="C1266" s="5" t="s">
        <v>8</v>
      </c>
      <c r="D1266" s="5" t="s">
        <v>28</v>
      </c>
      <c r="E1266" s="5" t="s">
        <v>10</v>
      </c>
      <c r="F1266" s="5">
        <v>2905.28</v>
      </c>
    </row>
    <row r="1267" spans="1:6" ht="15.75" thickBot="1" x14ac:dyDescent="0.3">
      <c r="A1267" s="4" t="s">
        <v>101</v>
      </c>
      <c r="B1267" s="5" t="s">
        <v>19</v>
      </c>
      <c r="C1267" s="5" t="s">
        <v>13</v>
      </c>
      <c r="D1267" s="5" t="s">
        <v>28</v>
      </c>
      <c r="E1267" s="5" t="s">
        <v>24</v>
      </c>
      <c r="F1267" s="5">
        <v>2595.02</v>
      </c>
    </row>
    <row r="1268" spans="1:6" ht="15.75" thickBot="1" x14ac:dyDescent="0.3">
      <c r="A1268" s="4" t="s">
        <v>93</v>
      </c>
      <c r="B1268" s="5" t="s">
        <v>30</v>
      </c>
      <c r="C1268" s="5" t="s">
        <v>34</v>
      </c>
      <c r="D1268" s="5" t="s">
        <v>9</v>
      </c>
      <c r="E1268" s="5" t="s">
        <v>15</v>
      </c>
      <c r="F1268" s="5">
        <v>4395.4888259999998</v>
      </c>
    </row>
    <row r="1269" spans="1:6" ht="15.75" thickBot="1" x14ac:dyDescent="0.3">
      <c r="A1269" s="4" t="s">
        <v>91</v>
      </c>
      <c r="B1269" s="5" t="s">
        <v>30</v>
      </c>
      <c r="C1269" s="5" t="s">
        <v>23</v>
      </c>
      <c r="D1269" s="5" t="s">
        <v>14</v>
      </c>
      <c r="E1269" s="5" t="s">
        <v>24</v>
      </c>
      <c r="F1269" s="5">
        <v>969.03</v>
      </c>
    </row>
    <row r="1270" spans="1:6" ht="30.75" thickBot="1" x14ac:dyDescent="0.3">
      <c r="A1270" s="4" t="s">
        <v>218</v>
      </c>
      <c r="B1270" s="5" t="s">
        <v>17</v>
      </c>
      <c r="C1270" s="5" t="s">
        <v>34</v>
      </c>
      <c r="D1270" s="5" t="s">
        <v>14</v>
      </c>
      <c r="E1270" s="5" t="s">
        <v>15</v>
      </c>
      <c r="F1270" s="5">
        <v>4736.7</v>
      </c>
    </row>
    <row r="1271" spans="1:6" ht="15.75" thickBot="1" x14ac:dyDescent="0.3">
      <c r="A1271" s="4" t="s">
        <v>67</v>
      </c>
      <c r="B1271" s="5" t="s">
        <v>7</v>
      </c>
      <c r="C1271" s="5" t="s">
        <v>8</v>
      </c>
      <c r="D1271" s="5" t="s">
        <v>9</v>
      </c>
      <c r="E1271" s="5" t="s">
        <v>15</v>
      </c>
      <c r="F1271" s="5">
        <v>3116.27</v>
      </c>
    </row>
    <row r="1272" spans="1:6" ht="15.75" thickBot="1" x14ac:dyDescent="0.3">
      <c r="A1272" s="4" t="s">
        <v>150</v>
      </c>
      <c r="B1272" s="5" t="s">
        <v>30</v>
      </c>
      <c r="C1272" s="5" t="s">
        <v>34</v>
      </c>
      <c r="D1272" s="5" t="s">
        <v>28</v>
      </c>
      <c r="E1272" s="5" t="s">
        <v>15</v>
      </c>
      <c r="F1272" s="5">
        <v>3048.92</v>
      </c>
    </row>
    <row r="1273" spans="1:6" ht="15.75" thickBot="1" x14ac:dyDescent="0.3">
      <c r="A1273" s="4" t="s">
        <v>75</v>
      </c>
      <c r="B1273" s="5" t="s">
        <v>19</v>
      </c>
      <c r="C1273" s="5" t="s">
        <v>34</v>
      </c>
      <c r="D1273" s="5" t="s">
        <v>9</v>
      </c>
      <c r="E1273" s="5" t="s">
        <v>15</v>
      </c>
      <c r="F1273" s="5">
        <v>4792.2007899999999</v>
      </c>
    </row>
    <row r="1274" spans="1:6" ht="30.75" thickBot="1" x14ac:dyDescent="0.3">
      <c r="A1274" s="4" t="s">
        <v>205</v>
      </c>
      <c r="B1274" s="5" t="s">
        <v>17</v>
      </c>
      <c r="C1274" s="5" t="s">
        <v>34</v>
      </c>
      <c r="D1274" s="5" t="s">
        <v>14</v>
      </c>
      <c r="E1274" s="5" t="s">
        <v>15</v>
      </c>
      <c r="F1274" s="5">
        <v>1851.08</v>
      </c>
    </row>
    <row r="1275" spans="1:6" ht="30.75" thickBot="1" x14ac:dyDescent="0.3">
      <c r="A1275" s="4" t="s">
        <v>79</v>
      </c>
      <c r="B1275" s="5" t="s">
        <v>17</v>
      </c>
      <c r="C1275" s="5" t="s">
        <v>34</v>
      </c>
      <c r="D1275" s="5" t="s">
        <v>14</v>
      </c>
      <c r="E1275" s="5" t="s">
        <v>10</v>
      </c>
      <c r="F1275" s="5">
        <v>331.53</v>
      </c>
    </row>
    <row r="1276" spans="1:6" ht="15.75" thickBot="1" x14ac:dyDescent="0.3">
      <c r="A1276" s="4" t="s">
        <v>179</v>
      </c>
      <c r="B1276" s="5" t="s">
        <v>7</v>
      </c>
      <c r="C1276" s="5" t="s">
        <v>13</v>
      </c>
      <c r="D1276" s="5" t="s">
        <v>28</v>
      </c>
      <c r="E1276" s="5" t="s">
        <v>24</v>
      </c>
      <c r="F1276" s="5">
        <v>2756.07</v>
      </c>
    </row>
    <row r="1277" spans="1:6" ht="15.75" thickBot="1" x14ac:dyDescent="0.3">
      <c r="A1277" s="4" t="s">
        <v>138</v>
      </c>
      <c r="B1277" s="5" t="s">
        <v>12</v>
      </c>
      <c r="C1277" s="5" t="s">
        <v>13</v>
      </c>
      <c r="D1277" s="5" t="s">
        <v>9</v>
      </c>
      <c r="E1277" s="5" t="s">
        <v>15</v>
      </c>
      <c r="F1277" s="5">
        <v>1185.144685</v>
      </c>
    </row>
    <row r="1278" spans="1:6" ht="15.75" thickBot="1" x14ac:dyDescent="0.3">
      <c r="A1278" s="4" t="s">
        <v>31</v>
      </c>
      <c r="B1278" s="5" t="s">
        <v>30</v>
      </c>
      <c r="C1278" s="5" t="s">
        <v>13</v>
      </c>
      <c r="D1278" s="5" t="s">
        <v>14</v>
      </c>
      <c r="E1278" s="5" t="s">
        <v>15</v>
      </c>
      <c r="F1278" s="5">
        <v>770.82</v>
      </c>
    </row>
    <row r="1279" spans="1:6" ht="15.75" thickBot="1" x14ac:dyDescent="0.3">
      <c r="A1279" s="4" t="s">
        <v>69</v>
      </c>
      <c r="B1279" s="5" t="s">
        <v>7</v>
      </c>
      <c r="C1279" s="5" t="s">
        <v>8</v>
      </c>
      <c r="D1279" s="5" t="s">
        <v>14</v>
      </c>
      <c r="E1279" s="5" t="s">
        <v>24</v>
      </c>
      <c r="F1279" s="5">
        <v>1735.38</v>
      </c>
    </row>
    <row r="1280" spans="1:6" ht="15.75" thickBot="1" x14ac:dyDescent="0.3">
      <c r="A1280" s="4" t="s">
        <v>211</v>
      </c>
      <c r="B1280" s="5" t="s">
        <v>7</v>
      </c>
      <c r="C1280" s="5" t="s">
        <v>8</v>
      </c>
      <c r="D1280" s="5" t="s">
        <v>9</v>
      </c>
      <c r="E1280" s="5" t="s">
        <v>15</v>
      </c>
      <c r="F1280" s="5">
        <v>2191.312218</v>
      </c>
    </row>
    <row r="1281" spans="1:6" ht="15.75" thickBot="1" x14ac:dyDescent="0.3">
      <c r="A1281" s="4" t="s">
        <v>212</v>
      </c>
      <c r="B1281" s="5" t="s">
        <v>7</v>
      </c>
      <c r="C1281" s="5" t="s">
        <v>13</v>
      </c>
      <c r="D1281" s="5" t="s">
        <v>28</v>
      </c>
      <c r="E1281" s="5" t="s">
        <v>15</v>
      </c>
      <c r="F1281" s="5">
        <v>759.32</v>
      </c>
    </row>
    <row r="1282" spans="1:6" ht="30.75" thickBot="1" x14ac:dyDescent="0.3">
      <c r="A1282" s="4" t="s">
        <v>207</v>
      </c>
      <c r="B1282" s="5" t="s">
        <v>17</v>
      </c>
      <c r="C1282" s="5" t="s">
        <v>23</v>
      </c>
      <c r="D1282" s="5" t="s">
        <v>14</v>
      </c>
      <c r="E1282" s="5" t="s">
        <v>15</v>
      </c>
      <c r="F1282" s="5">
        <v>1954.05</v>
      </c>
    </row>
    <row r="1283" spans="1:6" ht="15.75" thickBot="1" x14ac:dyDescent="0.3">
      <c r="A1283" s="4" t="s">
        <v>144</v>
      </c>
      <c r="B1283" s="5" t="s">
        <v>30</v>
      </c>
      <c r="C1283" s="5" t="s">
        <v>34</v>
      </c>
      <c r="D1283" s="5" t="s">
        <v>9</v>
      </c>
      <c r="E1283" s="5" t="s">
        <v>15</v>
      </c>
      <c r="F1283" s="5">
        <v>4153</v>
      </c>
    </row>
    <row r="1284" spans="1:6" ht="15.75" thickBot="1" x14ac:dyDescent="0.3">
      <c r="A1284" s="4" t="s">
        <v>71</v>
      </c>
      <c r="B1284" s="5" t="s">
        <v>7</v>
      </c>
      <c r="C1284" s="5" t="s">
        <v>23</v>
      </c>
      <c r="D1284" s="5" t="s">
        <v>9</v>
      </c>
      <c r="E1284" s="5" t="s">
        <v>15</v>
      </c>
      <c r="F1284" s="5">
        <v>3571.7574920000002</v>
      </c>
    </row>
    <row r="1285" spans="1:6" ht="15.75" thickBot="1" x14ac:dyDescent="0.3">
      <c r="A1285" s="4" t="s">
        <v>193</v>
      </c>
      <c r="B1285" s="5" t="s">
        <v>12</v>
      </c>
      <c r="C1285" s="5" t="s">
        <v>8</v>
      </c>
      <c r="D1285" s="5" t="s">
        <v>28</v>
      </c>
      <c r="E1285" s="5" t="s">
        <v>24</v>
      </c>
      <c r="F1285" s="5">
        <v>3705.85</v>
      </c>
    </row>
    <row r="1286" spans="1:6" ht="15.75" thickBot="1" x14ac:dyDescent="0.3">
      <c r="A1286" s="4" t="s">
        <v>158</v>
      </c>
      <c r="B1286" s="5" t="s">
        <v>30</v>
      </c>
      <c r="C1286" s="5" t="s">
        <v>13</v>
      </c>
      <c r="D1286" s="5" t="s">
        <v>14</v>
      </c>
      <c r="E1286" s="5" t="s">
        <v>15</v>
      </c>
      <c r="F1286" s="5">
        <v>4393.54</v>
      </c>
    </row>
    <row r="1287" spans="1:6" ht="15.75" thickBot="1" x14ac:dyDescent="0.3">
      <c r="A1287" s="4" t="s">
        <v>121</v>
      </c>
      <c r="B1287" s="5" t="s">
        <v>30</v>
      </c>
      <c r="C1287" s="5" t="s">
        <v>8</v>
      </c>
      <c r="D1287" s="5" t="s">
        <v>9</v>
      </c>
      <c r="E1287" s="5" t="s">
        <v>24</v>
      </c>
      <c r="F1287" s="5">
        <v>1303.2390740000001</v>
      </c>
    </row>
    <row r="1288" spans="1:6" ht="15.75" thickBot="1" x14ac:dyDescent="0.3">
      <c r="A1288" s="4" t="s">
        <v>42</v>
      </c>
      <c r="B1288" s="5" t="s">
        <v>30</v>
      </c>
      <c r="C1288" s="5" t="s">
        <v>8</v>
      </c>
      <c r="D1288" s="5" t="s">
        <v>28</v>
      </c>
      <c r="E1288" s="5" t="s">
        <v>15</v>
      </c>
      <c r="F1288" s="5">
        <v>1709.14</v>
      </c>
    </row>
    <row r="1289" spans="1:6" ht="15.75" thickBot="1" x14ac:dyDescent="0.3">
      <c r="A1289" s="4" t="s">
        <v>144</v>
      </c>
      <c r="B1289" s="5" t="s">
        <v>30</v>
      </c>
      <c r="C1289" s="5" t="s">
        <v>34</v>
      </c>
      <c r="D1289" s="5" t="s">
        <v>9</v>
      </c>
      <c r="E1289" s="5" t="s">
        <v>15</v>
      </c>
      <c r="F1289" s="5">
        <v>4816.54</v>
      </c>
    </row>
    <row r="1290" spans="1:6" ht="15.75" thickBot="1" x14ac:dyDescent="0.3">
      <c r="A1290" s="4" t="s">
        <v>157</v>
      </c>
      <c r="B1290" s="5" t="s">
        <v>30</v>
      </c>
      <c r="C1290" s="5" t="s">
        <v>23</v>
      </c>
      <c r="D1290" s="5" t="s">
        <v>9</v>
      </c>
      <c r="E1290" s="5" t="s">
        <v>24</v>
      </c>
      <c r="F1290" s="5">
        <v>4237.9135159999996</v>
      </c>
    </row>
    <row r="1291" spans="1:6" ht="30.75" thickBot="1" x14ac:dyDescent="0.3">
      <c r="A1291" s="4" t="s">
        <v>215</v>
      </c>
      <c r="B1291" s="5" t="s">
        <v>17</v>
      </c>
      <c r="C1291" s="5" t="s">
        <v>34</v>
      </c>
      <c r="D1291" s="5" t="s">
        <v>14</v>
      </c>
      <c r="E1291" s="5" t="s">
        <v>24</v>
      </c>
      <c r="F1291" s="5">
        <v>2911.32</v>
      </c>
    </row>
    <row r="1292" spans="1:6" ht="30.75" thickBot="1" x14ac:dyDescent="0.3">
      <c r="A1292" s="4" t="s">
        <v>43</v>
      </c>
      <c r="B1292" s="5" t="s">
        <v>17</v>
      </c>
      <c r="C1292" s="5" t="s">
        <v>13</v>
      </c>
      <c r="D1292" s="5" t="s">
        <v>14</v>
      </c>
      <c r="E1292" s="5" t="s">
        <v>10</v>
      </c>
      <c r="F1292" s="5">
        <v>1512.18</v>
      </c>
    </row>
    <row r="1293" spans="1:6" ht="15.75" thickBot="1" x14ac:dyDescent="0.3">
      <c r="A1293" s="4" t="s">
        <v>21</v>
      </c>
      <c r="B1293" s="5" t="s">
        <v>19</v>
      </c>
      <c r="C1293" s="5" t="s">
        <v>34</v>
      </c>
      <c r="D1293" s="5" t="s">
        <v>28</v>
      </c>
      <c r="E1293" s="5" t="s">
        <v>15</v>
      </c>
      <c r="F1293" s="5">
        <v>2308.83</v>
      </c>
    </row>
    <row r="1294" spans="1:6" ht="15.75" thickBot="1" x14ac:dyDescent="0.3">
      <c r="A1294" s="4" t="s">
        <v>144</v>
      </c>
      <c r="B1294" s="5" t="s">
        <v>30</v>
      </c>
      <c r="C1294" s="5" t="s">
        <v>8</v>
      </c>
      <c r="D1294" s="5" t="s">
        <v>28</v>
      </c>
      <c r="E1294" s="5" t="s">
        <v>15</v>
      </c>
      <c r="F1294" s="5">
        <v>4743.8500000000004</v>
      </c>
    </row>
    <row r="1295" spans="1:6" ht="15.75" thickBot="1" x14ac:dyDescent="0.3">
      <c r="A1295" s="4" t="s">
        <v>123</v>
      </c>
      <c r="B1295" s="5" t="s">
        <v>30</v>
      </c>
      <c r="C1295" s="5" t="s">
        <v>23</v>
      </c>
      <c r="D1295" s="5" t="s">
        <v>9</v>
      </c>
      <c r="E1295" s="5" t="s">
        <v>24</v>
      </c>
      <c r="F1295" s="5">
        <v>3863.8</v>
      </c>
    </row>
    <row r="1296" spans="1:6" ht="15.75" thickBot="1" x14ac:dyDescent="0.3">
      <c r="A1296" s="4" t="s">
        <v>151</v>
      </c>
      <c r="B1296" s="5" t="s">
        <v>12</v>
      </c>
      <c r="C1296" s="5" t="s">
        <v>34</v>
      </c>
      <c r="D1296" s="5" t="s">
        <v>14</v>
      </c>
      <c r="E1296" s="5" t="s">
        <v>10</v>
      </c>
      <c r="F1296" s="5">
        <v>1928.39</v>
      </c>
    </row>
    <row r="1297" spans="1:6" ht="30.75" thickBot="1" x14ac:dyDescent="0.3">
      <c r="A1297" s="4" t="s">
        <v>116</v>
      </c>
      <c r="B1297" s="5" t="s">
        <v>17</v>
      </c>
      <c r="C1297" s="5" t="s">
        <v>23</v>
      </c>
      <c r="D1297" s="5" t="s">
        <v>28</v>
      </c>
      <c r="E1297" s="5" t="s">
        <v>24</v>
      </c>
      <c r="F1297" s="5">
        <v>2001.66</v>
      </c>
    </row>
    <row r="1298" spans="1:6" ht="15.75" thickBot="1" x14ac:dyDescent="0.3">
      <c r="A1298" s="4" t="s">
        <v>167</v>
      </c>
      <c r="B1298" s="5" t="s">
        <v>30</v>
      </c>
      <c r="C1298" s="5" t="s">
        <v>23</v>
      </c>
      <c r="D1298" s="5" t="s">
        <v>14</v>
      </c>
      <c r="E1298" s="5" t="s">
        <v>10</v>
      </c>
      <c r="F1298" s="5">
        <v>1031.08</v>
      </c>
    </row>
    <row r="1299" spans="1:6" ht="15.75" thickBot="1" x14ac:dyDescent="0.3">
      <c r="A1299" s="4" t="s">
        <v>182</v>
      </c>
      <c r="B1299" s="5" t="s">
        <v>12</v>
      </c>
      <c r="C1299" s="5" t="s">
        <v>34</v>
      </c>
      <c r="D1299" s="5" t="s">
        <v>14</v>
      </c>
      <c r="E1299" s="5" t="s">
        <v>10</v>
      </c>
      <c r="F1299" s="5">
        <v>4637.72</v>
      </c>
    </row>
    <row r="1300" spans="1:6" ht="15.75" thickBot="1" x14ac:dyDescent="0.3">
      <c r="A1300" s="4" t="s">
        <v>25</v>
      </c>
      <c r="B1300" s="5" t="s">
        <v>19</v>
      </c>
      <c r="C1300" s="5" t="s">
        <v>34</v>
      </c>
      <c r="D1300" s="5" t="s">
        <v>14</v>
      </c>
      <c r="E1300" s="5" t="s">
        <v>15</v>
      </c>
      <c r="F1300" s="5">
        <v>2119.1</v>
      </c>
    </row>
    <row r="1301" spans="1:6" ht="15.75" thickBot="1" x14ac:dyDescent="0.3">
      <c r="A1301" s="4" t="s">
        <v>172</v>
      </c>
      <c r="B1301" s="5" t="s">
        <v>7</v>
      </c>
      <c r="C1301" s="5" t="s">
        <v>8</v>
      </c>
      <c r="D1301" s="5" t="s">
        <v>9</v>
      </c>
      <c r="E1301" s="5" t="s">
        <v>10</v>
      </c>
      <c r="F1301" s="5">
        <v>672.58975539999994</v>
      </c>
    </row>
    <row r="1302" spans="1:6" ht="15.75" thickBot="1" x14ac:dyDescent="0.3">
      <c r="A1302" s="4" t="s">
        <v>120</v>
      </c>
      <c r="B1302" s="5" t="s">
        <v>30</v>
      </c>
      <c r="C1302" s="5" t="s">
        <v>8</v>
      </c>
      <c r="D1302" s="5" t="s">
        <v>9</v>
      </c>
      <c r="E1302" s="5" t="s">
        <v>15</v>
      </c>
      <c r="F1302" s="5">
        <v>1187.166129</v>
      </c>
    </row>
    <row r="1303" spans="1:6" ht="30.75" thickBot="1" x14ac:dyDescent="0.3">
      <c r="A1303" s="4" t="s">
        <v>80</v>
      </c>
      <c r="B1303" s="5" t="s">
        <v>17</v>
      </c>
      <c r="C1303" s="5" t="s">
        <v>13</v>
      </c>
      <c r="D1303" s="5" t="s">
        <v>14</v>
      </c>
      <c r="E1303" s="5" t="s">
        <v>15</v>
      </c>
      <c r="F1303" s="5">
        <v>3253.86</v>
      </c>
    </row>
    <row r="1304" spans="1:6" ht="30.75" thickBot="1" x14ac:dyDescent="0.3">
      <c r="A1304" s="4" t="s">
        <v>26</v>
      </c>
      <c r="B1304" s="5" t="s">
        <v>17</v>
      </c>
      <c r="C1304" s="5" t="s">
        <v>23</v>
      </c>
      <c r="D1304" s="5" t="s">
        <v>14</v>
      </c>
      <c r="E1304" s="5" t="s">
        <v>10</v>
      </c>
      <c r="F1304" s="5">
        <v>276.16000000000003</v>
      </c>
    </row>
    <row r="1305" spans="1:6" ht="15.75" thickBot="1" x14ac:dyDescent="0.3">
      <c r="A1305" s="4" t="s">
        <v>51</v>
      </c>
      <c r="B1305" s="5" t="s">
        <v>30</v>
      </c>
      <c r="C1305" s="5" t="s">
        <v>34</v>
      </c>
      <c r="D1305" s="5" t="s">
        <v>9</v>
      </c>
      <c r="E1305" s="5" t="s">
        <v>15</v>
      </c>
      <c r="F1305" s="5">
        <v>1988.313803</v>
      </c>
    </row>
    <row r="1306" spans="1:6" ht="15.75" thickBot="1" x14ac:dyDescent="0.3">
      <c r="A1306" s="4" t="s">
        <v>67</v>
      </c>
      <c r="B1306" s="5" t="s">
        <v>7</v>
      </c>
      <c r="C1306" s="5" t="s">
        <v>13</v>
      </c>
      <c r="D1306" s="5" t="s">
        <v>28</v>
      </c>
      <c r="E1306" s="5" t="s">
        <v>10</v>
      </c>
      <c r="F1306" s="5">
        <v>1459.49</v>
      </c>
    </row>
    <row r="1307" spans="1:6" ht="15.75" thickBot="1" x14ac:dyDescent="0.3">
      <c r="A1307" s="4" t="s">
        <v>113</v>
      </c>
      <c r="B1307" s="5" t="s">
        <v>30</v>
      </c>
      <c r="C1307" s="5" t="s">
        <v>13</v>
      </c>
      <c r="D1307" s="5" t="s">
        <v>14</v>
      </c>
      <c r="E1307" s="5" t="s">
        <v>15</v>
      </c>
      <c r="F1307" s="5">
        <v>4054.68</v>
      </c>
    </row>
    <row r="1308" spans="1:6" ht="15.75" thickBot="1" x14ac:dyDescent="0.3">
      <c r="A1308" s="4" t="s">
        <v>47</v>
      </c>
      <c r="B1308" s="5" t="s">
        <v>30</v>
      </c>
      <c r="C1308" s="5" t="s">
        <v>13</v>
      </c>
      <c r="D1308" s="5" t="s">
        <v>14</v>
      </c>
      <c r="E1308" s="5" t="s">
        <v>24</v>
      </c>
      <c r="F1308" s="5">
        <v>270.88</v>
      </c>
    </row>
    <row r="1309" spans="1:6" ht="15.75" thickBot="1" x14ac:dyDescent="0.3">
      <c r="A1309" s="4" t="s">
        <v>33</v>
      </c>
      <c r="B1309" s="5" t="s">
        <v>19</v>
      </c>
      <c r="C1309" s="5" t="s">
        <v>8</v>
      </c>
      <c r="D1309" s="5" t="s">
        <v>14</v>
      </c>
      <c r="E1309" s="5" t="s">
        <v>10</v>
      </c>
      <c r="F1309" s="5">
        <v>1234.77</v>
      </c>
    </row>
    <row r="1310" spans="1:6" ht="15.75" thickBot="1" x14ac:dyDescent="0.3">
      <c r="A1310" s="4" t="s">
        <v>6</v>
      </c>
      <c r="B1310" s="5" t="s">
        <v>7</v>
      </c>
      <c r="C1310" s="5" t="s">
        <v>23</v>
      </c>
      <c r="D1310" s="5" t="s">
        <v>14</v>
      </c>
      <c r="E1310" s="5" t="s">
        <v>15</v>
      </c>
      <c r="F1310" s="5">
        <v>4028.89</v>
      </c>
    </row>
    <row r="1311" spans="1:6" ht="15.75" thickBot="1" x14ac:dyDescent="0.3">
      <c r="A1311" s="4" t="s">
        <v>101</v>
      </c>
      <c r="B1311" s="5" t="s">
        <v>19</v>
      </c>
      <c r="C1311" s="5" t="s">
        <v>23</v>
      </c>
      <c r="D1311" s="5" t="s">
        <v>9</v>
      </c>
      <c r="E1311" s="5" t="s">
        <v>15</v>
      </c>
      <c r="F1311" s="5">
        <v>4303.8535140000004</v>
      </c>
    </row>
    <row r="1312" spans="1:6" ht="15.75" thickBot="1" x14ac:dyDescent="0.3">
      <c r="A1312" s="4" t="s">
        <v>173</v>
      </c>
      <c r="B1312" s="5" t="s">
        <v>30</v>
      </c>
      <c r="C1312" s="5" t="s">
        <v>34</v>
      </c>
      <c r="D1312" s="5" t="s">
        <v>14</v>
      </c>
      <c r="E1312" s="5" t="s">
        <v>24</v>
      </c>
      <c r="F1312" s="5">
        <v>2941.43</v>
      </c>
    </row>
    <row r="1313" spans="1:6" ht="15.75" thickBot="1" x14ac:dyDescent="0.3">
      <c r="A1313" s="4" t="s">
        <v>192</v>
      </c>
      <c r="B1313" s="5" t="s">
        <v>19</v>
      </c>
      <c r="C1313" s="5" t="s">
        <v>8</v>
      </c>
      <c r="D1313" s="5" t="s">
        <v>14</v>
      </c>
      <c r="E1313" s="5" t="s">
        <v>24</v>
      </c>
      <c r="F1313" s="5">
        <v>125.18</v>
      </c>
    </row>
    <row r="1314" spans="1:6" ht="15.75" thickBot="1" x14ac:dyDescent="0.3">
      <c r="A1314" s="4" t="s">
        <v>150</v>
      </c>
      <c r="B1314" s="5" t="s">
        <v>30</v>
      </c>
      <c r="C1314" s="5" t="s">
        <v>34</v>
      </c>
      <c r="D1314" s="5" t="s">
        <v>14</v>
      </c>
      <c r="E1314" s="5" t="s">
        <v>15</v>
      </c>
      <c r="F1314" s="5">
        <v>2302.58</v>
      </c>
    </row>
    <row r="1315" spans="1:6" ht="15.75" thickBot="1" x14ac:dyDescent="0.3">
      <c r="A1315" s="4" t="s">
        <v>177</v>
      </c>
      <c r="B1315" s="5" t="s">
        <v>7</v>
      </c>
      <c r="C1315" s="5" t="s">
        <v>23</v>
      </c>
      <c r="D1315" s="5" t="s">
        <v>14</v>
      </c>
      <c r="E1315" s="5" t="s">
        <v>10</v>
      </c>
      <c r="F1315" s="5">
        <v>365.22</v>
      </c>
    </row>
    <row r="1316" spans="1:6" ht="30.75" thickBot="1" x14ac:dyDescent="0.3">
      <c r="A1316" s="4" t="s">
        <v>131</v>
      </c>
      <c r="B1316" s="5" t="s">
        <v>17</v>
      </c>
      <c r="C1316" s="5" t="s">
        <v>34</v>
      </c>
      <c r="D1316" s="5" t="s">
        <v>28</v>
      </c>
      <c r="E1316" s="5" t="s">
        <v>24</v>
      </c>
      <c r="F1316" s="5">
        <v>93.15</v>
      </c>
    </row>
    <row r="1317" spans="1:6" ht="15.75" thickBot="1" x14ac:dyDescent="0.3">
      <c r="A1317" s="4" t="s">
        <v>170</v>
      </c>
      <c r="B1317" s="5" t="s">
        <v>12</v>
      </c>
      <c r="C1317" s="5" t="s">
        <v>13</v>
      </c>
      <c r="D1317" s="5" t="s">
        <v>28</v>
      </c>
      <c r="E1317" s="5" t="s">
        <v>15</v>
      </c>
      <c r="F1317" s="5">
        <v>807.86</v>
      </c>
    </row>
    <row r="1318" spans="1:6" ht="15.75" thickBot="1" x14ac:dyDescent="0.3">
      <c r="A1318" s="4" t="s">
        <v>203</v>
      </c>
      <c r="B1318" s="5" t="s">
        <v>12</v>
      </c>
      <c r="C1318" s="5" t="s">
        <v>8</v>
      </c>
      <c r="D1318" s="5" t="s">
        <v>28</v>
      </c>
      <c r="E1318" s="5" t="s">
        <v>24</v>
      </c>
      <c r="F1318" s="5">
        <v>3779.13</v>
      </c>
    </row>
    <row r="1319" spans="1:6" ht="15.75" thickBot="1" x14ac:dyDescent="0.3">
      <c r="A1319" s="4" t="s">
        <v>206</v>
      </c>
      <c r="B1319" s="5" t="s">
        <v>19</v>
      </c>
      <c r="C1319" s="5" t="s">
        <v>13</v>
      </c>
      <c r="D1319" s="5" t="s">
        <v>9</v>
      </c>
      <c r="E1319" s="5" t="s">
        <v>10</v>
      </c>
      <c r="F1319" s="5">
        <v>4998.3865500000002</v>
      </c>
    </row>
    <row r="1320" spans="1:6" ht="30.75" thickBot="1" x14ac:dyDescent="0.3">
      <c r="A1320" s="4" t="s">
        <v>16</v>
      </c>
      <c r="B1320" s="5" t="s">
        <v>17</v>
      </c>
      <c r="C1320" s="5" t="s">
        <v>34</v>
      </c>
      <c r="D1320" s="5" t="s">
        <v>14</v>
      </c>
      <c r="E1320" s="5" t="s">
        <v>24</v>
      </c>
      <c r="F1320" s="5">
        <v>2268.11</v>
      </c>
    </row>
    <row r="1321" spans="1:6" ht="15.75" thickBot="1" x14ac:dyDescent="0.3">
      <c r="A1321" s="4" t="s">
        <v>189</v>
      </c>
      <c r="B1321" s="5" t="s">
        <v>19</v>
      </c>
      <c r="C1321" s="5" t="s">
        <v>8</v>
      </c>
      <c r="D1321" s="5" t="s">
        <v>14</v>
      </c>
      <c r="E1321" s="5" t="s">
        <v>24</v>
      </c>
      <c r="F1321" s="5">
        <v>1247.71</v>
      </c>
    </row>
    <row r="1322" spans="1:6" ht="15.75" thickBot="1" x14ac:dyDescent="0.3">
      <c r="A1322" s="4" t="s">
        <v>138</v>
      </c>
      <c r="B1322" s="5" t="s">
        <v>12</v>
      </c>
      <c r="C1322" s="5" t="s">
        <v>34</v>
      </c>
      <c r="D1322" s="5" t="s">
        <v>28</v>
      </c>
      <c r="E1322" s="5" t="s">
        <v>24</v>
      </c>
      <c r="F1322" s="5">
        <v>2941.25</v>
      </c>
    </row>
    <row r="1323" spans="1:6" ht="15.75" thickBot="1" x14ac:dyDescent="0.3">
      <c r="A1323" s="4" t="s">
        <v>63</v>
      </c>
      <c r="B1323" s="5" t="s">
        <v>12</v>
      </c>
      <c r="C1323" s="5" t="s">
        <v>13</v>
      </c>
      <c r="D1323" s="5" t="s">
        <v>28</v>
      </c>
      <c r="E1323" s="5" t="s">
        <v>24</v>
      </c>
      <c r="F1323" s="5">
        <v>1210.07</v>
      </c>
    </row>
    <row r="1324" spans="1:6" ht="15.75" thickBot="1" x14ac:dyDescent="0.3">
      <c r="A1324" s="4" t="s">
        <v>25</v>
      </c>
      <c r="B1324" s="5" t="s">
        <v>19</v>
      </c>
      <c r="C1324" s="5" t="s">
        <v>34</v>
      </c>
      <c r="D1324" s="5" t="s">
        <v>28</v>
      </c>
      <c r="E1324" s="5" t="s">
        <v>15</v>
      </c>
      <c r="F1324" s="5">
        <v>4451</v>
      </c>
    </row>
    <row r="1325" spans="1:6" ht="30.75" thickBot="1" x14ac:dyDescent="0.3">
      <c r="A1325" s="4" t="s">
        <v>20</v>
      </c>
      <c r="B1325" s="5" t="s">
        <v>17</v>
      </c>
      <c r="C1325" s="5" t="s">
        <v>23</v>
      </c>
      <c r="D1325" s="5" t="s">
        <v>28</v>
      </c>
      <c r="E1325" s="5" t="s">
        <v>24</v>
      </c>
      <c r="F1325" s="5">
        <v>867.35</v>
      </c>
    </row>
    <row r="1326" spans="1:6" ht="15.75" thickBot="1" x14ac:dyDescent="0.3">
      <c r="A1326" s="4" t="s">
        <v>85</v>
      </c>
      <c r="B1326" s="5" t="s">
        <v>30</v>
      </c>
      <c r="C1326" s="5" t="s">
        <v>23</v>
      </c>
      <c r="D1326" s="5" t="s">
        <v>14</v>
      </c>
      <c r="E1326" s="5" t="s">
        <v>10</v>
      </c>
      <c r="F1326" s="5">
        <v>3856.1</v>
      </c>
    </row>
    <row r="1327" spans="1:6" ht="15.75" thickBot="1" x14ac:dyDescent="0.3">
      <c r="A1327" s="4" t="s">
        <v>29</v>
      </c>
      <c r="B1327" s="5" t="s">
        <v>30</v>
      </c>
      <c r="C1327" s="5" t="s">
        <v>34</v>
      </c>
      <c r="D1327" s="5" t="s">
        <v>28</v>
      </c>
      <c r="E1327" s="5" t="s">
        <v>10</v>
      </c>
      <c r="F1327" s="5">
        <v>1963.47</v>
      </c>
    </row>
    <row r="1328" spans="1:6" ht="15.75" thickBot="1" x14ac:dyDescent="0.3">
      <c r="A1328" s="4" t="s">
        <v>18</v>
      </c>
      <c r="B1328" s="5" t="s">
        <v>19</v>
      </c>
      <c r="C1328" s="5" t="s">
        <v>13</v>
      </c>
      <c r="D1328" s="5" t="s">
        <v>14</v>
      </c>
      <c r="E1328" s="5" t="s">
        <v>10</v>
      </c>
      <c r="F1328" s="5">
        <v>4776.8</v>
      </c>
    </row>
    <row r="1329" spans="1:6" ht="15.75" thickBot="1" x14ac:dyDescent="0.3">
      <c r="A1329" s="4" t="s">
        <v>150</v>
      </c>
      <c r="B1329" s="5" t="s">
        <v>30</v>
      </c>
      <c r="C1329" s="5" t="s">
        <v>23</v>
      </c>
      <c r="D1329" s="5" t="s">
        <v>14</v>
      </c>
      <c r="E1329" s="5" t="s">
        <v>24</v>
      </c>
      <c r="F1329" s="5">
        <v>1736.71</v>
      </c>
    </row>
    <row r="1330" spans="1:6" ht="15.75" thickBot="1" x14ac:dyDescent="0.3">
      <c r="A1330" s="4" t="s">
        <v>70</v>
      </c>
      <c r="B1330" s="5" t="s">
        <v>19</v>
      </c>
      <c r="C1330" s="5" t="s">
        <v>8</v>
      </c>
      <c r="D1330" s="5" t="s">
        <v>14</v>
      </c>
      <c r="E1330" s="5" t="s">
        <v>15</v>
      </c>
      <c r="F1330" s="5">
        <v>4367.4799999999996</v>
      </c>
    </row>
    <row r="1331" spans="1:6" ht="30.75" thickBot="1" x14ac:dyDescent="0.3">
      <c r="A1331" s="4" t="s">
        <v>143</v>
      </c>
      <c r="B1331" s="5" t="s">
        <v>17</v>
      </c>
      <c r="C1331" s="5" t="s">
        <v>23</v>
      </c>
      <c r="D1331" s="5" t="s">
        <v>28</v>
      </c>
      <c r="E1331" s="5" t="s">
        <v>15</v>
      </c>
      <c r="F1331" s="5">
        <v>700.15</v>
      </c>
    </row>
    <row r="1332" spans="1:6" ht="15.75" thickBot="1" x14ac:dyDescent="0.3">
      <c r="A1332" s="4" t="s">
        <v>151</v>
      </c>
      <c r="B1332" s="5" t="s">
        <v>12</v>
      </c>
      <c r="C1332" s="5" t="s">
        <v>34</v>
      </c>
      <c r="D1332" s="5" t="s">
        <v>28</v>
      </c>
      <c r="E1332" s="5" t="s">
        <v>15</v>
      </c>
      <c r="F1332" s="5">
        <v>4667.1400000000003</v>
      </c>
    </row>
    <row r="1333" spans="1:6" ht="15.75" thickBot="1" x14ac:dyDescent="0.3">
      <c r="A1333" s="4" t="s">
        <v>146</v>
      </c>
      <c r="B1333" s="5" t="s">
        <v>7</v>
      </c>
      <c r="C1333" s="5" t="s">
        <v>34</v>
      </c>
      <c r="D1333" s="5" t="s">
        <v>9</v>
      </c>
      <c r="E1333" s="5" t="s">
        <v>24</v>
      </c>
      <c r="F1333" s="5">
        <v>2262.4267799999998</v>
      </c>
    </row>
    <row r="1334" spans="1:6" ht="15.75" thickBot="1" x14ac:dyDescent="0.3">
      <c r="A1334" s="4" t="s">
        <v>153</v>
      </c>
      <c r="B1334" s="5" t="s">
        <v>7</v>
      </c>
      <c r="C1334" s="5" t="s">
        <v>13</v>
      </c>
      <c r="D1334" s="5" t="s">
        <v>28</v>
      </c>
      <c r="E1334" s="5" t="s">
        <v>10</v>
      </c>
      <c r="F1334" s="5">
        <v>4898.1499999999996</v>
      </c>
    </row>
    <row r="1335" spans="1:6" ht="15.75" thickBot="1" x14ac:dyDescent="0.3">
      <c r="A1335" s="4" t="s">
        <v>208</v>
      </c>
      <c r="B1335" s="5" t="s">
        <v>19</v>
      </c>
      <c r="C1335" s="5" t="s">
        <v>13</v>
      </c>
      <c r="D1335" s="5" t="s">
        <v>14</v>
      </c>
      <c r="E1335" s="5" t="s">
        <v>15</v>
      </c>
      <c r="F1335" s="5">
        <v>2735.09</v>
      </c>
    </row>
    <row r="1336" spans="1:6" ht="15.75" thickBot="1" x14ac:dyDescent="0.3">
      <c r="A1336" s="4" t="s">
        <v>32</v>
      </c>
      <c r="B1336" s="5" t="s">
        <v>7</v>
      </c>
      <c r="C1336" s="5" t="s">
        <v>13</v>
      </c>
      <c r="D1336" s="5" t="s">
        <v>28</v>
      </c>
      <c r="E1336" s="5" t="s">
        <v>15</v>
      </c>
      <c r="F1336" s="5">
        <v>129.43</v>
      </c>
    </row>
    <row r="1337" spans="1:6" ht="15.75" thickBot="1" x14ac:dyDescent="0.3">
      <c r="A1337" s="4" t="s">
        <v>203</v>
      </c>
      <c r="B1337" s="5" t="s">
        <v>12</v>
      </c>
      <c r="C1337" s="5" t="s">
        <v>34</v>
      </c>
      <c r="D1337" s="5" t="s">
        <v>28</v>
      </c>
      <c r="E1337" s="5" t="s">
        <v>15</v>
      </c>
      <c r="F1337" s="5">
        <v>556.38</v>
      </c>
    </row>
    <row r="1338" spans="1:6" ht="15.75" thickBot="1" x14ac:dyDescent="0.3">
      <c r="A1338" s="4" t="s">
        <v>67</v>
      </c>
      <c r="B1338" s="5" t="s">
        <v>7</v>
      </c>
      <c r="C1338" s="5" t="s">
        <v>23</v>
      </c>
      <c r="D1338" s="5" t="s">
        <v>14</v>
      </c>
      <c r="E1338" s="5" t="s">
        <v>10</v>
      </c>
      <c r="F1338" s="5">
        <v>358.08</v>
      </c>
    </row>
    <row r="1339" spans="1:6" ht="15.75" thickBot="1" x14ac:dyDescent="0.3">
      <c r="A1339" s="4" t="s">
        <v>87</v>
      </c>
      <c r="B1339" s="5" t="s">
        <v>12</v>
      </c>
      <c r="C1339" s="5" t="s">
        <v>34</v>
      </c>
      <c r="D1339" s="5" t="s">
        <v>9</v>
      </c>
      <c r="E1339" s="5" t="s">
        <v>24</v>
      </c>
      <c r="F1339" s="5">
        <v>5236.8358760000001</v>
      </c>
    </row>
    <row r="1340" spans="1:6" ht="15.75" thickBot="1" x14ac:dyDescent="0.3">
      <c r="A1340" s="4" t="s">
        <v>210</v>
      </c>
      <c r="B1340" s="5" t="s">
        <v>7</v>
      </c>
      <c r="C1340" s="5" t="s">
        <v>34</v>
      </c>
      <c r="D1340" s="5" t="s">
        <v>28</v>
      </c>
      <c r="E1340" s="5" t="s">
        <v>24</v>
      </c>
      <c r="F1340" s="5">
        <v>2820.63</v>
      </c>
    </row>
    <row r="1341" spans="1:6" ht="15.75" thickBot="1" x14ac:dyDescent="0.3">
      <c r="A1341" s="4" t="s">
        <v>35</v>
      </c>
      <c r="B1341" s="5" t="s">
        <v>19</v>
      </c>
      <c r="C1341" s="5" t="s">
        <v>34</v>
      </c>
      <c r="D1341" s="5" t="s">
        <v>9</v>
      </c>
      <c r="E1341" s="5" t="s">
        <v>15</v>
      </c>
      <c r="F1341" s="5">
        <v>1652.6301820000001</v>
      </c>
    </row>
    <row r="1342" spans="1:6" ht="15.75" thickBot="1" x14ac:dyDescent="0.3">
      <c r="A1342" s="4" t="s">
        <v>206</v>
      </c>
      <c r="B1342" s="5" t="s">
        <v>19</v>
      </c>
      <c r="C1342" s="5" t="s">
        <v>34</v>
      </c>
      <c r="D1342" s="5" t="s">
        <v>9</v>
      </c>
      <c r="E1342" s="5" t="s">
        <v>15</v>
      </c>
      <c r="F1342" s="5">
        <v>4298.4759350000004</v>
      </c>
    </row>
    <row r="1343" spans="1:6" ht="15.75" thickBot="1" x14ac:dyDescent="0.3">
      <c r="A1343" s="4" t="s">
        <v>169</v>
      </c>
      <c r="B1343" s="5" t="s">
        <v>12</v>
      </c>
      <c r="C1343" s="5" t="s">
        <v>34</v>
      </c>
      <c r="D1343" s="5" t="s">
        <v>14</v>
      </c>
      <c r="E1343" s="5" t="s">
        <v>10</v>
      </c>
      <c r="F1343" s="5">
        <v>2188.52</v>
      </c>
    </row>
    <row r="1344" spans="1:6" ht="15.75" thickBot="1" x14ac:dyDescent="0.3">
      <c r="A1344" s="4" t="s">
        <v>141</v>
      </c>
      <c r="B1344" s="5" t="s">
        <v>7</v>
      </c>
      <c r="C1344" s="5" t="s">
        <v>8</v>
      </c>
      <c r="D1344" s="5" t="s">
        <v>28</v>
      </c>
      <c r="E1344" s="5" t="s">
        <v>15</v>
      </c>
      <c r="F1344" s="5">
        <v>228.37</v>
      </c>
    </row>
    <row r="1345" spans="1:6" ht="15.75" thickBot="1" x14ac:dyDescent="0.3">
      <c r="A1345" s="4" t="s">
        <v>169</v>
      </c>
      <c r="B1345" s="5" t="s">
        <v>12</v>
      </c>
      <c r="C1345" s="5" t="s">
        <v>34</v>
      </c>
      <c r="D1345" s="5" t="s">
        <v>9</v>
      </c>
      <c r="E1345" s="5" t="s">
        <v>10</v>
      </c>
      <c r="F1345" s="5">
        <v>3425.06</v>
      </c>
    </row>
    <row r="1346" spans="1:6" ht="30.75" thickBot="1" x14ac:dyDescent="0.3">
      <c r="A1346" s="4" t="s">
        <v>140</v>
      </c>
      <c r="B1346" s="5" t="s">
        <v>17</v>
      </c>
      <c r="C1346" s="5" t="s">
        <v>34</v>
      </c>
      <c r="D1346" s="5" t="s">
        <v>28</v>
      </c>
      <c r="E1346" s="5" t="s">
        <v>24</v>
      </c>
      <c r="F1346" s="5">
        <v>3780.56</v>
      </c>
    </row>
    <row r="1347" spans="1:6" ht="15.75" thickBot="1" x14ac:dyDescent="0.3">
      <c r="A1347" s="4" t="s">
        <v>113</v>
      </c>
      <c r="B1347" s="5" t="s">
        <v>30</v>
      </c>
      <c r="C1347" s="5" t="s">
        <v>13</v>
      </c>
      <c r="D1347" s="5" t="s">
        <v>28</v>
      </c>
      <c r="E1347" s="5" t="s">
        <v>24</v>
      </c>
      <c r="F1347" s="5">
        <v>1026.45</v>
      </c>
    </row>
    <row r="1348" spans="1:6" ht="15.75" thickBot="1" x14ac:dyDescent="0.3">
      <c r="A1348" s="4" t="s">
        <v>73</v>
      </c>
      <c r="B1348" s="5" t="s">
        <v>30</v>
      </c>
      <c r="C1348" s="5" t="s">
        <v>8</v>
      </c>
      <c r="D1348" s="5" t="s">
        <v>9</v>
      </c>
      <c r="E1348" s="5" t="s">
        <v>15</v>
      </c>
      <c r="F1348" s="5">
        <v>1973.1370979999999</v>
      </c>
    </row>
    <row r="1349" spans="1:6" ht="15.75" thickBot="1" x14ac:dyDescent="0.3">
      <c r="A1349" s="4" t="s">
        <v>203</v>
      </c>
      <c r="B1349" s="5" t="s">
        <v>12</v>
      </c>
      <c r="C1349" s="5" t="s">
        <v>13</v>
      </c>
      <c r="D1349" s="5" t="s">
        <v>9</v>
      </c>
      <c r="E1349" s="5" t="s">
        <v>15</v>
      </c>
      <c r="F1349" s="5">
        <v>3828.4128340000002</v>
      </c>
    </row>
    <row r="1350" spans="1:6" ht="15.75" thickBot="1" x14ac:dyDescent="0.3">
      <c r="A1350" s="4" t="s">
        <v>63</v>
      </c>
      <c r="B1350" s="5" t="s">
        <v>12</v>
      </c>
      <c r="C1350" s="5" t="s">
        <v>23</v>
      </c>
      <c r="D1350" s="5" t="s">
        <v>28</v>
      </c>
      <c r="E1350" s="5" t="s">
        <v>10</v>
      </c>
      <c r="F1350" s="5">
        <v>3883.26</v>
      </c>
    </row>
    <row r="1351" spans="1:6" ht="15.75" thickBot="1" x14ac:dyDescent="0.3">
      <c r="A1351" s="4" t="s">
        <v>77</v>
      </c>
      <c r="B1351" s="5" t="s">
        <v>30</v>
      </c>
      <c r="C1351" s="5" t="s">
        <v>8</v>
      </c>
      <c r="D1351" s="5" t="s">
        <v>9</v>
      </c>
      <c r="E1351" s="5" t="s">
        <v>15</v>
      </c>
      <c r="F1351" s="5">
        <v>4934.9743390000003</v>
      </c>
    </row>
    <row r="1352" spans="1:6" ht="30.75" thickBot="1" x14ac:dyDescent="0.3">
      <c r="A1352" s="4" t="s">
        <v>20</v>
      </c>
      <c r="B1352" s="5" t="s">
        <v>17</v>
      </c>
      <c r="C1352" s="5" t="s">
        <v>13</v>
      </c>
      <c r="D1352" s="5" t="s">
        <v>14</v>
      </c>
      <c r="E1352" s="5" t="s">
        <v>24</v>
      </c>
      <c r="F1352" s="5">
        <v>336.58</v>
      </c>
    </row>
    <row r="1353" spans="1:6" ht="15.75" thickBot="1" x14ac:dyDescent="0.3">
      <c r="A1353" s="4" t="s">
        <v>174</v>
      </c>
      <c r="B1353" s="5" t="s">
        <v>19</v>
      </c>
      <c r="C1353" s="5" t="s">
        <v>13</v>
      </c>
      <c r="D1353" s="5" t="s">
        <v>28</v>
      </c>
      <c r="E1353" s="5" t="s">
        <v>10</v>
      </c>
      <c r="F1353" s="5">
        <v>3817.85</v>
      </c>
    </row>
    <row r="1354" spans="1:6" ht="15.75" thickBot="1" x14ac:dyDescent="0.3">
      <c r="A1354" s="4" t="s">
        <v>95</v>
      </c>
      <c r="B1354" s="5" t="s">
        <v>30</v>
      </c>
      <c r="C1354" s="5" t="s">
        <v>13</v>
      </c>
      <c r="D1354" s="5" t="s">
        <v>28</v>
      </c>
      <c r="E1354" s="5" t="s">
        <v>15</v>
      </c>
      <c r="F1354" s="5">
        <v>1089.25</v>
      </c>
    </row>
    <row r="1355" spans="1:6" ht="15.75" thickBot="1" x14ac:dyDescent="0.3">
      <c r="A1355" s="4" t="s">
        <v>68</v>
      </c>
      <c r="B1355" s="5" t="s">
        <v>12</v>
      </c>
      <c r="C1355" s="5" t="s">
        <v>23</v>
      </c>
      <c r="D1355" s="5" t="s">
        <v>9</v>
      </c>
      <c r="E1355" s="5" t="s">
        <v>10</v>
      </c>
      <c r="F1355" s="5">
        <v>316.07829400000003</v>
      </c>
    </row>
    <row r="1356" spans="1:6" ht="15.75" thickBot="1" x14ac:dyDescent="0.3">
      <c r="A1356" s="4" t="s">
        <v>55</v>
      </c>
      <c r="B1356" s="5" t="s">
        <v>12</v>
      </c>
      <c r="C1356" s="5" t="s">
        <v>13</v>
      </c>
      <c r="D1356" s="5" t="s">
        <v>14</v>
      </c>
      <c r="E1356" s="5" t="s">
        <v>15</v>
      </c>
      <c r="F1356" s="5">
        <v>2112.3200000000002</v>
      </c>
    </row>
    <row r="1357" spans="1:6" ht="30.75" thickBot="1" x14ac:dyDescent="0.3">
      <c r="A1357" s="4" t="s">
        <v>59</v>
      </c>
      <c r="B1357" s="5" t="s">
        <v>17</v>
      </c>
      <c r="C1357" s="5" t="s">
        <v>23</v>
      </c>
      <c r="D1357" s="5" t="s">
        <v>9</v>
      </c>
      <c r="E1357" s="5" t="s">
        <v>10</v>
      </c>
      <c r="F1357" s="5">
        <v>892.44</v>
      </c>
    </row>
    <row r="1358" spans="1:6" ht="15.75" thickBot="1" x14ac:dyDescent="0.3">
      <c r="A1358" s="4" t="s">
        <v>68</v>
      </c>
      <c r="B1358" s="5" t="s">
        <v>12</v>
      </c>
      <c r="C1358" s="5" t="s">
        <v>13</v>
      </c>
      <c r="D1358" s="5" t="s">
        <v>14</v>
      </c>
      <c r="E1358" s="5" t="s">
        <v>10</v>
      </c>
      <c r="F1358" s="5">
        <v>1569.2</v>
      </c>
    </row>
    <row r="1359" spans="1:6" ht="15.75" thickBot="1" x14ac:dyDescent="0.3">
      <c r="A1359" s="4" t="s">
        <v>139</v>
      </c>
      <c r="B1359" s="5" t="s">
        <v>7</v>
      </c>
      <c r="C1359" s="5" t="s">
        <v>34</v>
      </c>
      <c r="D1359" s="5" t="s">
        <v>9</v>
      </c>
      <c r="E1359" s="5" t="s">
        <v>15</v>
      </c>
      <c r="F1359" s="5">
        <v>1407.4467239999999</v>
      </c>
    </row>
    <row r="1360" spans="1:6" ht="15.75" thickBot="1" x14ac:dyDescent="0.3">
      <c r="A1360" s="4" t="s">
        <v>84</v>
      </c>
      <c r="B1360" s="5" t="s">
        <v>30</v>
      </c>
      <c r="C1360" s="5" t="s">
        <v>13</v>
      </c>
      <c r="D1360" s="5" t="s">
        <v>9</v>
      </c>
      <c r="E1360" s="5" t="s">
        <v>24</v>
      </c>
      <c r="F1360" s="5">
        <v>4401.5937169999997</v>
      </c>
    </row>
    <row r="1361" spans="1:6" ht="15.75" thickBot="1" x14ac:dyDescent="0.3">
      <c r="A1361" s="4" t="s">
        <v>124</v>
      </c>
      <c r="B1361" s="5" t="s">
        <v>12</v>
      </c>
      <c r="C1361" s="5" t="s">
        <v>34</v>
      </c>
      <c r="D1361" s="5" t="s">
        <v>28</v>
      </c>
      <c r="E1361" s="5" t="s">
        <v>10</v>
      </c>
      <c r="F1361" s="5">
        <v>4331.4399999999996</v>
      </c>
    </row>
    <row r="1362" spans="1:6" ht="15.75" thickBot="1" x14ac:dyDescent="0.3">
      <c r="A1362" s="4" t="s">
        <v>139</v>
      </c>
      <c r="B1362" s="5" t="s">
        <v>7</v>
      </c>
      <c r="C1362" s="5" t="s">
        <v>23</v>
      </c>
      <c r="D1362" s="5" t="s">
        <v>14</v>
      </c>
      <c r="E1362" s="5" t="s">
        <v>15</v>
      </c>
      <c r="F1362" s="5">
        <v>191.28</v>
      </c>
    </row>
    <row r="1363" spans="1:6" ht="15.75" thickBot="1" x14ac:dyDescent="0.3">
      <c r="A1363" s="4" t="s">
        <v>72</v>
      </c>
      <c r="B1363" s="5" t="s">
        <v>19</v>
      </c>
      <c r="C1363" s="5" t="s">
        <v>8</v>
      </c>
      <c r="D1363" s="5" t="s">
        <v>14</v>
      </c>
      <c r="E1363" s="5" t="s">
        <v>10</v>
      </c>
      <c r="F1363" s="5">
        <v>3002.77</v>
      </c>
    </row>
    <row r="1364" spans="1:6" ht="30.75" thickBot="1" x14ac:dyDescent="0.3">
      <c r="A1364" s="4" t="s">
        <v>37</v>
      </c>
      <c r="B1364" s="5" t="s">
        <v>17</v>
      </c>
      <c r="C1364" s="5" t="s">
        <v>8</v>
      </c>
      <c r="D1364" s="5" t="s">
        <v>28</v>
      </c>
      <c r="E1364" s="5" t="s">
        <v>24</v>
      </c>
      <c r="F1364" s="5">
        <v>2511.59</v>
      </c>
    </row>
    <row r="1365" spans="1:6" ht="15.75" thickBot="1" x14ac:dyDescent="0.3">
      <c r="A1365" s="4" t="s">
        <v>94</v>
      </c>
      <c r="B1365" s="5" t="s">
        <v>7</v>
      </c>
      <c r="C1365" s="5" t="s">
        <v>23</v>
      </c>
      <c r="D1365" s="5" t="s">
        <v>9</v>
      </c>
      <c r="E1365" s="5" t="s">
        <v>15</v>
      </c>
      <c r="F1365" s="5">
        <v>2282.1801989999999</v>
      </c>
    </row>
    <row r="1366" spans="1:6" ht="30.75" thickBot="1" x14ac:dyDescent="0.3">
      <c r="A1366" s="4" t="s">
        <v>218</v>
      </c>
      <c r="B1366" s="5" t="s">
        <v>17</v>
      </c>
      <c r="C1366" s="5" t="s">
        <v>8</v>
      </c>
      <c r="D1366" s="5" t="s">
        <v>28</v>
      </c>
      <c r="E1366" s="5" t="s">
        <v>10</v>
      </c>
      <c r="F1366" s="5">
        <v>4726.1099999999997</v>
      </c>
    </row>
    <row r="1367" spans="1:6" ht="15.75" thickBot="1" x14ac:dyDescent="0.3">
      <c r="A1367" s="4" t="s">
        <v>103</v>
      </c>
      <c r="B1367" s="5" t="s">
        <v>19</v>
      </c>
      <c r="C1367" s="5" t="s">
        <v>13</v>
      </c>
      <c r="D1367" s="5" t="s">
        <v>14</v>
      </c>
      <c r="E1367" s="5" t="s">
        <v>24</v>
      </c>
      <c r="F1367" s="5">
        <v>252.05</v>
      </c>
    </row>
    <row r="1368" spans="1:6" ht="15.75" thickBot="1" x14ac:dyDescent="0.3">
      <c r="A1368" s="4" t="s">
        <v>95</v>
      </c>
      <c r="B1368" s="5" t="s">
        <v>30</v>
      </c>
      <c r="C1368" s="5" t="s">
        <v>23</v>
      </c>
      <c r="D1368" s="5" t="s">
        <v>28</v>
      </c>
      <c r="E1368" s="5" t="s">
        <v>24</v>
      </c>
      <c r="F1368" s="5">
        <v>3693.42</v>
      </c>
    </row>
    <row r="1369" spans="1:6" ht="15.75" thickBot="1" x14ac:dyDescent="0.3">
      <c r="A1369" s="4" t="s">
        <v>204</v>
      </c>
      <c r="B1369" s="5" t="s">
        <v>30</v>
      </c>
      <c r="C1369" s="5" t="s">
        <v>13</v>
      </c>
      <c r="D1369" s="5" t="s">
        <v>9</v>
      </c>
      <c r="E1369" s="5" t="s">
        <v>10</v>
      </c>
      <c r="F1369" s="5">
        <v>2670.5293769999998</v>
      </c>
    </row>
    <row r="1370" spans="1:6" ht="15.75" thickBot="1" x14ac:dyDescent="0.3">
      <c r="A1370" s="4" t="s">
        <v>169</v>
      </c>
      <c r="B1370" s="5" t="s">
        <v>12</v>
      </c>
      <c r="C1370" s="5" t="s">
        <v>13</v>
      </c>
      <c r="D1370" s="5" t="s">
        <v>28</v>
      </c>
      <c r="E1370" s="5" t="s">
        <v>15</v>
      </c>
      <c r="F1370" s="5">
        <v>1186.4000000000001</v>
      </c>
    </row>
    <row r="1371" spans="1:6" ht="15.75" thickBot="1" x14ac:dyDescent="0.3">
      <c r="A1371" s="4" t="s">
        <v>52</v>
      </c>
      <c r="B1371" s="5" t="s">
        <v>19</v>
      </c>
      <c r="C1371" s="5" t="s">
        <v>23</v>
      </c>
      <c r="D1371" s="5" t="s">
        <v>9</v>
      </c>
      <c r="E1371" s="5" t="s">
        <v>10</v>
      </c>
      <c r="F1371" s="5">
        <v>1201.0995809999999</v>
      </c>
    </row>
    <row r="1372" spans="1:6" ht="15.75" thickBot="1" x14ac:dyDescent="0.3">
      <c r="A1372" s="4" t="s">
        <v>203</v>
      </c>
      <c r="B1372" s="5" t="s">
        <v>12</v>
      </c>
      <c r="C1372" s="5" t="s">
        <v>8</v>
      </c>
      <c r="D1372" s="5" t="s">
        <v>9</v>
      </c>
      <c r="E1372" s="5" t="s">
        <v>10</v>
      </c>
      <c r="F1372" s="5">
        <v>1093.3917960000001</v>
      </c>
    </row>
    <row r="1373" spans="1:6" ht="15.75" thickBot="1" x14ac:dyDescent="0.3">
      <c r="A1373" s="4" t="s">
        <v>217</v>
      </c>
      <c r="B1373" s="5" t="s">
        <v>19</v>
      </c>
      <c r="C1373" s="5" t="s">
        <v>13</v>
      </c>
      <c r="D1373" s="5" t="s">
        <v>14</v>
      </c>
      <c r="E1373" s="5" t="s">
        <v>24</v>
      </c>
      <c r="F1373" s="5">
        <v>4636.55</v>
      </c>
    </row>
    <row r="1374" spans="1:6" ht="15.75" thickBot="1" x14ac:dyDescent="0.3">
      <c r="A1374" s="4" t="s">
        <v>157</v>
      </c>
      <c r="B1374" s="5" t="s">
        <v>30</v>
      </c>
      <c r="C1374" s="5" t="s">
        <v>8</v>
      </c>
      <c r="D1374" s="5" t="s">
        <v>9</v>
      </c>
      <c r="E1374" s="5" t="s">
        <v>15</v>
      </c>
      <c r="F1374" s="5">
        <v>1840.534678</v>
      </c>
    </row>
    <row r="1375" spans="1:6" ht="15.75" thickBot="1" x14ac:dyDescent="0.3">
      <c r="A1375" s="4" t="s">
        <v>217</v>
      </c>
      <c r="B1375" s="5" t="s">
        <v>19</v>
      </c>
      <c r="C1375" s="5" t="s">
        <v>23</v>
      </c>
      <c r="D1375" s="5" t="s">
        <v>14</v>
      </c>
      <c r="E1375" s="5" t="s">
        <v>15</v>
      </c>
      <c r="F1375" s="5">
        <v>1036.07</v>
      </c>
    </row>
    <row r="1376" spans="1:6" ht="15.75" thickBot="1" x14ac:dyDescent="0.3">
      <c r="A1376" s="4" t="s">
        <v>193</v>
      </c>
      <c r="B1376" s="5" t="s">
        <v>12</v>
      </c>
      <c r="C1376" s="5" t="s">
        <v>13</v>
      </c>
      <c r="D1376" s="5" t="s">
        <v>9</v>
      </c>
      <c r="E1376" s="5" t="s">
        <v>15</v>
      </c>
      <c r="F1376" s="5">
        <v>390.78143080000001</v>
      </c>
    </row>
    <row r="1377" spans="1:6" ht="15.75" thickBot="1" x14ac:dyDescent="0.3">
      <c r="A1377" s="4" t="s">
        <v>177</v>
      </c>
      <c r="B1377" s="5" t="s">
        <v>7</v>
      </c>
      <c r="C1377" s="5" t="s">
        <v>23</v>
      </c>
      <c r="D1377" s="5" t="s">
        <v>28</v>
      </c>
      <c r="E1377" s="5" t="s">
        <v>10</v>
      </c>
      <c r="F1377" s="5">
        <v>4126.71</v>
      </c>
    </row>
    <row r="1378" spans="1:6" ht="15.75" thickBot="1" x14ac:dyDescent="0.3">
      <c r="A1378" s="4" t="s">
        <v>96</v>
      </c>
      <c r="B1378" s="5" t="s">
        <v>19</v>
      </c>
      <c r="C1378" s="5" t="s">
        <v>23</v>
      </c>
      <c r="D1378" s="5" t="s">
        <v>28</v>
      </c>
      <c r="E1378" s="5" t="s">
        <v>10</v>
      </c>
      <c r="F1378" s="5">
        <v>4171.8100000000004</v>
      </c>
    </row>
    <row r="1379" spans="1:6" ht="15.75" thickBot="1" x14ac:dyDescent="0.3">
      <c r="A1379" s="4" t="s">
        <v>145</v>
      </c>
      <c r="B1379" s="5" t="s">
        <v>7</v>
      </c>
      <c r="C1379" s="5" t="s">
        <v>8</v>
      </c>
      <c r="D1379" s="5" t="s">
        <v>14</v>
      </c>
      <c r="E1379" s="5" t="s">
        <v>24</v>
      </c>
      <c r="F1379" s="5">
        <v>3571.47</v>
      </c>
    </row>
    <row r="1380" spans="1:6" ht="15.75" thickBot="1" x14ac:dyDescent="0.3">
      <c r="A1380" s="4" t="s">
        <v>154</v>
      </c>
      <c r="B1380" s="5" t="s">
        <v>12</v>
      </c>
      <c r="C1380" s="5" t="s">
        <v>34</v>
      </c>
      <c r="D1380" s="5" t="s">
        <v>28</v>
      </c>
      <c r="E1380" s="5" t="s">
        <v>10</v>
      </c>
      <c r="F1380" s="5">
        <v>1961.65</v>
      </c>
    </row>
    <row r="1381" spans="1:6" ht="15.75" thickBot="1" x14ac:dyDescent="0.3">
      <c r="A1381" s="4" t="s">
        <v>114</v>
      </c>
      <c r="B1381" s="5" t="s">
        <v>30</v>
      </c>
      <c r="C1381" s="5" t="s">
        <v>34</v>
      </c>
      <c r="D1381" s="5" t="s">
        <v>14</v>
      </c>
      <c r="E1381" s="5" t="s">
        <v>10</v>
      </c>
      <c r="F1381" s="5">
        <v>3905.64</v>
      </c>
    </row>
    <row r="1382" spans="1:6" ht="15.75" thickBot="1" x14ac:dyDescent="0.3">
      <c r="A1382" s="4" t="s">
        <v>173</v>
      </c>
      <c r="B1382" s="5" t="s">
        <v>30</v>
      </c>
      <c r="C1382" s="5" t="s">
        <v>13</v>
      </c>
      <c r="D1382" s="5" t="s">
        <v>9</v>
      </c>
      <c r="E1382" s="5" t="s">
        <v>15</v>
      </c>
      <c r="F1382" s="5">
        <v>2192.9713040000001</v>
      </c>
    </row>
    <row r="1383" spans="1:6" ht="15.75" thickBot="1" x14ac:dyDescent="0.3">
      <c r="A1383" s="4" t="s">
        <v>201</v>
      </c>
      <c r="B1383" s="5" t="s">
        <v>12</v>
      </c>
      <c r="C1383" s="5" t="s">
        <v>23</v>
      </c>
      <c r="D1383" s="5" t="s">
        <v>14</v>
      </c>
      <c r="E1383" s="5" t="s">
        <v>15</v>
      </c>
      <c r="F1383" s="5">
        <v>369.5</v>
      </c>
    </row>
    <row r="1384" spans="1:6" ht="15.75" thickBot="1" x14ac:dyDescent="0.3">
      <c r="A1384" s="4" t="s">
        <v>68</v>
      </c>
      <c r="B1384" s="5" t="s">
        <v>12</v>
      </c>
      <c r="C1384" s="5" t="s">
        <v>13</v>
      </c>
      <c r="D1384" s="5" t="s">
        <v>14</v>
      </c>
      <c r="E1384" s="5" t="s">
        <v>15</v>
      </c>
      <c r="F1384" s="5">
        <v>2277.1799999999998</v>
      </c>
    </row>
    <row r="1385" spans="1:6" ht="15.75" thickBot="1" x14ac:dyDescent="0.3">
      <c r="A1385" s="4" t="s">
        <v>166</v>
      </c>
      <c r="B1385" s="5" t="s">
        <v>7</v>
      </c>
      <c r="C1385" s="5" t="s">
        <v>8</v>
      </c>
      <c r="D1385" s="5" t="s">
        <v>14</v>
      </c>
      <c r="E1385" s="5" t="s">
        <v>10</v>
      </c>
      <c r="F1385" s="5">
        <v>4278.8900000000003</v>
      </c>
    </row>
    <row r="1386" spans="1:6" ht="15.75" thickBot="1" x14ac:dyDescent="0.3">
      <c r="A1386" s="4" t="s">
        <v>123</v>
      </c>
      <c r="B1386" s="5" t="s">
        <v>30</v>
      </c>
      <c r="C1386" s="5" t="s">
        <v>13</v>
      </c>
      <c r="D1386" s="5" t="s">
        <v>14</v>
      </c>
      <c r="E1386" s="5" t="s">
        <v>15</v>
      </c>
      <c r="F1386" s="5">
        <v>3665.62</v>
      </c>
    </row>
    <row r="1387" spans="1:6" ht="15.75" thickBot="1" x14ac:dyDescent="0.3">
      <c r="A1387" s="4" t="s">
        <v>192</v>
      </c>
      <c r="B1387" s="5" t="s">
        <v>19</v>
      </c>
      <c r="C1387" s="5" t="s">
        <v>13</v>
      </c>
      <c r="D1387" s="5" t="s">
        <v>9</v>
      </c>
      <c r="E1387" s="5" t="s">
        <v>15</v>
      </c>
      <c r="F1387" s="5">
        <v>4127.2296200000001</v>
      </c>
    </row>
    <row r="1388" spans="1:6" ht="15.75" thickBot="1" x14ac:dyDescent="0.3">
      <c r="A1388" s="4" t="s">
        <v>55</v>
      </c>
      <c r="B1388" s="5" t="s">
        <v>12</v>
      </c>
      <c r="C1388" s="5" t="s">
        <v>23</v>
      </c>
      <c r="D1388" s="5" t="s">
        <v>14</v>
      </c>
      <c r="E1388" s="5" t="s">
        <v>24</v>
      </c>
      <c r="F1388" s="5">
        <v>1251.29</v>
      </c>
    </row>
    <row r="1389" spans="1:6" ht="30.75" thickBot="1" x14ac:dyDescent="0.3">
      <c r="A1389" s="4" t="s">
        <v>207</v>
      </c>
      <c r="B1389" s="5" t="s">
        <v>17</v>
      </c>
      <c r="C1389" s="5" t="s">
        <v>13</v>
      </c>
      <c r="D1389" s="5" t="s">
        <v>28</v>
      </c>
      <c r="E1389" s="5" t="s">
        <v>15</v>
      </c>
      <c r="F1389" s="5">
        <v>3935.94</v>
      </c>
    </row>
    <row r="1390" spans="1:6" ht="15.75" thickBot="1" x14ac:dyDescent="0.3">
      <c r="A1390" s="4" t="s">
        <v>42</v>
      </c>
      <c r="B1390" s="5" t="s">
        <v>30</v>
      </c>
      <c r="C1390" s="5" t="s">
        <v>34</v>
      </c>
      <c r="D1390" s="5" t="s">
        <v>28</v>
      </c>
      <c r="E1390" s="5" t="s">
        <v>15</v>
      </c>
      <c r="F1390" s="5">
        <v>1012.81</v>
      </c>
    </row>
    <row r="1391" spans="1:6" ht="30.75" thickBot="1" x14ac:dyDescent="0.3">
      <c r="A1391" s="4" t="s">
        <v>205</v>
      </c>
      <c r="B1391" s="5" t="s">
        <v>17</v>
      </c>
      <c r="C1391" s="5" t="s">
        <v>23</v>
      </c>
      <c r="D1391" s="5" t="s">
        <v>28</v>
      </c>
      <c r="E1391" s="5" t="s">
        <v>15</v>
      </c>
      <c r="F1391" s="5">
        <v>817.03</v>
      </c>
    </row>
    <row r="1392" spans="1:6" ht="15.75" thickBot="1" x14ac:dyDescent="0.3">
      <c r="A1392" s="4" t="s">
        <v>170</v>
      </c>
      <c r="B1392" s="5" t="s">
        <v>12</v>
      </c>
      <c r="C1392" s="5" t="s">
        <v>13</v>
      </c>
      <c r="D1392" s="5" t="s">
        <v>28</v>
      </c>
      <c r="E1392" s="5" t="s">
        <v>15</v>
      </c>
      <c r="F1392" s="5">
        <v>4733.58</v>
      </c>
    </row>
    <row r="1393" spans="1:6" ht="15.75" thickBot="1" x14ac:dyDescent="0.3">
      <c r="A1393" s="4" t="s">
        <v>112</v>
      </c>
      <c r="B1393" s="5" t="s">
        <v>30</v>
      </c>
      <c r="C1393" s="5" t="s">
        <v>23</v>
      </c>
      <c r="D1393" s="5" t="s">
        <v>14</v>
      </c>
      <c r="E1393" s="5" t="s">
        <v>10</v>
      </c>
      <c r="F1393" s="5">
        <v>4851.63</v>
      </c>
    </row>
    <row r="1394" spans="1:6" ht="15.75" thickBot="1" x14ac:dyDescent="0.3">
      <c r="A1394" s="4" t="s">
        <v>173</v>
      </c>
      <c r="B1394" s="5" t="s">
        <v>30</v>
      </c>
      <c r="C1394" s="5" t="s">
        <v>34</v>
      </c>
      <c r="D1394" s="5" t="s">
        <v>28</v>
      </c>
      <c r="E1394" s="5" t="s">
        <v>10</v>
      </c>
      <c r="F1394" s="5">
        <v>2889.59</v>
      </c>
    </row>
    <row r="1395" spans="1:6" ht="15.75" thickBot="1" x14ac:dyDescent="0.3">
      <c r="A1395" s="4" t="s">
        <v>126</v>
      </c>
      <c r="B1395" s="5" t="s">
        <v>30</v>
      </c>
      <c r="C1395" s="5" t="s">
        <v>34</v>
      </c>
      <c r="D1395" s="5" t="s">
        <v>14</v>
      </c>
      <c r="E1395" s="5" t="s">
        <v>10</v>
      </c>
      <c r="F1395" s="5">
        <v>2545.79</v>
      </c>
    </row>
    <row r="1396" spans="1:6" ht="15.75" thickBot="1" x14ac:dyDescent="0.3">
      <c r="A1396" s="4" t="s">
        <v>206</v>
      </c>
      <c r="B1396" s="5" t="s">
        <v>19</v>
      </c>
      <c r="C1396" s="5" t="s">
        <v>23</v>
      </c>
      <c r="D1396" s="5" t="s">
        <v>9</v>
      </c>
      <c r="E1396" s="5" t="s">
        <v>24</v>
      </c>
      <c r="F1396" s="5">
        <v>3857.3744120000001</v>
      </c>
    </row>
    <row r="1397" spans="1:6" ht="15.75" thickBot="1" x14ac:dyDescent="0.3">
      <c r="A1397" s="4" t="s">
        <v>29</v>
      </c>
      <c r="B1397" s="5" t="s">
        <v>30</v>
      </c>
      <c r="C1397" s="5" t="s">
        <v>8</v>
      </c>
      <c r="D1397" s="5" t="s">
        <v>9</v>
      </c>
      <c r="E1397" s="5" t="s">
        <v>10</v>
      </c>
      <c r="F1397" s="5">
        <v>1399.1880410000001</v>
      </c>
    </row>
    <row r="1398" spans="1:6" ht="15.75" thickBot="1" x14ac:dyDescent="0.3">
      <c r="A1398" s="4" t="s">
        <v>115</v>
      </c>
      <c r="B1398" s="5" t="s">
        <v>19</v>
      </c>
      <c r="C1398" s="5" t="s">
        <v>8</v>
      </c>
      <c r="D1398" s="5" t="s">
        <v>28</v>
      </c>
      <c r="E1398" s="5" t="s">
        <v>10</v>
      </c>
      <c r="F1398" s="5">
        <v>1563.76</v>
      </c>
    </row>
    <row r="1399" spans="1:6" ht="30.75" thickBot="1" x14ac:dyDescent="0.3">
      <c r="A1399" s="4" t="s">
        <v>218</v>
      </c>
      <c r="B1399" s="5" t="s">
        <v>17</v>
      </c>
      <c r="C1399" s="5" t="s">
        <v>13</v>
      </c>
      <c r="D1399" s="5" t="s">
        <v>14</v>
      </c>
      <c r="E1399" s="5" t="s">
        <v>10</v>
      </c>
      <c r="F1399" s="5">
        <v>2518.31</v>
      </c>
    </row>
    <row r="1400" spans="1:6" ht="15.75" thickBot="1" x14ac:dyDescent="0.3">
      <c r="A1400" s="4" t="s">
        <v>71</v>
      </c>
      <c r="B1400" s="5" t="s">
        <v>7</v>
      </c>
      <c r="C1400" s="5" t="s">
        <v>23</v>
      </c>
      <c r="D1400" s="5" t="s">
        <v>14</v>
      </c>
      <c r="E1400" s="5" t="s">
        <v>15</v>
      </c>
      <c r="F1400" s="5">
        <v>4134.78</v>
      </c>
    </row>
    <row r="1401" spans="1:6" ht="15.75" thickBot="1" x14ac:dyDescent="0.3">
      <c r="A1401" s="4" t="s">
        <v>178</v>
      </c>
      <c r="B1401" s="5" t="s">
        <v>30</v>
      </c>
      <c r="C1401" s="5" t="s">
        <v>8</v>
      </c>
      <c r="D1401" s="5" t="s">
        <v>28</v>
      </c>
      <c r="E1401" s="5" t="s">
        <v>10</v>
      </c>
      <c r="F1401" s="5">
        <v>2532.84</v>
      </c>
    </row>
    <row r="1402" spans="1:6" ht="15.75" thickBot="1" x14ac:dyDescent="0.3">
      <c r="A1402" s="4" t="s">
        <v>110</v>
      </c>
      <c r="B1402" s="5" t="s">
        <v>12</v>
      </c>
      <c r="C1402" s="5" t="s">
        <v>8</v>
      </c>
      <c r="D1402" s="5" t="s">
        <v>14</v>
      </c>
      <c r="E1402" s="5" t="s">
        <v>10</v>
      </c>
      <c r="F1402" s="5">
        <v>2192.7800000000002</v>
      </c>
    </row>
    <row r="1403" spans="1:6" ht="30.75" thickBot="1" x14ac:dyDescent="0.3">
      <c r="A1403" s="4" t="s">
        <v>168</v>
      </c>
      <c r="B1403" s="5" t="s">
        <v>17</v>
      </c>
      <c r="C1403" s="5" t="s">
        <v>23</v>
      </c>
      <c r="D1403" s="5" t="s">
        <v>28</v>
      </c>
      <c r="E1403" s="5" t="s">
        <v>24</v>
      </c>
      <c r="F1403" s="5">
        <v>2433.0700000000002</v>
      </c>
    </row>
    <row r="1404" spans="1:6" ht="30.75" thickBot="1" x14ac:dyDescent="0.3">
      <c r="A1404" s="4" t="s">
        <v>190</v>
      </c>
      <c r="B1404" s="5" t="s">
        <v>17</v>
      </c>
      <c r="C1404" s="5" t="s">
        <v>8</v>
      </c>
      <c r="D1404" s="5" t="s">
        <v>28</v>
      </c>
      <c r="E1404" s="5" t="s">
        <v>10</v>
      </c>
      <c r="F1404" s="5">
        <v>3760.84</v>
      </c>
    </row>
    <row r="1405" spans="1:6" ht="15.75" thickBot="1" x14ac:dyDescent="0.3">
      <c r="A1405" s="4" t="s">
        <v>64</v>
      </c>
      <c r="B1405" s="5" t="s">
        <v>30</v>
      </c>
      <c r="C1405" s="5" t="s">
        <v>8</v>
      </c>
      <c r="D1405" s="5" t="s">
        <v>9</v>
      </c>
      <c r="E1405" s="5" t="s">
        <v>10</v>
      </c>
      <c r="F1405" s="5">
        <v>3726.94</v>
      </c>
    </row>
    <row r="1406" spans="1:6" ht="15.75" thickBot="1" x14ac:dyDescent="0.3">
      <c r="A1406" s="4" t="s">
        <v>186</v>
      </c>
      <c r="B1406" s="5" t="s">
        <v>30</v>
      </c>
      <c r="C1406" s="5" t="s">
        <v>8</v>
      </c>
      <c r="D1406" s="5" t="s">
        <v>14</v>
      </c>
      <c r="E1406" s="5" t="s">
        <v>10</v>
      </c>
      <c r="F1406" s="5">
        <v>3670.96</v>
      </c>
    </row>
    <row r="1407" spans="1:6" ht="15.75" thickBot="1" x14ac:dyDescent="0.3">
      <c r="A1407" s="4" t="s">
        <v>97</v>
      </c>
      <c r="B1407" s="5" t="s">
        <v>7</v>
      </c>
      <c r="C1407" s="5" t="s">
        <v>13</v>
      </c>
      <c r="D1407" s="5" t="s">
        <v>9</v>
      </c>
      <c r="E1407" s="5" t="s">
        <v>10</v>
      </c>
      <c r="F1407" s="5">
        <v>1821.13</v>
      </c>
    </row>
    <row r="1408" spans="1:6" ht="15.75" thickBot="1" x14ac:dyDescent="0.3">
      <c r="A1408" s="4" t="s">
        <v>163</v>
      </c>
      <c r="B1408" s="5" t="s">
        <v>19</v>
      </c>
      <c r="C1408" s="5" t="s">
        <v>23</v>
      </c>
      <c r="D1408" s="5" t="s">
        <v>28</v>
      </c>
      <c r="E1408" s="5" t="s">
        <v>10</v>
      </c>
      <c r="F1408" s="5">
        <v>231.16</v>
      </c>
    </row>
    <row r="1409" spans="1:6" ht="15.75" thickBot="1" x14ac:dyDescent="0.3">
      <c r="A1409" s="4" t="s">
        <v>165</v>
      </c>
      <c r="B1409" s="5" t="s">
        <v>7</v>
      </c>
      <c r="C1409" s="5" t="s">
        <v>13</v>
      </c>
      <c r="D1409" s="5" t="s">
        <v>9</v>
      </c>
      <c r="E1409" s="5" t="s">
        <v>15</v>
      </c>
      <c r="F1409" s="5">
        <v>1503.886974</v>
      </c>
    </row>
    <row r="1410" spans="1:6" ht="15.75" thickBot="1" x14ac:dyDescent="0.3">
      <c r="A1410" s="4" t="s">
        <v>65</v>
      </c>
      <c r="B1410" s="5" t="s">
        <v>30</v>
      </c>
      <c r="C1410" s="5" t="s">
        <v>23</v>
      </c>
      <c r="D1410" s="5" t="s">
        <v>28</v>
      </c>
      <c r="E1410" s="5" t="s">
        <v>24</v>
      </c>
      <c r="F1410" s="5">
        <v>1448.62</v>
      </c>
    </row>
    <row r="1411" spans="1:6" ht="15.75" thickBot="1" x14ac:dyDescent="0.3">
      <c r="A1411" s="4" t="s">
        <v>95</v>
      </c>
      <c r="B1411" s="5" t="s">
        <v>30</v>
      </c>
      <c r="C1411" s="5" t="s">
        <v>13</v>
      </c>
      <c r="D1411" s="5" t="s">
        <v>14</v>
      </c>
      <c r="E1411" s="5" t="s">
        <v>10</v>
      </c>
      <c r="F1411" s="5">
        <v>3712.48</v>
      </c>
    </row>
    <row r="1412" spans="1:6" ht="15.75" thickBot="1" x14ac:dyDescent="0.3">
      <c r="A1412" s="4" t="s">
        <v>98</v>
      </c>
      <c r="B1412" s="5" t="s">
        <v>19</v>
      </c>
      <c r="C1412" s="5" t="s">
        <v>23</v>
      </c>
      <c r="D1412" s="5" t="s">
        <v>28</v>
      </c>
      <c r="E1412" s="5" t="s">
        <v>10</v>
      </c>
      <c r="F1412" s="5">
        <v>4843.3</v>
      </c>
    </row>
    <row r="1413" spans="1:6" ht="30.75" thickBot="1" x14ac:dyDescent="0.3">
      <c r="A1413" s="4" t="s">
        <v>137</v>
      </c>
      <c r="B1413" s="5" t="s">
        <v>17</v>
      </c>
      <c r="C1413" s="5" t="s">
        <v>23</v>
      </c>
      <c r="D1413" s="5" t="s">
        <v>14</v>
      </c>
      <c r="E1413" s="5" t="s">
        <v>15</v>
      </c>
      <c r="F1413" s="5">
        <v>2038.87</v>
      </c>
    </row>
    <row r="1414" spans="1:6" ht="30.75" thickBot="1" x14ac:dyDescent="0.3">
      <c r="A1414" s="4" t="s">
        <v>218</v>
      </c>
      <c r="B1414" s="5" t="s">
        <v>17</v>
      </c>
      <c r="C1414" s="5" t="s">
        <v>8</v>
      </c>
      <c r="D1414" s="5" t="s">
        <v>28</v>
      </c>
      <c r="E1414" s="5" t="s">
        <v>24</v>
      </c>
      <c r="F1414" s="5">
        <v>501.53</v>
      </c>
    </row>
    <row r="1415" spans="1:6" ht="15.75" thickBot="1" x14ac:dyDescent="0.3">
      <c r="A1415" s="4" t="s">
        <v>141</v>
      </c>
      <c r="B1415" s="5" t="s">
        <v>7</v>
      </c>
      <c r="C1415" s="5" t="s">
        <v>34</v>
      </c>
      <c r="D1415" s="5" t="s">
        <v>14</v>
      </c>
      <c r="E1415" s="5" t="s">
        <v>24</v>
      </c>
      <c r="F1415" s="5">
        <v>2494.41</v>
      </c>
    </row>
    <row r="1416" spans="1:6" ht="30.75" thickBot="1" x14ac:dyDescent="0.3">
      <c r="A1416" s="4" t="s">
        <v>79</v>
      </c>
      <c r="B1416" s="5" t="s">
        <v>17</v>
      </c>
      <c r="C1416" s="5" t="s">
        <v>8</v>
      </c>
      <c r="D1416" s="5" t="s">
        <v>14</v>
      </c>
      <c r="E1416" s="5" t="s">
        <v>24</v>
      </c>
      <c r="F1416" s="5">
        <v>3410.79</v>
      </c>
    </row>
    <row r="1417" spans="1:6" ht="30.75" thickBot="1" x14ac:dyDescent="0.3">
      <c r="A1417" s="4" t="s">
        <v>89</v>
      </c>
      <c r="B1417" s="5" t="s">
        <v>17</v>
      </c>
      <c r="C1417" s="5" t="s">
        <v>8</v>
      </c>
      <c r="D1417" s="5" t="s">
        <v>9</v>
      </c>
      <c r="E1417" s="5" t="s">
        <v>15</v>
      </c>
      <c r="F1417" s="5">
        <v>4596.0482240000001</v>
      </c>
    </row>
    <row r="1418" spans="1:6" ht="15.75" thickBot="1" x14ac:dyDescent="0.3">
      <c r="A1418" s="4" t="s">
        <v>160</v>
      </c>
      <c r="B1418" s="5" t="s">
        <v>30</v>
      </c>
      <c r="C1418" s="5" t="s">
        <v>8</v>
      </c>
      <c r="D1418" s="5" t="s">
        <v>28</v>
      </c>
      <c r="E1418" s="5" t="s">
        <v>24</v>
      </c>
      <c r="F1418" s="5">
        <v>2175.48</v>
      </c>
    </row>
    <row r="1419" spans="1:6" ht="15.75" thickBot="1" x14ac:dyDescent="0.3">
      <c r="A1419" s="4" t="s">
        <v>173</v>
      </c>
      <c r="B1419" s="5" t="s">
        <v>30</v>
      </c>
      <c r="C1419" s="5" t="s">
        <v>8</v>
      </c>
      <c r="D1419" s="5" t="s">
        <v>28</v>
      </c>
      <c r="E1419" s="5" t="s">
        <v>10</v>
      </c>
      <c r="F1419" s="5">
        <v>4410.9799999999996</v>
      </c>
    </row>
    <row r="1420" spans="1:6" ht="15.75" thickBot="1" x14ac:dyDescent="0.3">
      <c r="A1420" s="4" t="s">
        <v>67</v>
      </c>
      <c r="B1420" s="5" t="s">
        <v>7</v>
      </c>
      <c r="C1420" s="5" t="s">
        <v>8</v>
      </c>
      <c r="D1420" s="5" t="s">
        <v>9</v>
      </c>
      <c r="E1420" s="5" t="s">
        <v>15</v>
      </c>
      <c r="F1420" s="5">
        <v>4785.2299999999996</v>
      </c>
    </row>
    <row r="1421" spans="1:6" ht="15.75" thickBot="1" x14ac:dyDescent="0.3">
      <c r="A1421" s="4" t="s">
        <v>45</v>
      </c>
      <c r="B1421" s="5" t="s">
        <v>7</v>
      </c>
      <c r="C1421" s="5" t="s">
        <v>23</v>
      </c>
      <c r="D1421" s="5" t="s">
        <v>28</v>
      </c>
      <c r="E1421" s="5" t="s">
        <v>15</v>
      </c>
      <c r="F1421" s="5">
        <v>3604.55</v>
      </c>
    </row>
    <row r="1422" spans="1:6" ht="15.75" thickBot="1" x14ac:dyDescent="0.3">
      <c r="A1422" s="4" t="s">
        <v>109</v>
      </c>
      <c r="B1422" s="5" t="s">
        <v>12</v>
      </c>
      <c r="C1422" s="5" t="s">
        <v>13</v>
      </c>
      <c r="D1422" s="5" t="s">
        <v>28</v>
      </c>
      <c r="E1422" s="5" t="s">
        <v>15</v>
      </c>
      <c r="F1422" s="5">
        <v>3470.96</v>
      </c>
    </row>
    <row r="1423" spans="1:6" ht="15.75" thickBot="1" x14ac:dyDescent="0.3">
      <c r="A1423" s="4" t="s">
        <v>112</v>
      </c>
      <c r="B1423" s="5" t="s">
        <v>30</v>
      </c>
      <c r="C1423" s="5" t="s">
        <v>23</v>
      </c>
      <c r="D1423" s="5" t="s">
        <v>14</v>
      </c>
      <c r="E1423" s="5" t="s">
        <v>10</v>
      </c>
      <c r="F1423" s="5">
        <v>3506.46</v>
      </c>
    </row>
    <row r="1424" spans="1:6" ht="15.75" thickBot="1" x14ac:dyDescent="0.3">
      <c r="A1424" s="4" t="s">
        <v>175</v>
      </c>
      <c r="B1424" s="5" t="s">
        <v>7</v>
      </c>
      <c r="C1424" s="5" t="s">
        <v>13</v>
      </c>
      <c r="D1424" s="5" t="s">
        <v>9</v>
      </c>
      <c r="E1424" s="5" t="s">
        <v>24</v>
      </c>
      <c r="F1424" s="5">
        <v>2058.1298219999999</v>
      </c>
    </row>
    <row r="1425" spans="1:6" ht="15.75" thickBot="1" x14ac:dyDescent="0.3">
      <c r="A1425" s="4" t="s">
        <v>94</v>
      </c>
      <c r="B1425" s="5" t="s">
        <v>7</v>
      </c>
      <c r="C1425" s="5" t="s">
        <v>34</v>
      </c>
      <c r="D1425" s="5" t="s">
        <v>28</v>
      </c>
      <c r="E1425" s="5" t="s">
        <v>24</v>
      </c>
      <c r="F1425" s="5">
        <v>1643.92</v>
      </c>
    </row>
    <row r="1426" spans="1:6" ht="15.75" thickBot="1" x14ac:dyDescent="0.3">
      <c r="A1426" s="4" t="s">
        <v>217</v>
      </c>
      <c r="B1426" s="5" t="s">
        <v>19</v>
      </c>
      <c r="C1426" s="5" t="s">
        <v>23</v>
      </c>
      <c r="D1426" s="5" t="s">
        <v>28</v>
      </c>
      <c r="E1426" s="5" t="s">
        <v>10</v>
      </c>
      <c r="F1426" s="5">
        <v>2080.0300000000002</v>
      </c>
    </row>
    <row r="1427" spans="1:6" ht="15.75" thickBot="1" x14ac:dyDescent="0.3">
      <c r="A1427" s="4" t="s">
        <v>211</v>
      </c>
      <c r="B1427" s="5" t="s">
        <v>7</v>
      </c>
      <c r="C1427" s="5" t="s">
        <v>8</v>
      </c>
      <c r="D1427" s="5" t="s">
        <v>14</v>
      </c>
      <c r="E1427" s="5" t="s">
        <v>24</v>
      </c>
      <c r="F1427" s="5">
        <v>2465.4499999999998</v>
      </c>
    </row>
    <row r="1428" spans="1:6" ht="30.75" thickBot="1" x14ac:dyDescent="0.3">
      <c r="A1428" s="4" t="s">
        <v>80</v>
      </c>
      <c r="B1428" s="5" t="s">
        <v>17</v>
      </c>
      <c r="C1428" s="5" t="s">
        <v>13</v>
      </c>
      <c r="D1428" s="5" t="s">
        <v>14</v>
      </c>
      <c r="E1428" s="5" t="s">
        <v>24</v>
      </c>
      <c r="F1428" s="5">
        <v>2931.16</v>
      </c>
    </row>
    <row r="1429" spans="1:6" ht="15.75" thickBot="1" x14ac:dyDescent="0.3">
      <c r="A1429" s="4" t="s">
        <v>117</v>
      </c>
      <c r="B1429" s="5" t="s">
        <v>7</v>
      </c>
      <c r="C1429" s="5" t="s">
        <v>23</v>
      </c>
      <c r="D1429" s="5" t="s">
        <v>28</v>
      </c>
      <c r="E1429" s="5" t="s">
        <v>24</v>
      </c>
      <c r="F1429" s="5">
        <v>1925.79</v>
      </c>
    </row>
    <row r="1430" spans="1:6" ht="15.75" thickBot="1" x14ac:dyDescent="0.3">
      <c r="A1430" s="4" t="s">
        <v>86</v>
      </c>
      <c r="B1430" s="5" t="s">
        <v>19</v>
      </c>
      <c r="C1430" s="5" t="s">
        <v>8</v>
      </c>
      <c r="D1430" s="5" t="s">
        <v>14</v>
      </c>
      <c r="E1430" s="5" t="s">
        <v>24</v>
      </c>
      <c r="F1430" s="5">
        <v>1331.9</v>
      </c>
    </row>
    <row r="1431" spans="1:6" ht="15.75" thickBot="1" x14ac:dyDescent="0.3">
      <c r="A1431" s="4" t="s">
        <v>18</v>
      </c>
      <c r="B1431" s="5" t="s">
        <v>19</v>
      </c>
      <c r="C1431" s="5" t="s">
        <v>8</v>
      </c>
      <c r="D1431" s="5" t="s">
        <v>9</v>
      </c>
      <c r="E1431" s="5" t="s">
        <v>15</v>
      </c>
      <c r="F1431" s="5">
        <v>3932.2339569999999</v>
      </c>
    </row>
    <row r="1432" spans="1:6" ht="15.75" thickBot="1" x14ac:dyDescent="0.3">
      <c r="A1432" s="4" t="s">
        <v>18</v>
      </c>
      <c r="B1432" s="5" t="s">
        <v>19</v>
      </c>
      <c r="C1432" s="5" t="s">
        <v>13</v>
      </c>
      <c r="D1432" s="5" t="s">
        <v>28</v>
      </c>
      <c r="E1432" s="5" t="s">
        <v>24</v>
      </c>
      <c r="F1432" s="5">
        <v>1414.52</v>
      </c>
    </row>
    <row r="1433" spans="1:6" ht="15.75" thickBot="1" x14ac:dyDescent="0.3">
      <c r="A1433" s="4" t="s">
        <v>36</v>
      </c>
      <c r="B1433" s="5" t="s">
        <v>12</v>
      </c>
      <c r="C1433" s="5" t="s">
        <v>13</v>
      </c>
      <c r="D1433" s="5" t="s">
        <v>9</v>
      </c>
      <c r="E1433" s="5" t="s">
        <v>24</v>
      </c>
      <c r="F1433" s="5">
        <v>3472.6851879999999</v>
      </c>
    </row>
    <row r="1434" spans="1:6" ht="15.75" thickBot="1" x14ac:dyDescent="0.3">
      <c r="A1434" s="4" t="s">
        <v>180</v>
      </c>
      <c r="B1434" s="5" t="s">
        <v>30</v>
      </c>
      <c r="C1434" s="5" t="s">
        <v>34</v>
      </c>
      <c r="D1434" s="5" t="s">
        <v>28</v>
      </c>
      <c r="E1434" s="5" t="s">
        <v>24</v>
      </c>
      <c r="F1434" s="5">
        <v>1357.85</v>
      </c>
    </row>
    <row r="1435" spans="1:6" ht="15.75" thickBot="1" x14ac:dyDescent="0.3">
      <c r="A1435" s="4" t="s">
        <v>114</v>
      </c>
      <c r="B1435" s="5" t="s">
        <v>30</v>
      </c>
      <c r="C1435" s="5" t="s">
        <v>8</v>
      </c>
      <c r="D1435" s="5" t="s">
        <v>28</v>
      </c>
      <c r="E1435" s="5" t="s">
        <v>10</v>
      </c>
      <c r="F1435" s="5">
        <v>347.5</v>
      </c>
    </row>
    <row r="1436" spans="1:6" ht="15.75" thickBot="1" x14ac:dyDescent="0.3">
      <c r="A1436" s="4" t="s">
        <v>214</v>
      </c>
      <c r="B1436" s="5" t="s">
        <v>30</v>
      </c>
      <c r="C1436" s="5" t="s">
        <v>13</v>
      </c>
      <c r="D1436" s="5" t="s">
        <v>9</v>
      </c>
      <c r="E1436" s="5" t="s">
        <v>24</v>
      </c>
      <c r="F1436" s="5">
        <v>4534.231914</v>
      </c>
    </row>
    <row r="1437" spans="1:6" ht="15.75" thickBot="1" x14ac:dyDescent="0.3">
      <c r="A1437" s="4" t="s">
        <v>173</v>
      </c>
      <c r="B1437" s="5" t="s">
        <v>30</v>
      </c>
      <c r="C1437" s="5" t="s">
        <v>34</v>
      </c>
      <c r="D1437" s="5" t="s">
        <v>14</v>
      </c>
      <c r="E1437" s="5" t="s">
        <v>10</v>
      </c>
      <c r="F1437" s="5">
        <v>3600.52</v>
      </c>
    </row>
    <row r="1438" spans="1:6" ht="15.75" thickBot="1" x14ac:dyDescent="0.3">
      <c r="A1438" s="4" t="s">
        <v>192</v>
      </c>
      <c r="B1438" s="5" t="s">
        <v>19</v>
      </c>
      <c r="C1438" s="5" t="s">
        <v>34</v>
      </c>
      <c r="D1438" s="5" t="s">
        <v>28</v>
      </c>
      <c r="E1438" s="5" t="s">
        <v>24</v>
      </c>
      <c r="F1438" s="5">
        <v>4875.1000000000004</v>
      </c>
    </row>
    <row r="1439" spans="1:6" ht="30.75" thickBot="1" x14ac:dyDescent="0.3">
      <c r="A1439" s="4" t="s">
        <v>104</v>
      </c>
      <c r="B1439" s="5" t="s">
        <v>17</v>
      </c>
      <c r="C1439" s="5" t="s">
        <v>8</v>
      </c>
      <c r="D1439" s="5" t="s">
        <v>9</v>
      </c>
      <c r="E1439" s="5" t="s">
        <v>10</v>
      </c>
      <c r="F1439" s="5">
        <v>1708.84</v>
      </c>
    </row>
    <row r="1440" spans="1:6" ht="15.75" thickBot="1" x14ac:dyDescent="0.3">
      <c r="A1440" s="4" t="s">
        <v>132</v>
      </c>
      <c r="B1440" s="5" t="s">
        <v>19</v>
      </c>
      <c r="C1440" s="5" t="s">
        <v>34</v>
      </c>
      <c r="D1440" s="5" t="s">
        <v>28</v>
      </c>
      <c r="E1440" s="5" t="s">
        <v>10</v>
      </c>
      <c r="F1440" s="5">
        <v>126.6</v>
      </c>
    </row>
    <row r="1441" spans="1:6" ht="15.75" thickBot="1" x14ac:dyDescent="0.3">
      <c r="A1441" s="4" t="s">
        <v>64</v>
      </c>
      <c r="B1441" s="5" t="s">
        <v>30</v>
      </c>
      <c r="C1441" s="5" t="s">
        <v>23</v>
      </c>
      <c r="D1441" s="5" t="s">
        <v>28</v>
      </c>
      <c r="E1441" s="5" t="s">
        <v>24</v>
      </c>
      <c r="F1441" s="5">
        <v>1749.03</v>
      </c>
    </row>
    <row r="1442" spans="1:6" ht="15.75" thickBot="1" x14ac:dyDescent="0.3">
      <c r="A1442" s="4" t="s">
        <v>61</v>
      </c>
      <c r="B1442" s="5" t="s">
        <v>30</v>
      </c>
      <c r="C1442" s="5" t="s">
        <v>8</v>
      </c>
      <c r="D1442" s="5" t="s">
        <v>9</v>
      </c>
      <c r="E1442" s="5" t="s">
        <v>24</v>
      </c>
      <c r="F1442" s="5">
        <v>2617.5188039999998</v>
      </c>
    </row>
    <row r="1443" spans="1:6" ht="15.75" thickBot="1" x14ac:dyDescent="0.3">
      <c r="A1443" s="4" t="s">
        <v>78</v>
      </c>
      <c r="B1443" s="5" t="s">
        <v>7</v>
      </c>
      <c r="C1443" s="5" t="s">
        <v>13</v>
      </c>
      <c r="D1443" s="5" t="s">
        <v>9</v>
      </c>
      <c r="E1443" s="5" t="s">
        <v>10</v>
      </c>
      <c r="F1443" s="5">
        <v>351.56</v>
      </c>
    </row>
    <row r="1444" spans="1:6" ht="15.75" thickBot="1" x14ac:dyDescent="0.3">
      <c r="A1444" s="4" t="s">
        <v>196</v>
      </c>
      <c r="B1444" s="5" t="s">
        <v>30</v>
      </c>
      <c r="C1444" s="5" t="s">
        <v>34</v>
      </c>
      <c r="D1444" s="5" t="s">
        <v>28</v>
      </c>
      <c r="E1444" s="5" t="s">
        <v>10</v>
      </c>
      <c r="F1444" s="5">
        <v>1743.41</v>
      </c>
    </row>
    <row r="1445" spans="1:6" ht="15.75" thickBot="1" x14ac:dyDescent="0.3">
      <c r="A1445" s="4" t="s">
        <v>68</v>
      </c>
      <c r="B1445" s="5" t="s">
        <v>12</v>
      </c>
      <c r="C1445" s="5" t="s">
        <v>34</v>
      </c>
      <c r="D1445" s="5" t="s">
        <v>9</v>
      </c>
      <c r="E1445" s="5" t="s">
        <v>24</v>
      </c>
      <c r="F1445" s="5">
        <v>4857.8723879999998</v>
      </c>
    </row>
    <row r="1446" spans="1:6" ht="15.75" thickBot="1" x14ac:dyDescent="0.3">
      <c r="A1446" s="4" t="s">
        <v>184</v>
      </c>
      <c r="B1446" s="5" t="s">
        <v>30</v>
      </c>
      <c r="C1446" s="5" t="s">
        <v>34</v>
      </c>
      <c r="D1446" s="5" t="s">
        <v>14</v>
      </c>
      <c r="E1446" s="5" t="s">
        <v>24</v>
      </c>
      <c r="F1446" s="5">
        <v>2816.93</v>
      </c>
    </row>
    <row r="1447" spans="1:6" ht="15.75" thickBot="1" x14ac:dyDescent="0.3">
      <c r="A1447" s="4" t="s">
        <v>48</v>
      </c>
      <c r="B1447" s="5" t="s">
        <v>19</v>
      </c>
      <c r="C1447" s="5" t="s">
        <v>13</v>
      </c>
      <c r="D1447" s="5" t="s">
        <v>14</v>
      </c>
      <c r="E1447" s="5" t="s">
        <v>15</v>
      </c>
      <c r="F1447" s="5">
        <v>2641.98</v>
      </c>
    </row>
    <row r="1448" spans="1:6" ht="30.75" thickBot="1" x14ac:dyDescent="0.3">
      <c r="A1448" s="4" t="s">
        <v>127</v>
      </c>
      <c r="B1448" s="5" t="s">
        <v>17</v>
      </c>
      <c r="C1448" s="5" t="s">
        <v>34</v>
      </c>
      <c r="D1448" s="5" t="s">
        <v>14</v>
      </c>
      <c r="E1448" s="5" t="s">
        <v>15</v>
      </c>
      <c r="F1448" s="5">
        <v>2924.31</v>
      </c>
    </row>
    <row r="1449" spans="1:6" ht="15.75" thickBot="1" x14ac:dyDescent="0.3">
      <c r="A1449" s="4" t="s">
        <v>112</v>
      </c>
      <c r="B1449" s="5" t="s">
        <v>30</v>
      </c>
      <c r="C1449" s="5" t="s">
        <v>13</v>
      </c>
      <c r="D1449" s="5" t="s">
        <v>9</v>
      </c>
      <c r="E1449" s="5" t="s">
        <v>15</v>
      </c>
      <c r="F1449" s="5">
        <v>2885.090361</v>
      </c>
    </row>
    <row r="1450" spans="1:6" ht="30.75" thickBot="1" x14ac:dyDescent="0.3">
      <c r="A1450" s="4" t="s">
        <v>215</v>
      </c>
      <c r="B1450" s="5" t="s">
        <v>17</v>
      </c>
      <c r="C1450" s="5" t="s">
        <v>34</v>
      </c>
      <c r="D1450" s="5" t="s">
        <v>28</v>
      </c>
      <c r="E1450" s="5" t="s">
        <v>24</v>
      </c>
      <c r="F1450" s="5">
        <v>4563.34</v>
      </c>
    </row>
    <row r="1451" spans="1:6" ht="15.75" thickBot="1" x14ac:dyDescent="0.3">
      <c r="A1451" s="4" t="s">
        <v>61</v>
      </c>
      <c r="B1451" s="5" t="s">
        <v>30</v>
      </c>
      <c r="C1451" s="5" t="s">
        <v>8</v>
      </c>
      <c r="D1451" s="5" t="s">
        <v>14</v>
      </c>
      <c r="E1451" s="5" t="s">
        <v>15</v>
      </c>
      <c r="F1451" s="5">
        <v>3703.75</v>
      </c>
    </row>
    <row r="1452" spans="1:6" ht="15.75" thickBot="1" x14ac:dyDescent="0.3">
      <c r="A1452" s="4" t="s">
        <v>152</v>
      </c>
      <c r="B1452" s="5" t="s">
        <v>30</v>
      </c>
      <c r="C1452" s="5" t="s">
        <v>13</v>
      </c>
      <c r="D1452" s="5" t="s">
        <v>28</v>
      </c>
      <c r="E1452" s="5" t="s">
        <v>10</v>
      </c>
      <c r="F1452" s="5">
        <v>3328.72</v>
      </c>
    </row>
    <row r="1453" spans="1:6" ht="30.75" thickBot="1" x14ac:dyDescent="0.3">
      <c r="A1453" s="4" t="s">
        <v>156</v>
      </c>
      <c r="B1453" s="5" t="s">
        <v>17</v>
      </c>
      <c r="C1453" s="5" t="s">
        <v>23</v>
      </c>
      <c r="D1453" s="5" t="s">
        <v>28</v>
      </c>
      <c r="E1453" s="5" t="s">
        <v>10</v>
      </c>
      <c r="F1453" s="5">
        <v>4650.1400000000003</v>
      </c>
    </row>
    <row r="1454" spans="1:6" ht="15.75" thickBot="1" x14ac:dyDescent="0.3">
      <c r="A1454" s="4" t="s">
        <v>18</v>
      </c>
      <c r="B1454" s="5" t="s">
        <v>19</v>
      </c>
      <c r="C1454" s="5" t="s">
        <v>8</v>
      </c>
      <c r="D1454" s="5" t="s">
        <v>9</v>
      </c>
      <c r="E1454" s="5" t="s">
        <v>10</v>
      </c>
      <c r="F1454" s="5">
        <v>1410.901711</v>
      </c>
    </row>
    <row r="1455" spans="1:6" ht="30.75" thickBot="1" x14ac:dyDescent="0.3">
      <c r="A1455" s="4" t="s">
        <v>82</v>
      </c>
      <c r="B1455" s="5" t="s">
        <v>17</v>
      </c>
      <c r="C1455" s="5" t="s">
        <v>13</v>
      </c>
      <c r="D1455" s="5" t="s">
        <v>14</v>
      </c>
      <c r="E1455" s="5" t="s">
        <v>10</v>
      </c>
      <c r="F1455" s="5">
        <v>802.15</v>
      </c>
    </row>
    <row r="1456" spans="1:6" ht="15.75" thickBot="1" x14ac:dyDescent="0.3">
      <c r="A1456" s="4" t="s">
        <v>219</v>
      </c>
      <c r="B1456" s="5" t="s">
        <v>12</v>
      </c>
      <c r="C1456" s="5" t="s">
        <v>34</v>
      </c>
      <c r="D1456" s="5" t="s">
        <v>14</v>
      </c>
      <c r="E1456" s="5" t="s">
        <v>15</v>
      </c>
      <c r="F1456" s="5">
        <v>3338.5</v>
      </c>
    </row>
    <row r="1457" spans="1:6" ht="15.75" thickBot="1" x14ac:dyDescent="0.3">
      <c r="A1457" s="4" t="s">
        <v>152</v>
      </c>
      <c r="B1457" s="5" t="s">
        <v>30</v>
      </c>
      <c r="C1457" s="5" t="s">
        <v>23</v>
      </c>
      <c r="D1457" s="5" t="s">
        <v>28</v>
      </c>
      <c r="E1457" s="5" t="s">
        <v>24</v>
      </c>
      <c r="F1457" s="5">
        <v>1108.8800000000001</v>
      </c>
    </row>
    <row r="1458" spans="1:6" ht="15.75" thickBot="1" x14ac:dyDescent="0.3">
      <c r="A1458" s="4" t="s">
        <v>191</v>
      </c>
      <c r="B1458" s="5" t="s">
        <v>12</v>
      </c>
      <c r="C1458" s="5" t="s">
        <v>13</v>
      </c>
      <c r="D1458" s="5" t="s">
        <v>14</v>
      </c>
      <c r="E1458" s="5" t="s">
        <v>24</v>
      </c>
      <c r="F1458" s="5">
        <v>350.22</v>
      </c>
    </row>
    <row r="1459" spans="1:6" ht="15.75" thickBot="1" x14ac:dyDescent="0.3">
      <c r="A1459" s="4" t="s">
        <v>186</v>
      </c>
      <c r="B1459" s="5" t="s">
        <v>30</v>
      </c>
      <c r="C1459" s="5" t="s">
        <v>13</v>
      </c>
      <c r="D1459" s="5" t="s">
        <v>14</v>
      </c>
      <c r="E1459" s="5" t="s">
        <v>15</v>
      </c>
      <c r="F1459" s="5">
        <v>1884.68</v>
      </c>
    </row>
    <row r="1460" spans="1:6" ht="30.75" thickBot="1" x14ac:dyDescent="0.3">
      <c r="A1460" s="4" t="s">
        <v>168</v>
      </c>
      <c r="B1460" s="5" t="s">
        <v>17</v>
      </c>
      <c r="C1460" s="5" t="s">
        <v>13</v>
      </c>
      <c r="D1460" s="5" t="s">
        <v>9</v>
      </c>
      <c r="E1460" s="5" t="s">
        <v>10</v>
      </c>
      <c r="F1460" s="5">
        <v>2634.7603020000001</v>
      </c>
    </row>
    <row r="1461" spans="1:6" ht="15.75" thickBot="1" x14ac:dyDescent="0.3">
      <c r="A1461" s="4" t="s">
        <v>175</v>
      </c>
      <c r="B1461" s="5" t="s">
        <v>7</v>
      </c>
      <c r="C1461" s="5" t="s">
        <v>13</v>
      </c>
      <c r="D1461" s="5" t="s">
        <v>14</v>
      </c>
      <c r="E1461" s="5" t="s">
        <v>10</v>
      </c>
      <c r="F1461" s="5">
        <v>1677.52</v>
      </c>
    </row>
    <row r="1462" spans="1:6" ht="30.75" thickBot="1" x14ac:dyDescent="0.3">
      <c r="A1462" s="4" t="s">
        <v>83</v>
      </c>
      <c r="B1462" s="5" t="s">
        <v>17</v>
      </c>
      <c r="C1462" s="5" t="s">
        <v>8</v>
      </c>
      <c r="D1462" s="5" t="s">
        <v>28</v>
      </c>
      <c r="E1462" s="5" t="s">
        <v>10</v>
      </c>
      <c r="F1462" s="5">
        <v>2395.0100000000002</v>
      </c>
    </row>
    <row r="1463" spans="1:6" ht="15.75" thickBot="1" x14ac:dyDescent="0.3">
      <c r="A1463" s="4" t="s">
        <v>146</v>
      </c>
      <c r="B1463" s="5" t="s">
        <v>7</v>
      </c>
      <c r="C1463" s="5" t="s">
        <v>23</v>
      </c>
      <c r="D1463" s="5" t="s">
        <v>9</v>
      </c>
      <c r="E1463" s="5" t="s">
        <v>15</v>
      </c>
      <c r="F1463" s="5">
        <v>2603.0123579999999</v>
      </c>
    </row>
    <row r="1464" spans="1:6" ht="15.75" thickBot="1" x14ac:dyDescent="0.3">
      <c r="A1464" s="4" t="s">
        <v>95</v>
      </c>
      <c r="B1464" s="5" t="s">
        <v>30</v>
      </c>
      <c r="C1464" s="5" t="s">
        <v>13</v>
      </c>
      <c r="D1464" s="5" t="s">
        <v>9</v>
      </c>
      <c r="E1464" s="5" t="s">
        <v>15</v>
      </c>
      <c r="F1464" s="5">
        <v>1656.443522</v>
      </c>
    </row>
    <row r="1465" spans="1:6" ht="15.75" thickBot="1" x14ac:dyDescent="0.3">
      <c r="A1465" s="4" t="s">
        <v>106</v>
      </c>
      <c r="B1465" s="5" t="s">
        <v>12</v>
      </c>
      <c r="C1465" s="5" t="s">
        <v>23</v>
      </c>
      <c r="D1465" s="5" t="s">
        <v>9</v>
      </c>
      <c r="E1465" s="5" t="s">
        <v>10</v>
      </c>
      <c r="F1465" s="5">
        <v>274.58999999999997</v>
      </c>
    </row>
    <row r="1466" spans="1:6" ht="15.75" thickBot="1" x14ac:dyDescent="0.3">
      <c r="A1466" s="4" t="s">
        <v>155</v>
      </c>
      <c r="B1466" s="5" t="s">
        <v>7</v>
      </c>
      <c r="C1466" s="5" t="s">
        <v>8</v>
      </c>
      <c r="D1466" s="5" t="s">
        <v>9</v>
      </c>
      <c r="E1466" s="5" t="s">
        <v>10</v>
      </c>
      <c r="F1466" s="5">
        <v>1298.2818199999999</v>
      </c>
    </row>
    <row r="1467" spans="1:6" ht="30.75" thickBot="1" x14ac:dyDescent="0.3">
      <c r="A1467" s="4" t="s">
        <v>136</v>
      </c>
      <c r="B1467" s="5" t="s">
        <v>17</v>
      </c>
      <c r="C1467" s="5" t="s">
        <v>34</v>
      </c>
      <c r="D1467" s="5" t="s">
        <v>28</v>
      </c>
      <c r="E1467" s="5" t="s">
        <v>15</v>
      </c>
      <c r="F1467" s="5">
        <v>814.66</v>
      </c>
    </row>
    <row r="1468" spans="1:6" ht="15.75" thickBot="1" x14ac:dyDescent="0.3">
      <c r="A1468" s="4" t="s">
        <v>22</v>
      </c>
      <c r="B1468" s="5" t="s">
        <v>12</v>
      </c>
      <c r="C1468" s="5" t="s">
        <v>23</v>
      </c>
      <c r="D1468" s="5" t="s">
        <v>14</v>
      </c>
      <c r="E1468" s="5" t="s">
        <v>10</v>
      </c>
      <c r="F1468" s="5">
        <v>4037.11</v>
      </c>
    </row>
    <row r="1469" spans="1:6" ht="15.75" thickBot="1" x14ac:dyDescent="0.3">
      <c r="A1469" s="4" t="s">
        <v>130</v>
      </c>
      <c r="B1469" s="5" t="s">
        <v>12</v>
      </c>
      <c r="C1469" s="5" t="s">
        <v>23</v>
      </c>
      <c r="D1469" s="5" t="s">
        <v>9</v>
      </c>
      <c r="E1469" s="5" t="s">
        <v>15</v>
      </c>
      <c r="F1469" s="5">
        <v>1604.8106110000001</v>
      </c>
    </row>
    <row r="1470" spans="1:6" ht="15.75" thickBot="1" x14ac:dyDescent="0.3">
      <c r="A1470" s="4" t="s">
        <v>57</v>
      </c>
      <c r="B1470" s="5" t="s">
        <v>19</v>
      </c>
      <c r="C1470" s="5" t="s">
        <v>23</v>
      </c>
      <c r="D1470" s="5" t="s">
        <v>14</v>
      </c>
      <c r="E1470" s="5" t="s">
        <v>24</v>
      </c>
      <c r="F1470" s="5">
        <v>2667.56</v>
      </c>
    </row>
    <row r="1471" spans="1:6" ht="15.75" thickBot="1" x14ac:dyDescent="0.3">
      <c r="A1471" s="4" t="s">
        <v>55</v>
      </c>
      <c r="B1471" s="5" t="s">
        <v>12</v>
      </c>
      <c r="C1471" s="5" t="s">
        <v>13</v>
      </c>
      <c r="D1471" s="5" t="s">
        <v>14</v>
      </c>
      <c r="E1471" s="5" t="s">
        <v>10</v>
      </c>
      <c r="F1471" s="5">
        <v>1194.52</v>
      </c>
    </row>
    <row r="1472" spans="1:6" ht="15.75" thickBot="1" x14ac:dyDescent="0.3">
      <c r="A1472" s="4" t="s">
        <v>193</v>
      </c>
      <c r="B1472" s="5" t="s">
        <v>12</v>
      </c>
      <c r="C1472" s="5" t="s">
        <v>8</v>
      </c>
      <c r="D1472" s="5" t="s">
        <v>28</v>
      </c>
      <c r="E1472" s="5" t="s">
        <v>10</v>
      </c>
      <c r="F1472" s="5">
        <v>4059.51</v>
      </c>
    </row>
    <row r="1473" spans="1:6" ht="15.75" thickBot="1" x14ac:dyDescent="0.3">
      <c r="A1473" s="4" t="s">
        <v>186</v>
      </c>
      <c r="B1473" s="5" t="s">
        <v>30</v>
      </c>
      <c r="C1473" s="5" t="s">
        <v>23</v>
      </c>
      <c r="D1473" s="5" t="s">
        <v>14</v>
      </c>
      <c r="E1473" s="5" t="s">
        <v>15</v>
      </c>
      <c r="F1473" s="5">
        <v>1051.4000000000001</v>
      </c>
    </row>
    <row r="1474" spans="1:6" ht="15.75" thickBot="1" x14ac:dyDescent="0.3">
      <c r="A1474" s="4" t="s">
        <v>68</v>
      </c>
      <c r="B1474" s="5" t="s">
        <v>12</v>
      </c>
      <c r="C1474" s="5" t="s">
        <v>13</v>
      </c>
      <c r="D1474" s="5" t="s">
        <v>9</v>
      </c>
      <c r="E1474" s="5" t="s">
        <v>24</v>
      </c>
      <c r="F1474" s="5">
        <v>1810.544091</v>
      </c>
    </row>
    <row r="1475" spans="1:6" ht="15.75" thickBot="1" x14ac:dyDescent="0.3">
      <c r="A1475" s="4" t="s">
        <v>18</v>
      </c>
      <c r="B1475" s="5" t="s">
        <v>19</v>
      </c>
      <c r="C1475" s="5" t="s">
        <v>34</v>
      </c>
      <c r="D1475" s="5" t="s">
        <v>14</v>
      </c>
      <c r="E1475" s="5" t="s">
        <v>24</v>
      </c>
      <c r="F1475" s="5">
        <v>2916.42</v>
      </c>
    </row>
    <row r="1476" spans="1:6" ht="15.75" thickBot="1" x14ac:dyDescent="0.3">
      <c r="A1476" s="4" t="s">
        <v>51</v>
      </c>
      <c r="B1476" s="5" t="s">
        <v>30</v>
      </c>
      <c r="C1476" s="5" t="s">
        <v>34</v>
      </c>
      <c r="D1476" s="5" t="s">
        <v>28</v>
      </c>
      <c r="E1476" s="5" t="s">
        <v>15</v>
      </c>
      <c r="F1476" s="5">
        <v>3852.61</v>
      </c>
    </row>
    <row r="1477" spans="1:6" ht="15.75" thickBot="1" x14ac:dyDescent="0.3">
      <c r="A1477" s="4" t="s">
        <v>164</v>
      </c>
      <c r="B1477" s="5" t="s">
        <v>19</v>
      </c>
      <c r="C1477" s="5" t="s">
        <v>34</v>
      </c>
      <c r="D1477" s="5" t="s">
        <v>28</v>
      </c>
      <c r="E1477" s="5" t="s">
        <v>10</v>
      </c>
      <c r="F1477" s="5">
        <v>4795.1400000000003</v>
      </c>
    </row>
    <row r="1478" spans="1:6" ht="15.75" thickBot="1" x14ac:dyDescent="0.3">
      <c r="A1478" s="4" t="s">
        <v>193</v>
      </c>
      <c r="B1478" s="5" t="s">
        <v>12</v>
      </c>
      <c r="C1478" s="5" t="s">
        <v>23</v>
      </c>
      <c r="D1478" s="5" t="s">
        <v>28</v>
      </c>
      <c r="E1478" s="5" t="s">
        <v>15</v>
      </c>
      <c r="F1478" s="5">
        <v>1445.25</v>
      </c>
    </row>
    <row r="1479" spans="1:6" ht="15.75" thickBot="1" x14ac:dyDescent="0.3">
      <c r="A1479" s="4" t="s">
        <v>93</v>
      </c>
      <c r="B1479" s="5" t="s">
        <v>30</v>
      </c>
      <c r="C1479" s="5" t="s">
        <v>13</v>
      </c>
      <c r="D1479" s="5" t="s">
        <v>28</v>
      </c>
      <c r="E1479" s="5" t="s">
        <v>15</v>
      </c>
      <c r="F1479" s="5">
        <v>869.01</v>
      </c>
    </row>
    <row r="1480" spans="1:6" ht="15.75" thickBot="1" x14ac:dyDescent="0.3">
      <c r="A1480" s="4" t="s">
        <v>203</v>
      </c>
      <c r="B1480" s="5" t="s">
        <v>12</v>
      </c>
      <c r="C1480" s="5" t="s">
        <v>23</v>
      </c>
      <c r="D1480" s="5" t="s">
        <v>28</v>
      </c>
      <c r="E1480" s="5" t="s">
        <v>15</v>
      </c>
      <c r="F1480" s="5">
        <v>4077.29</v>
      </c>
    </row>
    <row r="1481" spans="1:6" ht="15.75" thickBot="1" x14ac:dyDescent="0.3">
      <c r="A1481" s="4" t="s">
        <v>120</v>
      </c>
      <c r="B1481" s="5" t="s">
        <v>30</v>
      </c>
      <c r="C1481" s="5" t="s">
        <v>8</v>
      </c>
      <c r="D1481" s="5" t="s">
        <v>14</v>
      </c>
      <c r="E1481" s="5" t="s">
        <v>10</v>
      </c>
      <c r="F1481" s="5">
        <v>2770.18</v>
      </c>
    </row>
    <row r="1482" spans="1:6" ht="15.75" thickBot="1" x14ac:dyDescent="0.3">
      <c r="A1482" s="4" t="s">
        <v>141</v>
      </c>
      <c r="B1482" s="5" t="s">
        <v>7</v>
      </c>
      <c r="C1482" s="5" t="s">
        <v>34</v>
      </c>
      <c r="D1482" s="5" t="s">
        <v>9</v>
      </c>
      <c r="E1482" s="5" t="s">
        <v>10</v>
      </c>
      <c r="F1482" s="5">
        <v>2004.6969160000001</v>
      </c>
    </row>
    <row r="1483" spans="1:6" ht="15.75" thickBot="1" x14ac:dyDescent="0.3">
      <c r="A1483" s="4" t="s">
        <v>193</v>
      </c>
      <c r="B1483" s="5" t="s">
        <v>12</v>
      </c>
      <c r="C1483" s="5" t="s">
        <v>34</v>
      </c>
      <c r="D1483" s="5" t="s">
        <v>28</v>
      </c>
      <c r="E1483" s="5" t="s">
        <v>15</v>
      </c>
      <c r="F1483" s="5">
        <v>4717.47</v>
      </c>
    </row>
    <row r="1484" spans="1:6" ht="15.75" thickBot="1" x14ac:dyDescent="0.3">
      <c r="A1484" s="4" t="s">
        <v>115</v>
      </c>
      <c r="B1484" s="5" t="s">
        <v>19</v>
      </c>
      <c r="C1484" s="5" t="s">
        <v>13</v>
      </c>
      <c r="D1484" s="5" t="s">
        <v>9</v>
      </c>
      <c r="E1484" s="5" t="s">
        <v>10</v>
      </c>
      <c r="F1484" s="5">
        <v>1392.4758690000001</v>
      </c>
    </row>
    <row r="1485" spans="1:6" ht="30.75" thickBot="1" x14ac:dyDescent="0.3">
      <c r="A1485" s="4" t="s">
        <v>148</v>
      </c>
      <c r="B1485" s="5" t="s">
        <v>17</v>
      </c>
      <c r="C1485" s="5" t="s">
        <v>23</v>
      </c>
      <c r="D1485" s="5" t="s">
        <v>9</v>
      </c>
      <c r="E1485" s="5" t="s">
        <v>15</v>
      </c>
      <c r="F1485" s="5">
        <v>2563.3257619999999</v>
      </c>
    </row>
    <row r="1486" spans="1:6" ht="15.75" thickBot="1" x14ac:dyDescent="0.3">
      <c r="A1486" s="4" t="s">
        <v>130</v>
      </c>
      <c r="B1486" s="5" t="s">
        <v>12</v>
      </c>
      <c r="C1486" s="5" t="s">
        <v>34</v>
      </c>
      <c r="D1486" s="5" t="s">
        <v>9</v>
      </c>
      <c r="E1486" s="5" t="s">
        <v>15</v>
      </c>
      <c r="F1486" s="5">
        <v>503.85614070000003</v>
      </c>
    </row>
    <row r="1487" spans="1:6" ht="15.75" thickBot="1" x14ac:dyDescent="0.3">
      <c r="A1487" s="4" t="s">
        <v>164</v>
      </c>
      <c r="B1487" s="5" t="s">
        <v>19</v>
      </c>
      <c r="C1487" s="5" t="s">
        <v>8</v>
      </c>
      <c r="D1487" s="5" t="s">
        <v>28</v>
      </c>
      <c r="E1487" s="5" t="s">
        <v>24</v>
      </c>
      <c r="F1487" s="5">
        <v>897.2</v>
      </c>
    </row>
    <row r="1488" spans="1:6" ht="15.75" thickBot="1" x14ac:dyDescent="0.3">
      <c r="A1488" s="4" t="s">
        <v>152</v>
      </c>
      <c r="B1488" s="5" t="s">
        <v>30</v>
      </c>
      <c r="C1488" s="5" t="s">
        <v>23</v>
      </c>
      <c r="D1488" s="5" t="s">
        <v>14</v>
      </c>
      <c r="E1488" s="5" t="s">
        <v>15</v>
      </c>
      <c r="F1488" s="5">
        <v>2988.56</v>
      </c>
    </row>
    <row r="1489" spans="1:6" ht="15.75" thickBot="1" x14ac:dyDescent="0.3">
      <c r="A1489" s="4" t="s">
        <v>86</v>
      </c>
      <c r="B1489" s="5" t="s">
        <v>19</v>
      </c>
      <c r="C1489" s="5" t="s">
        <v>34</v>
      </c>
      <c r="D1489" s="5" t="s">
        <v>9</v>
      </c>
      <c r="E1489" s="5" t="s">
        <v>15</v>
      </c>
      <c r="F1489" s="5">
        <v>1067.2256460000001</v>
      </c>
    </row>
    <row r="1490" spans="1:6" ht="30.75" thickBot="1" x14ac:dyDescent="0.3">
      <c r="A1490" s="4" t="s">
        <v>127</v>
      </c>
      <c r="B1490" s="5" t="s">
        <v>17</v>
      </c>
      <c r="C1490" s="5" t="s">
        <v>34</v>
      </c>
      <c r="D1490" s="5" t="s">
        <v>9</v>
      </c>
      <c r="E1490" s="5" t="s">
        <v>10</v>
      </c>
      <c r="F1490" s="5">
        <v>2128.8839579999999</v>
      </c>
    </row>
    <row r="1491" spans="1:6" ht="30.75" thickBot="1" x14ac:dyDescent="0.3">
      <c r="A1491" s="4" t="s">
        <v>143</v>
      </c>
      <c r="B1491" s="5" t="s">
        <v>17</v>
      </c>
      <c r="C1491" s="5" t="s">
        <v>13</v>
      </c>
      <c r="D1491" s="5" t="s">
        <v>28</v>
      </c>
      <c r="E1491" s="5" t="s">
        <v>15</v>
      </c>
      <c r="F1491" s="5">
        <v>569.36</v>
      </c>
    </row>
    <row r="1492" spans="1:6" ht="15.75" thickBot="1" x14ac:dyDescent="0.3">
      <c r="A1492" s="4" t="s">
        <v>165</v>
      </c>
      <c r="B1492" s="5" t="s">
        <v>7</v>
      </c>
      <c r="C1492" s="5" t="s">
        <v>8</v>
      </c>
      <c r="D1492" s="5" t="s">
        <v>14</v>
      </c>
      <c r="E1492" s="5" t="s">
        <v>15</v>
      </c>
      <c r="F1492" s="5">
        <v>2763.46</v>
      </c>
    </row>
    <row r="1493" spans="1:6" ht="30.75" thickBot="1" x14ac:dyDescent="0.3">
      <c r="A1493" s="4" t="s">
        <v>58</v>
      </c>
      <c r="B1493" s="5" t="s">
        <v>17</v>
      </c>
      <c r="C1493" s="5" t="s">
        <v>13</v>
      </c>
      <c r="D1493" s="5" t="s">
        <v>9</v>
      </c>
      <c r="E1493" s="5" t="s">
        <v>10</v>
      </c>
      <c r="F1493" s="5">
        <v>889.01334210000005</v>
      </c>
    </row>
    <row r="1494" spans="1:6" ht="15.75" thickBot="1" x14ac:dyDescent="0.3">
      <c r="A1494" s="4" t="s">
        <v>138</v>
      </c>
      <c r="B1494" s="5" t="s">
        <v>12</v>
      </c>
      <c r="C1494" s="5" t="s">
        <v>34</v>
      </c>
      <c r="D1494" s="5" t="s">
        <v>9</v>
      </c>
      <c r="E1494" s="5" t="s">
        <v>24</v>
      </c>
      <c r="F1494" s="5">
        <v>565.20370019999996</v>
      </c>
    </row>
    <row r="1495" spans="1:6" ht="15.75" thickBot="1" x14ac:dyDescent="0.3">
      <c r="A1495" s="4" t="s">
        <v>155</v>
      </c>
      <c r="B1495" s="5" t="s">
        <v>7</v>
      </c>
      <c r="C1495" s="5" t="s">
        <v>34</v>
      </c>
      <c r="D1495" s="5" t="s">
        <v>28</v>
      </c>
      <c r="E1495" s="5" t="s">
        <v>15</v>
      </c>
      <c r="F1495" s="5">
        <v>4475.2700000000004</v>
      </c>
    </row>
    <row r="1496" spans="1:6" ht="15.75" thickBot="1" x14ac:dyDescent="0.3">
      <c r="A1496" s="4" t="s">
        <v>193</v>
      </c>
      <c r="B1496" s="5" t="s">
        <v>12</v>
      </c>
      <c r="C1496" s="5" t="s">
        <v>13</v>
      </c>
      <c r="D1496" s="5" t="s">
        <v>14</v>
      </c>
      <c r="E1496" s="5" t="s">
        <v>10</v>
      </c>
      <c r="F1496" s="5">
        <v>3884.64</v>
      </c>
    </row>
    <row r="1497" spans="1:6" ht="15.75" thickBot="1" x14ac:dyDescent="0.3">
      <c r="A1497" s="4" t="s">
        <v>155</v>
      </c>
      <c r="B1497" s="5" t="s">
        <v>7</v>
      </c>
      <c r="C1497" s="5" t="s">
        <v>34</v>
      </c>
      <c r="D1497" s="5" t="s">
        <v>9</v>
      </c>
      <c r="E1497" s="5" t="s">
        <v>15</v>
      </c>
      <c r="F1497" s="5">
        <v>1548.146784</v>
      </c>
    </row>
    <row r="1498" spans="1:6" ht="30.75" thickBot="1" x14ac:dyDescent="0.3">
      <c r="A1498" s="4" t="s">
        <v>218</v>
      </c>
      <c r="B1498" s="5" t="s">
        <v>17</v>
      </c>
      <c r="C1498" s="5" t="s">
        <v>23</v>
      </c>
      <c r="D1498" s="5" t="s">
        <v>14</v>
      </c>
      <c r="E1498" s="5" t="s">
        <v>10</v>
      </c>
      <c r="F1498" s="5">
        <v>1310.02</v>
      </c>
    </row>
    <row r="1499" spans="1:6" ht="15.75" thickBot="1" x14ac:dyDescent="0.3">
      <c r="A1499" s="4" t="s">
        <v>206</v>
      </c>
      <c r="B1499" s="5" t="s">
        <v>19</v>
      </c>
      <c r="C1499" s="5" t="s">
        <v>13</v>
      </c>
      <c r="D1499" s="5" t="s">
        <v>14</v>
      </c>
      <c r="E1499" s="5" t="s">
        <v>24</v>
      </c>
      <c r="F1499" s="5">
        <v>1833.43</v>
      </c>
    </row>
    <row r="1500" spans="1:6" ht="15.75" thickBot="1" x14ac:dyDescent="0.3">
      <c r="A1500" s="4" t="s">
        <v>188</v>
      </c>
      <c r="B1500" s="5" t="s">
        <v>19</v>
      </c>
      <c r="C1500" s="5" t="s">
        <v>13</v>
      </c>
      <c r="D1500" s="5" t="s">
        <v>14</v>
      </c>
      <c r="E1500" s="5" t="s">
        <v>15</v>
      </c>
      <c r="F1500" s="5">
        <v>1039.8399999999999</v>
      </c>
    </row>
    <row r="1501" spans="1:6" ht="15.75" thickBot="1" x14ac:dyDescent="0.3">
      <c r="A1501" s="4" t="s">
        <v>110</v>
      </c>
      <c r="B1501" s="5" t="s">
        <v>12</v>
      </c>
      <c r="C1501" s="5" t="s">
        <v>13</v>
      </c>
      <c r="D1501" s="5" t="s">
        <v>28</v>
      </c>
      <c r="E1501" s="5" t="s">
        <v>15</v>
      </c>
      <c r="F1501" s="5">
        <v>3297.47</v>
      </c>
    </row>
    <row r="1502" spans="1:6" ht="15.75" thickBot="1" x14ac:dyDescent="0.3">
      <c r="A1502" s="4" t="s">
        <v>56</v>
      </c>
      <c r="B1502" s="5" t="s">
        <v>19</v>
      </c>
      <c r="C1502" s="5" t="s">
        <v>13</v>
      </c>
      <c r="D1502" s="5" t="s">
        <v>14</v>
      </c>
      <c r="E1502" s="5" t="s">
        <v>10</v>
      </c>
      <c r="F1502" s="5">
        <v>3091.2</v>
      </c>
    </row>
    <row r="1503" spans="1:6" ht="15.75" thickBot="1" x14ac:dyDescent="0.3">
      <c r="A1503" s="4" t="s">
        <v>185</v>
      </c>
      <c r="B1503" s="5" t="s">
        <v>30</v>
      </c>
      <c r="C1503" s="5" t="s">
        <v>34</v>
      </c>
      <c r="D1503" s="5" t="s">
        <v>28</v>
      </c>
      <c r="E1503" s="5" t="s">
        <v>15</v>
      </c>
      <c r="F1503" s="5">
        <v>301.86</v>
      </c>
    </row>
    <row r="1504" spans="1:6" ht="15.75" thickBot="1" x14ac:dyDescent="0.3">
      <c r="A1504" s="4" t="s">
        <v>178</v>
      </c>
      <c r="B1504" s="5" t="s">
        <v>30</v>
      </c>
      <c r="C1504" s="5" t="s">
        <v>23</v>
      </c>
      <c r="D1504" s="5" t="s">
        <v>14</v>
      </c>
      <c r="E1504" s="5" t="s">
        <v>24</v>
      </c>
      <c r="F1504" s="5">
        <v>4171.41</v>
      </c>
    </row>
    <row r="1505" spans="1:6" ht="15.75" thickBot="1" x14ac:dyDescent="0.3">
      <c r="A1505" s="4" t="s">
        <v>219</v>
      </c>
      <c r="B1505" s="5" t="s">
        <v>12</v>
      </c>
      <c r="C1505" s="5" t="s">
        <v>34</v>
      </c>
      <c r="D1505" s="5" t="s">
        <v>14</v>
      </c>
      <c r="E1505" s="5" t="s">
        <v>10</v>
      </c>
      <c r="F1505" s="5">
        <v>4337.95</v>
      </c>
    </row>
    <row r="1506" spans="1:6" ht="15.75" thickBot="1" x14ac:dyDescent="0.3">
      <c r="A1506" s="4" t="s">
        <v>150</v>
      </c>
      <c r="B1506" s="5" t="s">
        <v>30</v>
      </c>
      <c r="C1506" s="5" t="s">
        <v>34</v>
      </c>
      <c r="D1506" s="5" t="s">
        <v>9</v>
      </c>
      <c r="E1506" s="5" t="s">
        <v>24</v>
      </c>
      <c r="F1506" s="5">
        <v>3830.1000909999998</v>
      </c>
    </row>
    <row r="1507" spans="1:6" ht="15.75" thickBot="1" x14ac:dyDescent="0.3">
      <c r="A1507" s="4" t="s">
        <v>91</v>
      </c>
      <c r="B1507" s="5" t="s">
        <v>30</v>
      </c>
      <c r="C1507" s="5" t="s">
        <v>8</v>
      </c>
      <c r="D1507" s="5" t="s">
        <v>28</v>
      </c>
      <c r="E1507" s="5" t="s">
        <v>24</v>
      </c>
      <c r="F1507" s="5">
        <v>3808.17</v>
      </c>
    </row>
    <row r="1508" spans="1:6" ht="30.75" thickBot="1" x14ac:dyDescent="0.3">
      <c r="A1508" s="4" t="s">
        <v>20</v>
      </c>
      <c r="B1508" s="5" t="s">
        <v>17</v>
      </c>
      <c r="C1508" s="5" t="s">
        <v>8</v>
      </c>
      <c r="D1508" s="5" t="s">
        <v>14</v>
      </c>
      <c r="E1508" s="5" t="s">
        <v>10</v>
      </c>
      <c r="F1508" s="5">
        <v>3167.4</v>
      </c>
    </row>
    <row r="1509" spans="1:6" ht="15.75" thickBot="1" x14ac:dyDescent="0.3">
      <c r="A1509" s="4" t="s">
        <v>39</v>
      </c>
      <c r="B1509" s="5" t="s">
        <v>7</v>
      </c>
      <c r="C1509" s="5" t="s">
        <v>13</v>
      </c>
      <c r="D1509" s="5" t="s">
        <v>9</v>
      </c>
      <c r="E1509" s="5" t="s">
        <v>15</v>
      </c>
      <c r="F1509" s="5">
        <v>742.10983380000005</v>
      </c>
    </row>
    <row r="1510" spans="1:6" ht="15.75" thickBot="1" x14ac:dyDescent="0.3">
      <c r="A1510" s="4" t="s">
        <v>183</v>
      </c>
      <c r="B1510" s="5" t="s">
        <v>7</v>
      </c>
      <c r="C1510" s="5" t="s">
        <v>34</v>
      </c>
      <c r="D1510" s="5" t="s">
        <v>14</v>
      </c>
      <c r="E1510" s="5" t="s">
        <v>15</v>
      </c>
      <c r="F1510" s="5">
        <v>4632.6400000000003</v>
      </c>
    </row>
    <row r="1511" spans="1:6" ht="15.75" thickBot="1" x14ac:dyDescent="0.3">
      <c r="A1511" s="4" t="s">
        <v>21</v>
      </c>
      <c r="B1511" s="5" t="s">
        <v>19</v>
      </c>
      <c r="C1511" s="5" t="s">
        <v>13</v>
      </c>
      <c r="D1511" s="5" t="s">
        <v>14</v>
      </c>
      <c r="E1511" s="5" t="s">
        <v>10</v>
      </c>
      <c r="F1511" s="5">
        <v>1268.8</v>
      </c>
    </row>
    <row r="1512" spans="1:6" ht="15.75" thickBot="1" x14ac:dyDescent="0.3">
      <c r="A1512" s="4" t="s">
        <v>150</v>
      </c>
      <c r="B1512" s="5" t="s">
        <v>30</v>
      </c>
      <c r="C1512" s="5" t="s">
        <v>8</v>
      </c>
      <c r="D1512" s="5" t="s">
        <v>28</v>
      </c>
      <c r="E1512" s="5" t="s">
        <v>15</v>
      </c>
      <c r="F1512" s="5">
        <v>3546.58</v>
      </c>
    </row>
    <row r="1513" spans="1:6" ht="15.75" thickBot="1" x14ac:dyDescent="0.3">
      <c r="A1513" s="4" t="s">
        <v>25</v>
      </c>
      <c r="B1513" s="5" t="s">
        <v>19</v>
      </c>
      <c r="C1513" s="5" t="s">
        <v>23</v>
      </c>
      <c r="D1513" s="5" t="s">
        <v>28</v>
      </c>
      <c r="E1513" s="5" t="s">
        <v>10</v>
      </c>
      <c r="F1513" s="5">
        <v>1609.6</v>
      </c>
    </row>
    <row r="1514" spans="1:6" ht="15.75" thickBot="1" x14ac:dyDescent="0.3">
      <c r="A1514" s="4" t="s">
        <v>209</v>
      </c>
      <c r="B1514" s="5" t="s">
        <v>7</v>
      </c>
      <c r="C1514" s="5" t="s">
        <v>34</v>
      </c>
      <c r="D1514" s="5" t="s">
        <v>9</v>
      </c>
      <c r="E1514" s="5" t="s">
        <v>15</v>
      </c>
      <c r="F1514" s="5">
        <v>3630.7097180000001</v>
      </c>
    </row>
    <row r="1515" spans="1:6" ht="15.75" thickBot="1" x14ac:dyDescent="0.3">
      <c r="A1515" s="4" t="s">
        <v>181</v>
      </c>
      <c r="B1515" s="5" t="s">
        <v>30</v>
      </c>
      <c r="C1515" s="5" t="s">
        <v>34</v>
      </c>
      <c r="D1515" s="5" t="s">
        <v>14</v>
      </c>
      <c r="E1515" s="5" t="s">
        <v>10</v>
      </c>
      <c r="F1515" s="5">
        <v>999.48</v>
      </c>
    </row>
    <row r="1516" spans="1:6" ht="30.75" thickBot="1" x14ac:dyDescent="0.3">
      <c r="A1516" s="4" t="s">
        <v>127</v>
      </c>
      <c r="B1516" s="5" t="s">
        <v>17</v>
      </c>
      <c r="C1516" s="5" t="s">
        <v>13</v>
      </c>
      <c r="D1516" s="5" t="s">
        <v>14</v>
      </c>
      <c r="E1516" s="5" t="s">
        <v>15</v>
      </c>
      <c r="F1516" s="5">
        <v>4553.04</v>
      </c>
    </row>
    <row r="1517" spans="1:6" ht="15.75" thickBot="1" x14ac:dyDescent="0.3">
      <c r="A1517" s="4" t="s">
        <v>123</v>
      </c>
      <c r="B1517" s="5" t="s">
        <v>30</v>
      </c>
      <c r="C1517" s="5" t="s">
        <v>8</v>
      </c>
      <c r="D1517" s="5" t="s">
        <v>9</v>
      </c>
      <c r="E1517" s="5" t="s">
        <v>24</v>
      </c>
      <c r="F1517" s="5">
        <v>1345.95</v>
      </c>
    </row>
    <row r="1518" spans="1:6" ht="30.75" thickBot="1" x14ac:dyDescent="0.3">
      <c r="A1518" s="4" t="s">
        <v>89</v>
      </c>
      <c r="B1518" s="5" t="s">
        <v>17</v>
      </c>
      <c r="C1518" s="5" t="s">
        <v>34</v>
      </c>
      <c r="D1518" s="5" t="s">
        <v>28</v>
      </c>
      <c r="E1518" s="5" t="s">
        <v>10</v>
      </c>
      <c r="F1518" s="5">
        <v>1432.5</v>
      </c>
    </row>
    <row r="1519" spans="1:6" ht="15.75" thickBot="1" x14ac:dyDescent="0.3">
      <c r="A1519" s="4" t="s">
        <v>67</v>
      </c>
      <c r="B1519" s="5" t="s">
        <v>7</v>
      </c>
      <c r="C1519" s="5" t="s">
        <v>34</v>
      </c>
      <c r="D1519" s="5" t="s">
        <v>28</v>
      </c>
      <c r="E1519" s="5" t="s">
        <v>10</v>
      </c>
      <c r="F1519" s="5">
        <v>2537.5</v>
      </c>
    </row>
    <row r="1520" spans="1:6" ht="30.75" thickBot="1" x14ac:dyDescent="0.3">
      <c r="A1520" s="4" t="s">
        <v>194</v>
      </c>
      <c r="B1520" s="5" t="s">
        <v>17</v>
      </c>
      <c r="C1520" s="5" t="s">
        <v>13</v>
      </c>
      <c r="D1520" s="5" t="s">
        <v>14</v>
      </c>
      <c r="E1520" s="5" t="s">
        <v>10</v>
      </c>
      <c r="F1520" s="5">
        <v>4832.05</v>
      </c>
    </row>
    <row r="1521" spans="1:6" ht="15.75" thickBot="1" x14ac:dyDescent="0.3">
      <c r="A1521" s="4" t="s">
        <v>180</v>
      </c>
      <c r="B1521" s="5" t="s">
        <v>30</v>
      </c>
      <c r="C1521" s="5" t="s">
        <v>13</v>
      </c>
      <c r="D1521" s="5" t="s">
        <v>14</v>
      </c>
      <c r="E1521" s="5" t="s">
        <v>10</v>
      </c>
      <c r="F1521" s="5">
        <v>3935.58</v>
      </c>
    </row>
    <row r="1522" spans="1:6" ht="15.75" thickBot="1" x14ac:dyDescent="0.3">
      <c r="A1522" s="4" t="s">
        <v>209</v>
      </c>
      <c r="B1522" s="5" t="s">
        <v>7</v>
      </c>
      <c r="C1522" s="5" t="s">
        <v>13</v>
      </c>
      <c r="D1522" s="5" t="s">
        <v>9</v>
      </c>
      <c r="E1522" s="5" t="s">
        <v>24</v>
      </c>
      <c r="F1522" s="5">
        <v>3258.2856310000002</v>
      </c>
    </row>
    <row r="1523" spans="1:6" ht="15.75" thickBot="1" x14ac:dyDescent="0.3">
      <c r="A1523" s="4" t="s">
        <v>174</v>
      </c>
      <c r="B1523" s="5" t="s">
        <v>19</v>
      </c>
      <c r="C1523" s="5" t="s">
        <v>34</v>
      </c>
      <c r="D1523" s="5" t="s">
        <v>14</v>
      </c>
      <c r="E1523" s="5" t="s">
        <v>15</v>
      </c>
      <c r="F1523" s="5">
        <v>1512.13</v>
      </c>
    </row>
    <row r="1524" spans="1:6" ht="15.75" thickBot="1" x14ac:dyDescent="0.3">
      <c r="A1524" s="4" t="s">
        <v>42</v>
      </c>
      <c r="B1524" s="5" t="s">
        <v>30</v>
      </c>
      <c r="C1524" s="5" t="s">
        <v>13</v>
      </c>
      <c r="D1524" s="5" t="s">
        <v>14</v>
      </c>
      <c r="E1524" s="5" t="s">
        <v>10</v>
      </c>
      <c r="F1524" s="5">
        <v>245.71</v>
      </c>
    </row>
    <row r="1525" spans="1:6" ht="15.75" thickBot="1" x14ac:dyDescent="0.3">
      <c r="A1525" s="4" t="s">
        <v>31</v>
      </c>
      <c r="B1525" s="5" t="s">
        <v>30</v>
      </c>
      <c r="C1525" s="5" t="s">
        <v>8</v>
      </c>
      <c r="D1525" s="5" t="s">
        <v>14</v>
      </c>
      <c r="E1525" s="5" t="s">
        <v>24</v>
      </c>
      <c r="F1525" s="5">
        <v>3387.13</v>
      </c>
    </row>
    <row r="1526" spans="1:6" ht="15.75" thickBot="1" x14ac:dyDescent="0.3">
      <c r="A1526" s="4" t="s">
        <v>77</v>
      </c>
      <c r="B1526" s="5" t="s">
        <v>30</v>
      </c>
      <c r="C1526" s="5" t="s">
        <v>8</v>
      </c>
      <c r="D1526" s="5" t="s">
        <v>28</v>
      </c>
      <c r="E1526" s="5" t="s">
        <v>15</v>
      </c>
      <c r="F1526" s="5">
        <v>1014.2</v>
      </c>
    </row>
    <row r="1527" spans="1:6" ht="30.75" thickBot="1" x14ac:dyDescent="0.3">
      <c r="A1527" s="4" t="s">
        <v>89</v>
      </c>
      <c r="B1527" s="5" t="s">
        <v>17</v>
      </c>
      <c r="C1527" s="5" t="s">
        <v>13</v>
      </c>
      <c r="D1527" s="5" t="s">
        <v>28</v>
      </c>
      <c r="E1527" s="5" t="s">
        <v>10</v>
      </c>
      <c r="F1527" s="5">
        <v>269.87</v>
      </c>
    </row>
    <row r="1528" spans="1:6" ht="15.75" thickBot="1" x14ac:dyDescent="0.3">
      <c r="A1528" s="4" t="s">
        <v>161</v>
      </c>
      <c r="B1528" s="5" t="s">
        <v>7</v>
      </c>
      <c r="C1528" s="5" t="s">
        <v>13</v>
      </c>
      <c r="D1528" s="5" t="s">
        <v>14</v>
      </c>
      <c r="E1528" s="5" t="s">
        <v>10</v>
      </c>
      <c r="F1528" s="5">
        <v>2444.67</v>
      </c>
    </row>
    <row r="1529" spans="1:6" ht="15.75" thickBot="1" x14ac:dyDescent="0.3">
      <c r="A1529" s="4" t="s">
        <v>51</v>
      </c>
      <c r="B1529" s="5" t="s">
        <v>30</v>
      </c>
      <c r="C1529" s="5" t="s">
        <v>23</v>
      </c>
      <c r="D1529" s="5" t="s">
        <v>14</v>
      </c>
      <c r="E1529" s="5" t="s">
        <v>10</v>
      </c>
      <c r="F1529" s="5">
        <v>1734.64</v>
      </c>
    </row>
    <row r="1530" spans="1:6" ht="15.75" thickBot="1" x14ac:dyDescent="0.3">
      <c r="A1530" s="4" t="s">
        <v>73</v>
      </c>
      <c r="B1530" s="5" t="s">
        <v>30</v>
      </c>
      <c r="C1530" s="5" t="s">
        <v>34</v>
      </c>
      <c r="D1530" s="5" t="s">
        <v>14</v>
      </c>
      <c r="E1530" s="5" t="s">
        <v>10</v>
      </c>
      <c r="F1530" s="5">
        <v>4948.8500000000004</v>
      </c>
    </row>
    <row r="1531" spans="1:6" ht="30.75" thickBot="1" x14ac:dyDescent="0.3">
      <c r="A1531" s="4" t="s">
        <v>207</v>
      </c>
      <c r="B1531" s="5" t="s">
        <v>17</v>
      </c>
      <c r="C1531" s="5" t="s">
        <v>8</v>
      </c>
      <c r="D1531" s="5" t="s">
        <v>9</v>
      </c>
      <c r="E1531" s="5" t="s">
        <v>15</v>
      </c>
      <c r="F1531" s="5">
        <v>2924.7805619999999</v>
      </c>
    </row>
    <row r="1532" spans="1:6" ht="30.75" thickBot="1" x14ac:dyDescent="0.3">
      <c r="A1532" s="4" t="s">
        <v>147</v>
      </c>
      <c r="B1532" s="5" t="s">
        <v>17</v>
      </c>
      <c r="C1532" s="5" t="s">
        <v>8</v>
      </c>
      <c r="D1532" s="5" t="s">
        <v>14</v>
      </c>
      <c r="E1532" s="5" t="s">
        <v>10</v>
      </c>
      <c r="F1532" s="5">
        <v>1898.32</v>
      </c>
    </row>
    <row r="1533" spans="1:6" ht="15.75" thickBot="1" x14ac:dyDescent="0.3">
      <c r="A1533" s="4" t="s">
        <v>32</v>
      </c>
      <c r="B1533" s="5" t="s">
        <v>7</v>
      </c>
      <c r="C1533" s="5" t="s">
        <v>13</v>
      </c>
      <c r="D1533" s="5" t="s">
        <v>28</v>
      </c>
      <c r="E1533" s="5" t="s">
        <v>15</v>
      </c>
      <c r="F1533" s="5">
        <v>1296.76</v>
      </c>
    </row>
    <row r="1534" spans="1:6" ht="15.75" thickBot="1" x14ac:dyDescent="0.3">
      <c r="A1534" s="4" t="s">
        <v>75</v>
      </c>
      <c r="B1534" s="5" t="s">
        <v>19</v>
      </c>
      <c r="C1534" s="5" t="s">
        <v>23</v>
      </c>
      <c r="D1534" s="5" t="s">
        <v>14</v>
      </c>
      <c r="E1534" s="5" t="s">
        <v>24</v>
      </c>
      <c r="F1534" s="5">
        <v>1414.37</v>
      </c>
    </row>
    <row r="1535" spans="1:6" ht="15.75" thickBot="1" x14ac:dyDescent="0.3">
      <c r="A1535" s="4" t="s">
        <v>117</v>
      </c>
      <c r="B1535" s="5" t="s">
        <v>7</v>
      </c>
      <c r="C1535" s="5" t="s">
        <v>34</v>
      </c>
      <c r="D1535" s="5" t="s">
        <v>9</v>
      </c>
      <c r="E1535" s="5" t="s">
        <v>15</v>
      </c>
      <c r="F1535" s="5">
        <v>4136.0716000000002</v>
      </c>
    </row>
    <row r="1536" spans="1:6" ht="15.75" thickBot="1" x14ac:dyDescent="0.3">
      <c r="A1536" s="4" t="s">
        <v>88</v>
      </c>
      <c r="B1536" s="5" t="s">
        <v>7</v>
      </c>
      <c r="C1536" s="5" t="s">
        <v>23</v>
      </c>
      <c r="D1536" s="5" t="s">
        <v>28</v>
      </c>
      <c r="E1536" s="5" t="s">
        <v>24</v>
      </c>
      <c r="F1536" s="5">
        <v>3952.36</v>
      </c>
    </row>
    <row r="1537" spans="1:6" ht="15.75" thickBot="1" x14ac:dyDescent="0.3">
      <c r="A1537" s="4" t="s">
        <v>193</v>
      </c>
      <c r="B1537" s="5" t="s">
        <v>12</v>
      </c>
      <c r="C1537" s="5" t="s">
        <v>34</v>
      </c>
      <c r="D1537" s="5" t="s">
        <v>14</v>
      </c>
      <c r="E1537" s="5" t="s">
        <v>10</v>
      </c>
      <c r="F1537" s="5">
        <v>4563.3599999999997</v>
      </c>
    </row>
    <row r="1538" spans="1:6" ht="30.75" thickBot="1" x14ac:dyDescent="0.3">
      <c r="A1538" s="4" t="s">
        <v>37</v>
      </c>
      <c r="B1538" s="5" t="s">
        <v>17</v>
      </c>
      <c r="C1538" s="5" t="s">
        <v>23</v>
      </c>
      <c r="D1538" s="5" t="s">
        <v>9</v>
      </c>
      <c r="E1538" s="5" t="s">
        <v>15</v>
      </c>
      <c r="F1538" s="5">
        <v>2084.5673750000001</v>
      </c>
    </row>
    <row r="1539" spans="1:6" ht="15.75" thickBot="1" x14ac:dyDescent="0.3">
      <c r="A1539" s="4" t="s">
        <v>214</v>
      </c>
      <c r="B1539" s="5" t="s">
        <v>30</v>
      </c>
      <c r="C1539" s="5" t="s">
        <v>34</v>
      </c>
      <c r="D1539" s="5" t="s">
        <v>14</v>
      </c>
      <c r="E1539" s="5" t="s">
        <v>10</v>
      </c>
      <c r="F1539" s="5">
        <v>4081.51</v>
      </c>
    </row>
    <row r="1540" spans="1:6" ht="15.75" thickBot="1" x14ac:dyDescent="0.3">
      <c r="A1540" s="4" t="s">
        <v>196</v>
      </c>
      <c r="B1540" s="5" t="s">
        <v>30</v>
      </c>
      <c r="C1540" s="5" t="s">
        <v>13</v>
      </c>
      <c r="D1540" s="5" t="s">
        <v>28</v>
      </c>
      <c r="E1540" s="5" t="s">
        <v>15</v>
      </c>
      <c r="F1540" s="5">
        <v>4483.63</v>
      </c>
    </row>
    <row r="1541" spans="1:6" ht="15.75" thickBot="1" x14ac:dyDescent="0.3">
      <c r="A1541" s="4" t="s">
        <v>86</v>
      </c>
      <c r="B1541" s="5" t="s">
        <v>19</v>
      </c>
      <c r="C1541" s="5" t="s">
        <v>34</v>
      </c>
      <c r="D1541" s="5" t="s">
        <v>14</v>
      </c>
      <c r="E1541" s="5" t="s">
        <v>24</v>
      </c>
      <c r="F1541" s="5">
        <v>3368.54</v>
      </c>
    </row>
    <row r="1542" spans="1:6" ht="15.75" thickBot="1" x14ac:dyDescent="0.3">
      <c r="A1542" s="4" t="s">
        <v>202</v>
      </c>
      <c r="B1542" s="5" t="s">
        <v>12</v>
      </c>
      <c r="C1542" s="5" t="s">
        <v>13</v>
      </c>
      <c r="D1542" s="5" t="s">
        <v>14</v>
      </c>
      <c r="E1542" s="5" t="s">
        <v>24</v>
      </c>
      <c r="F1542" s="5">
        <v>82.35</v>
      </c>
    </row>
    <row r="1543" spans="1:6" ht="30.75" thickBot="1" x14ac:dyDescent="0.3">
      <c r="A1543" s="4" t="s">
        <v>171</v>
      </c>
      <c r="B1543" s="5" t="s">
        <v>17</v>
      </c>
      <c r="C1543" s="5" t="s">
        <v>34</v>
      </c>
      <c r="D1543" s="5" t="s">
        <v>28</v>
      </c>
      <c r="E1543" s="5" t="s">
        <v>15</v>
      </c>
      <c r="F1543" s="5">
        <v>4175.62</v>
      </c>
    </row>
    <row r="1544" spans="1:6" ht="15.75" thickBot="1" x14ac:dyDescent="0.3">
      <c r="A1544" s="4" t="s">
        <v>122</v>
      </c>
      <c r="B1544" s="5" t="s">
        <v>19</v>
      </c>
      <c r="C1544" s="5" t="s">
        <v>34</v>
      </c>
      <c r="D1544" s="5" t="s">
        <v>14</v>
      </c>
      <c r="E1544" s="5" t="s">
        <v>10</v>
      </c>
      <c r="F1544" s="5">
        <v>1796.14</v>
      </c>
    </row>
    <row r="1545" spans="1:6" ht="30.75" thickBot="1" x14ac:dyDescent="0.3">
      <c r="A1545" s="4" t="s">
        <v>80</v>
      </c>
      <c r="B1545" s="5" t="s">
        <v>17</v>
      </c>
      <c r="C1545" s="5" t="s">
        <v>34</v>
      </c>
      <c r="D1545" s="5" t="s">
        <v>28</v>
      </c>
      <c r="E1545" s="5" t="s">
        <v>15</v>
      </c>
      <c r="F1545" s="5">
        <v>3373.26</v>
      </c>
    </row>
    <row r="1546" spans="1:6" ht="15.75" thickBot="1" x14ac:dyDescent="0.3">
      <c r="A1546" s="4" t="s">
        <v>88</v>
      </c>
      <c r="B1546" s="5" t="s">
        <v>7</v>
      </c>
      <c r="C1546" s="5" t="s">
        <v>13</v>
      </c>
      <c r="D1546" s="5" t="s">
        <v>14</v>
      </c>
      <c r="E1546" s="5" t="s">
        <v>24</v>
      </c>
      <c r="F1546" s="5">
        <v>3051.55</v>
      </c>
    </row>
    <row r="1547" spans="1:6" ht="15.75" thickBot="1" x14ac:dyDescent="0.3">
      <c r="A1547" s="4" t="s">
        <v>115</v>
      </c>
      <c r="B1547" s="5" t="s">
        <v>19</v>
      </c>
      <c r="C1547" s="5" t="s">
        <v>8</v>
      </c>
      <c r="D1547" s="5" t="s">
        <v>28</v>
      </c>
      <c r="E1547" s="5" t="s">
        <v>15</v>
      </c>
      <c r="F1547" s="5">
        <v>3770.37</v>
      </c>
    </row>
    <row r="1548" spans="1:6" ht="15.75" thickBot="1" x14ac:dyDescent="0.3">
      <c r="A1548" s="4" t="s">
        <v>150</v>
      </c>
      <c r="B1548" s="5" t="s">
        <v>30</v>
      </c>
      <c r="C1548" s="5" t="s">
        <v>34</v>
      </c>
      <c r="D1548" s="5" t="s">
        <v>28</v>
      </c>
      <c r="E1548" s="5" t="s">
        <v>15</v>
      </c>
      <c r="F1548" s="5">
        <v>3887.64</v>
      </c>
    </row>
    <row r="1549" spans="1:6" ht="15.75" thickBot="1" x14ac:dyDescent="0.3">
      <c r="A1549" s="4" t="s">
        <v>182</v>
      </c>
      <c r="B1549" s="5" t="s">
        <v>12</v>
      </c>
      <c r="C1549" s="5" t="s">
        <v>8</v>
      </c>
      <c r="D1549" s="5" t="s">
        <v>14</v>
      </c>
      <c r="E1549" s="5" t="s">
        <v>10</v>
      </c>
      <c r="F1549" s="5">
        <v>4523.25</v>
      </c>
    </row>
    <row r="1550" spans="1:6" ht="15.75" thickBot="1" x14ac:dyDescent="0.3">
      <c r="A1550" s="4" t="s">
        <v>61</v>
      </c>
      <c r="B1550" s="5" t="s">
        <v>30</v>
      </c>
      <c r="C1550" s="5" t="s">
        <v>23</v>
      </c>
      <c r="D1550" s="5" t="s">
        <v>28</v>
      </c>
      <c r="E1550" s="5" t="s">
        <v>15</v>
      </c>
      <c r="F1550" s="5">
        <v>4229.33</v>
      </c>
    </row>
    <row r="1551" spans="1:6" ht="15.75" thickBot="1" x14ac:dyDescent="0.3">
      <c r="A1551" s="4" t="s">
        <v>211</v>
      </c>
      <c r="B1551" s="5" t="s">
        <v>7</v>
      </c>
      <c r="C1551" s="5" t="s">
        <v>23</v>
      </c>
      <c r="D1551" s="5" t="s">
        <v>14</v>
      </c>
      <c r="E1551" s="5" t="s">
        <v>24</v>
      </c>
      <c r="F1551" s="5">
        <v>1909.18</v>
      </c>
    </row>
    <row r="1552" spans="1:6" ht="15.75" thickBot="1" x14ac:dyDescent="0.3">
      <c r="A1552" s="4" t="s">
        <v>195</v>
      </c>
      <c r="B1552" s="5" t="s">
        <v>7</v>
      </c>
      <c r="C1552" s="5" t="s">
        <v>13</v>
      </c>
      <c r="D1552" s="5" t="s">
        <v>14</v>
      </c>
      <c r="E1552" s="5" t="s">
        <v>24</v>
      </c>
      <c r="F1552" s="5">
        <v>1689.24</v>
      </c>
    </row>
    <row r="1553" spans="1:6" ht="15.75" thickBot="1" x14ac:dyDescent="0.3">
      <c r="A1553" s="4" t="s">
        <v>90</v>
      </c>
      <c r="B1553" s="5" t="s">
        <v>19</v>
      </c>
      <c r="C1553" s="5" t="s">
        <v>13</v>
      </c>
      <c r="D1553" s="5" t="s">
        <v>14</v>
      </c>
      <c r="E1553" s="5" t="s">
        <v>24</v>
      </c>
      <c r="F1553" s="5">
        <v>1270.1199999999999</v>
      </c>
    </row>
    <row r="1554" spans="1:6" ht="15.75" thickBot="1" x14ac:dyDescent="0.3">
      <c r="A1554" s="4" t="s">
        <v>64</v>
      </c>
      <c r="B1554" s="5" t="s">
        <v>30</v>
      </c>
      <c r="C1554" s="5" t="s">
        <v>8</v>
      </c>
      <c r="D1554" s="5" t="s">
        <v>9</v>
      </c>
      <c r="E1554" s="5" t="s">
        <v>15</v>
      </c>
      <c r="F1554" s="5">
        <v>1816.03</v>
      </c>
    </row>
    <row r="1555" spans="1:6" ht="30.75" thickBot="1" x14ac:dyDescent="0.3">
      <c r="A1555" s="4" t="s">
        <v>148</v>
      </c>
      <c r="B1555" s="5" t="s">
        <v>17</v>
      </c>
      <c r="C1555" s="5" t="s">
        <v>34</v>
      </c>
      <c r="D1555" s="5" t="s">
        <v>14</v>
      </c>
      <c r="E1555" s="5" t="s">
        <v>15</v>
      </c>
      <c r="F1555" s="5">
        <v>1943.87</v>
      </c>
    </row>
    <row r="1556" spans="1:6" ht="15.75" thickBot="1" x14ac:dyDescent="0.3">
      <c r="A1556" s="4" t="s">
        <v>154</v>
      </c>
      <c r="B1556" s="5" t="s">
        <v>12</v>
      </c>
      <c r="C1556" s="5" t="s">
        <v>8</v>
      </c>
      <c r="D1556" s="5" t="s">
        <v>28</v>
      </c>
      <c r="E1556" s="5" t="s">
        <v>15</v>
      </c>
      <c r="F1556" s="5">
        <v>2832.16</v>
      </c>
    </row>
    <row r="1557" spans="1:6" ht="15.75" thickBot="1" x14ac:dyDescent="0.3">
      <c r="A1557" s="4" t="s">
        <v>219</v>
      </c>
      <c r="B1557" s="5" t="s">
        <v>12</v>
      </c>
      <c r="C1557" s="5" t="s">
        <v>13</v>
      </c>
      <c r="D1557" s="5" t="s">
        <v>28</v>
      </c>
      <c r="E1557" s="5" t="s">
        <v>10</v>
      </c>
      <c r="F1557" s="5">
        <v>4684.57</v>
      </c>
    </row>
    <row r="1558" spans="1:6" ht="15.75" thickBot="1" x14ac:dyDescent="0.3">
      <c r="A1558" s="4" t="s">
        <v>25</v>
      </c>
      <c r="B1558" s="5" t="s">
        <v>19</v>
      </c>
      <c r="C1558" s="5" t="s">
        <v>8</v>
      </c>
      <c r="D1558" s="5" t="s">
        <v>9</v>
      </c>
      <c r="E1558" s="5" t="s">
        <v>10</v>
      </c>
      <c r="F1558" s="5">
        <v>785.4165941</v>
      </c>
    </row>
    <row r="1559" spans="1:6" ht="15.75" thickBot="1" x14ac:dyDescent="0.3">
      <c r="A1559" s="4" t="s">
        <v>139</v>
      </c>
      <c r="B1559" s="5" t="s">
        <v>7</v>
      </c>
      <c r="C1559" s="5" t="s">
        <v>8</v>
      </c>
      <c r="D1559" s="5" t="s">
        <v>9</v>
      </c>
      <c r="E1559" s="5" t="s">
        <v>24</v>
      </c>
      <c r="F1559" s="5">
        <v>828.30804790000002</v>
      </c>
    </row>
    <row r="1560" spans="1:6" ht="15.75" thickBot="1" x14ac:dyDescent="0.3">
      <c r="A1560" s="4" t="s">
        <v>219</v>
      </c>
      <c r="B1560" s="5" t="s">
        <v>12</v>
      </c>
      <c r="C1560" s="5" t="s">
        <v>8</v>
      </c>
      <c r="D1560" s="5" t="s">
        <v>14</v>
      </c>
      <c r="E1560" s="5" t="s">
        <v>10</v>
      </c>
      <c r="F1560" s="5">
        <v>4960.6099999999997</v>
      </c>
    </row>
    <row r="1561" spans="1:6" ht="30.75" thickBot="1" x14ac:dyDescent="0.3">
      <c r="A1561" s="4" t="s">
        <v>190</v>
      </c>
      <c r="B1561" s="5" t="s">
        <v>17</v>
      </c>
      <c r="C1561" s="5" t="s">
        <v>13</v>
      </c>
      <c r="D1561" s="5" t="s">
        <v>28</v>
      </c>
      <c r="E1561" s="5" t="s">
        <v>10</v>
      </c>
      <c r="F1561" s="5">
        <v>4377.79</v>
      </c>
    </row>
    <row r="1562" spans="1:6" ht="15.75" thickBot="1" x14ac:dyDescent="0.3">
      <c r="A1562" s="4" t="s">
        <v>91</v>
      </c>
      <c r="B1562" s="5" t="s">
        <v>30</v>
      </c>
      <c r="C1562" s="5" t="s">
        <v>13</v>
      </c>
      <c r="D1562" s="5" t="s">
        <v>9</v>
      </c>
      <c r="E1562" s="5" t="s">
        <v>15</v>
      </c>
      <c r="F1562" s="5">
        <v>2535.300616</v>
      </c>
    </row>
    <row r="1563" spans="1:6" ht="15.75" thickBot="1" x14ac:dyDescent="0.3">
      <c r="A1563" s="4" t="s">
        <v>85</v>
      </c>
      <c r="B1563" s="5" t="s">
        <v>30</v>
      </c>
      <c r="C1563" s="5" t="s">
        <v>23</v>
      </c>
      <c r="D1563" s="5" t="s">
        <v>14</v>
      </c>
      <c r="E1563" s="5" t="s">
        <v>10</v>
      </c>
      <c r="F1563" s="5">
        <v>2251.6</v>
      </c>
    </row>
    <row r="1564" spans="1:6" ht="15.75" thickBot="1" x14ac:dyDescent="0.3">
      <c r="A1564" s="4" t="s">
        <v>175</v>
      </c>
      <c r="B1564" s="5" t="s">
        <v>7</v>
      </c>
      <c r="C1564" s="5" t="s">
        <v>8</v>
      </c>
      <c r="D1564" s="5" t="s">
        <v>9</v>
      </c>
      <c r="E1564" s="5" t="s">
        <v>24</v>
      </c>
      <c r="F1564" s="5">
        <v>733.12507359999995</v>
      </c>
    </row>
    <row r="1565" spans="1:6" ht="15.75" thickBot="1" x14ac:dyDescent="0.3">
      <c r="A1565" s="4" t="s">
        <v>212</v>
      </c>
      <c r="B1565" s="5" t="s">
        <v>7</v>
      </c>
      <c r="C1565" s="5" t="s">
        <v>8</v>
      </c>
      <c r="D1565" s="5" t="s">
        <v>28</v>
      </c>
      <c r="E1565" s="5" t="s">
        <v>15</v>
      </c>
      <c r="F1565" s="5">
        <v>1054.48</v>
      </c>
    </row>
    <row r="1566" spans="1:6" ht="15.75" thickBot="1" x14ac:dyDescent="0.3">
      <c r="A1566" s="4" t="s">
        <v>52</v>
      </c>
      <c r="B1566" s="5" t="s">
        <v>19</v>
      </c>
      <c r="C1566" s="5" t="s">
        <v>13</v>
      </c>
      <c r="D1566" s="5" t="s">
        <v>14</v>
      </c>
      <c r="E1566" s="5" t="s">
        <v>15</v>
      </c>
      <c r="F1566" s="5">
        <v>4429.91</v>
      </c>
    </row>
    <row r="1567" spans="1:6" ht="15.75" thickBot="1" x14ac:dyDescent="0.3">
      <c r="A1567" s="4" t="s">
        <v>31</v>
      </c>
      <c r="B1567" s="5" t="s">
        <v>30</v>
      </c>
      <c r="C1567" s="5" t="s">
        <v>23</v>
      </c>
      <c r="D1567" s="5" t="s">
        <v>9</v>
      </c>
      <c r="E1567" s="5" t="s">
        <v>24</v>
      </c>
      <c r="F1567" s="5">
        <v>3923.1479300000001</v>
      </c>
    </row>
    <row r="1568" spans="1:6" ht="30.75" thickBot="1" x14ac:dyDescent="0.3">
      <c r="A1568" s="4" t="s">
        <v>137</v>
      </c>
      <c r="B1568" s="5" t="s">
        <v>17</v>
      </c>
      <c r="C1568" s="5" t="s">
        <v>13</v>
      </c>
      <c r="D1568" s="5" t="s">
        <v>9</v>
      </c>
      <c r="E1568" s="5" t="s">
        <v>10</v>
      </c>
      <c r="F1568" s="5">
        <v>767.46223359999999</v>
      </c>
    </row>
    <row r="1569" spans="1:6" ht="15.75" thickBot="1" x14ac:dyDescent="0.3">
      <c r="A1569" s="4" t="s">
        <v>55</v>
      </c>
      <c r="B1569" s="5" t="s">
        <v>12</v>
      </c>
      <c r="C1569" s="5" t="s">
        <v>34</v>
      </c>
      <c r="D1569" s="5" t="s">
        <v>9</v>
      </c>
      <c r="E1569" s="5" t="s">
        <v>24</v>
      </c>
      <c r="F1569" s="5">
        <v>592.72258729999999</v>
      </c>
    </row>
    <row r="1570" spans="1:6" ht="30.75" thickBot="1" x14ac:dyDescent="0.3">
      <c r="A1570" s="4" t="s">
        <v>37</v>
      </c>
      <c r="B1570" s="5" t="s">
        <v>17</v>
      </c>
      <c r="C1570" s="5" t="s">
        <v>8</v>
      </c>
      <c r="D1570" s="5" t="s">
        <v>14</v>
      </c>
      <c r="E1570" s="5" t="s">
        <v>10</v>
      </c>
      <c r="F1570" s="5">
        <v>3539.99</v>
      </c>
    </row>
    <row r="1571" spans="1:6" ht="15.75" thickBot="1" x14ac:dyDescent="0.3">
      <c r="A1571" s="4" t="s">
        <v>61</v>
      </c>
      <c r="B1571" s="5" t="s">
        <v>30</v>
      </c>
      <c r="C1571" s="5" t="s">
        <v>8</v>
      </c>
      <c r="D1571" s="5" t="s">
        <v>9</v>
      </c>
      <c r="E1571" s="5" t="s">
        <v>24</v>
      </c>
      <c r="F1571" s="5">
        <v>2579.1888560000002</v>
      </c>
    </row>
    <row r="1572" spans="1:6" ht="15.75" thickBot="1" x14ac:dyDescent="0.3">
      <c r="A1572" s="4" t="s">
        <v>204</v>
      </c>
      <c r="B1572" s="5" t="s">
        <v>30</v>
      </c>
      <c r="C1572" s="5" t="s">
        <v>34</v>
      </c>
      <c r="D1572" s="5" t="s">
        <v>28</v>
      </c>
      <c r="E1572" s="5" t="s">
        <v>24</v>
      </c>
      <c r="F1572" s="5">
        <v>4158.7700000000004</v>
      </c>
    </row>
    <row r="1573" spans="1:6" ht="15.75" thickBot="1" x14ac:dyDescent="0.3">
      <c r="A1573" s="4" t="s">
        <v>214</v>
      </c>
      <c r="B1573" s="5" t="s">
        <v>30</v>
      </c>
      <c r="C1573" s="5" t="s">
        <v>13</v>
      </c>
      <c r="D1573" s="5" t="s">
        <v>9</v>
      </c>
      <c r="E1573" s="5" t="s">
        <v>15</v>
      </c>
      <c r="F1573" s="5">
        <v>687.46053629999994</v>
      </c>
    </row>
    <row r="1574" spans="1:6" ht="15.75" thickBot="1" x14ac:dyDescent="0.3">
      <c r="A1574" s="4" t="s">
        <v>86</v>
      </c>
      <c r="B1574" s="5" t="s">
        <v>19</v>
      </c>
      <c r="C1574" s="5" t="s">
        <v>23</v>
      </c>
      <c r="D1574" s="5" t="s">
        <v>14</v>
      </c>
      <c r="E1574" s="5" t="s">
        <v>24</v>
      </c>
      <c r="F1574" s="5">
        <v>2922.31</v>
      </c>
    </row>
    <row r="1575" spans="1:6" ht="15.75" thickBot="1" x14ac:dyDescent="0.3">
      <c r="A1575" s="4" t="s">
        <v>32</v>
      </c>
      <c r="B1575" s="5" t="s">
        <v>7</v>
      </c>
      <c r="C1575" s="5" t="s">
        <v>34</v>
      </c>
      <c r="D1575" s="5" t="s">
        <v>14</v>
      </c>
      <c r="E1575" s="5" t="s">
        <v>15</v>
      </c>
      <c r="F1575" s="5">
        <v>584.58000000000004</v>
      </c>
    </row>
    <row r="1576" spans="1:6" ht="15.75" thickBot="1" x14ac:dyDescent="0.3">
      <c r="A1576" s="4" t="s">
        <v>170</v>
      </c>
      <c r="B1576" s="5" t="s">
        <v>12</v>
      </c>
      <c r="C1576" s="5" t="s">
        <v>13</v>
      </c>
      <c r="D1576" s="5" t="s">
        <v>14</v>
      </c>
      <c r="E1576" s="5" t="s">
        <v>15</v>
      </c>
      <c r="F1576" s="5">
        <v>87.51</v>
      </c>
    </row>
    <row r="1577" spans="1:6" ht="15.75" thickBot="1" x14ac:dyDescent="0.3">
      <c r="A1577" s="4" t="s">
        <v>132</v>
      </c>
      <c r="B1577" s="5" t="s">
        <v>19</v>
      </c>
      <c r="C1577" s="5" t="s">
        <v>23</v>
      </c>
      <c r="D1577" s="5" t="s">
        <v>14</v>
      </c>
      <c r="E1577" s="5" t="s">
        <v>24</v>
      </c>
      <c r="F1577" s="5">
        <v>3948.45</v>
      </c>
    </row>
    <row r="1578" spans="1:6" ht="15.75" thickBot="1" x14ac:dyDescent="0.3">
      <c r="A1578" s="4" t="s">
        <v>66</v>
      </c>
      <c r="B1578" s="5" t="s">
        <v>30</v>
      </c>
      <c r="C1578" s="5" t="s">
        <v>34</v>
      </c>
      <c r="D1578" s="5" t="s">
        <v>9</v>
      </c>
      <c r="E1578" s="5" t="s">
        <v>15</v>
      </c>
      <c r="F1578" s="5">
        <v>3846.6288559999998</v>
      </c>
    </row>
    <row r="1579" spans="1:6" ht="15.75" thickBot="1" x14ac:dyDescent="0.3">
      <c r="A1579" s="4" t="s">
        <v>213</v>
      </c>
      <c r="B1579" s="5" t="s">
        <v>12</v>
      </c>
      <c r="C1579" s="5" t="s">
        <v>8</v>
      </c>
      <c r="D1579" s="5" t="s">
        <v>9</v>
      </c>
      <c r="E1579" s="5" t="s">
        <v>24</v>
      </c>
      <c r="F1579" s="5">
        <v>4673.8026419999997</v>
      </c>
    </row>
    <row r="1580" spans="1:6" ht="30.75" thickBot="1" x14ac:dyDescent="0.3">
      <c r="A1580" s="4" t="s">
        <v>171</v>
      </c>
      <c r="B1580" s="5" t="s">
        <v>17</v>
      </c>
      <c r="C1580" s="5" t="s">
        <v>34</v>
      </c>
      <c r="D1580" s="5" t="s">
        <v>28</v>
      </c>
      <c r="E1580" s="5" t="s">
        <v>24</v>
      </c>
      <c r="F1580" s="5">
        <v>4711.6899999999996</v>
      </c>
    </row>
    <row r="1581" spans="1:6" ht="30.75" thickBot="1" x14ac:dyDescent="0.3">
      <c r="A1581" s="4" t="s">
        <v>37</v>
      </c>
      <c r="B1581" s="5" t="s">
        <v>17</v>
      </c>
      <c r="C1581" s="5" t="s">
        <v>13</v>
      </c>
      <c r="D1581" s="5" t="s">
        <v>9</v>
      </c>
      <c r="E1581" s="5" t="s">
        <v>15</v>
      </c>
      <c r="F1581" s="5">
        <v>2670.5212799999999</v>
      </c>
    </row>
    <row r="1582" spans="1:6" ht="15.75" thickBot="1" x14ac:dyDescent="0.3">
      <c r="A1582" s="4" t="s">
        <v>40</v>
      </c>
      <c r="B1582" s="5" t="s">
        <v>19</v>
      </c>
      <c r="C1582" s="5" t="s">
        <v>34</v>
      </c>
      <c r="D1582" s="5" t="s">
        <v>9</v>
      </c>
      <c r="E1582" s="5" t="s">
        <v>15</v>
      </c>
      <c r="F1582" s="5">
        <v>919.40386920000003</v>
      </c>
    </row>
    <row r="1583" spans="1:6" ht="15.75" thickBot="1" x14ac:dyDescent="0.3">
      <c r="A1583" s="4" t="s">
        <v>25</v>
      </c>
      <c r="B1583" s="5" t="s">
        <v>19</v>
      </c>
      <c r="C1583" s="5" t="s">
        <v>23</v>
      </c>
      <c r="D1583" s="5" t="s">
        <v>14</v>
      </c>
      <c r="E1583" s="5" t="s">
        <v>24</v>
      </c>
      <c r="F1583" s="5">
        <v>4514.75</v>
      </c>
    </row>
    <row r="1584" spans="1:6" ht="30.75" thickBot="1" x14ac:dyDescent="0.3">
      <c r="A1584" s="4" t="s">
        <v>89</v>
      </c>
      <c r="B1584" s="5" t="s">
        <v>17</v>
      </c>
      <c r="C1584" s="5" t="s">
        <v>34</v>
      </c>
      <c r="D1584" s="5" t="s">
        <v>9</v>
      </c>
      <c r="E1584" s="5" t="s">
        <v>15</v>
      </c>
      <c r="F1584" s="5">
        <v>3766.601905</v>
      </c>
    </row>
    <row r="1585" spans="1:6" ht="15.75" thickBot="1" x14ac:dyDescent="0.3">
      <c r="A1585" s="4" t="s">
        <v>192</v>
      </c>
      <c r="B1585" s="5" t="s">
        <v>19</v>
      </c>
      <c r="C1585" s="5" t="s">
        <v>23</v>
      </c>
      <c r="D1585" s="5" t="s">
        <v>28</v>
      </c>
      <c r="E1585" s="5" t="s">
        <v>10</v>
      </c>
      <c r="F1585" s="5">
        <v>730.13</v>
      </c>
    </row>
    <row r="1586" spans="1:6" ht="15.75" thickBot="1" x14ac:dyDescent="0.3">
      <c r="A1586" s="4" t="s">
        <v>213</v>
      </c>
      <c r="B1586" s="5" t="s">
        <v>12</v>
      </c>
      <c r="C1586" s="5" t="s">
        <v>13</v>
      </c>
      <c r="D1586" s="5" t="s">
        <v>14</v>
      </c>
      <c r="E1586" s="5" t="s">
        <v>24</v>
      </c>
      <c r="F1586" s="5">
        <v>2811.95</v>
      </c>
    </row>
    <row r="1587" spans="1:6" ht="30.75" thickBot="1" x14ac:dyDescent="0.3">
      <c r="A1587" s="4" t="s">
        <v>37</v>
      </c>
      <c r="B1587" s="5" t="s">
        <v>17</v>
      </c>
      <c r="C1587" s="5" t="s">
        <v>13</v>
      </c>
      <c r="D1587" s="5" t="s">
        <v>9</v>
      </c>
      <c r="E1587" s="5" t="s">
        <v>15</v>
      </c>
      <c r="F1587" s="5">
        <v>5044.2036189999999</v>
      </c>
    </row>
    <row r="1588" spans="1:6" ht="15.75" thickBot="1" x14ac:dyDescent="0.3">
      <c r="A1588" s="4" t="s">
        <v>67</v>
      </c>
      <c r="B1588" s="5" t="s">
        <v>7</v>
      </c>
      <c r="C1588" s="5" t="s">
        <v>8</v>
      </c>
      <c r="D1588" s="5" t="s">
        <v>28</v>
      </c>
      <c r="E1588" s="5" t="s">
        <v>15</v>
      </c>
      <c r="F1588" s="5">
        <v>4074.33</v>
      </c>
    </row>
    <row r="1589" spans="1:6" ht="30.75" thickBot="1" x14ac:dyDescent="0.3">
      <c r="A1589" s="4" t="s">
        <v>205</v>
      </c>
      <c r="B1589" s="5" t="s">
        <v>17</v>
      </c>
      <c r="C1589" s="5" t="s">
        <v>8</v>
      </c>
      <c r="D1589" s="5" t="s">
        <v>28</v>
      </c>
      <c r="E1589" s="5" t="s">
        <v>15</v>
      </c>
      <c r="F1589" s="5">
        <v>1048.08</v>
      </c>
    </row>
    <row r="1590" spans="1:6" ht="15.75" thickBot="1" x14ac:dyDescent="0.3">
      <c r="A1590" s="4" t="s">
        <v>160</v>
      </c>
      <c r="B1590" s="5" t="s">
        <v>30</v>
      </c>
      <c r="C1590" s="5" t="s">
        <v>34</v>
      </c>
      <c r="D1590" s="5" t="s">
        <v>9</v>
      </c>
      <c r="E1590" s="5" t="s">
        <v>15</v>
      </c>
      <c r="F1590" s="5">
        <v>3290.44</v>
      </c>
    </row>
    <row r="1591" spans="1:6" ht="15.75" thickBot="1" x14ac:dyDescent="0.3">
      <c r="A1591" s="4" t="s">
        <v>144</v>
      </c>
      <c r="B1591" s="5" t="s">
        <v>30</v>
      </c>
      <c r="C1591" s="5" t="s">
        <v>13</v>
      </c>
      <c r="D1591" s="5" t="s">
        <v>9</v>
      </c>
      <c r="E1591" s="5" t="s">
        <v>10</v>
      </c>
      <c r="F1591" s="5">
        <v>1966.43</v>
      </c>
    </row>
    <row r="1592" spans="1:6" ht="15.75" thickBot="1" x14ac:dyDescent="0.3">
      <c r="A1592" s="4" t="s">
        <v>97</v>
      </c>
      <c r="B1592" s="5" t="s">
        <v>7</v>
      </c>
      <c r="C1592" s="5" t="s">
        <v>8</v>
      </c>
      <c r="D1592" s="5" t="s">
        <v>28</v>
      </c>
      <c r="E1592" s="5" t="s">
        <v>15</v>
      </c>
      <c r="F1592" s="5">
        <v>2842.86</v>
      </c>
    </row>
    <row r="1593" spans="1:6" ht="15.75" thickBot="1" x14ac:dyDescent="0.3">
      <c r="A1593" s="4" t="s">
        <v>189</v>
      </c>
      <c r="B1593" s="5" t="s">
        <v>19</v>
      </c>
      <c r="C1593" s="5" t="s">
        <v>13</v>
      </c>
      <c r="D1593" s="5" t="s">
        <v>14</v>
      </c>
      <c r="E1593" s="5" t="s">
        <v>15</v>
      </c>
      <c r="F1593" s="5">
        <v>2556.0500000000002</v>
      </c>
    </row>
    <row r="1594" spans="1:6" ht="15.75" thickBot="1" x14ac:dyDescent="0.3">
      <c r="A1594" s="4" t="s">
        <v>146</v>
      </c>
      <c r="B1594" s="5" t="s">
        <v>7</v>
      </c>
      <c r="C1594" s="5" t="s">
        <v>23</v>
      </c>
      <c r="D1594" s="5" t="s">
        <v>28</v>
      </c>
      <c r="E1594" s="5" t="s">
        <v>15</v>
      </c>
      <c r="F1594" s="5">
        <v>3688.09</v>
      </c>
    </row>
    <row r="1595" spans="1:6" ht="15.75" thickBot="1" x14ac:dyDescent="0.3">
      <c r="A1595" s="4" t="s">
        <v>56</v>
      </c>
      <c r="B1595" s="5" t="s">
        <v>19</v>
      </c>
      <c r="C1595" s="5" t="s">
        <v>8</v>
      </c>
      <c r="D1595" s="5" t="s">
        <v>9</v>
      </c>
      <c r="E1595" s="5" t="s">
        <v>10</v>
      </c>
      <c r="F1595" s="5">
        <v>3222.3519350000001</v>
      </c>
    </row>
    <row r="1596" spans="1:6" ht="15.75" thickBot="1" x14ac:dyDescent="0.3">
      <c r="A1596" s="4" t="s">
        <v>85</v>
      </c>
      <c r="B1596" s="5" t="s">
        <v>30</v>
      </c>
      <c r="C1596" s="5" t="s">
        <v>23</v>
      </c>
      <c r="D1596" s="5" t="s">
        <v>14</v>
      </c>
      <c r="E1596" s="5" t="s">
        <v>24</v>
      </c>
      <c r="F1596" s="5">
        <v>475.84</v>
      </c>
    </row>
    <row r="1597" spans="1:6" ht="15.75" thickBot="1" x14ac:dyDescent="0.3">
      <c r="A1597" s="4" t="s">
        <v>200</v>
      </c>
      <c r="B1597" s="5" t="s">
        <v>30</v>
      </c>
      <c r="C1597" s="5" t="s">
        <v>8</v>
      </c>
      <c r="D1597" s="5" t="s">
        <v>14</v>
      </c>
      <c r="E1597" s="5" t="s">
        <v>15</v>
      </c>
      <c r="F1597" s="5">
        <v>258.93</v>
      </c>
    </row>
    <row r="1598" spans="1:6" ht="15.75" thickBot="1" x14ac:dyDescent="0.3">
      <c r="A1598" s="4" t="s">
        <v>123</v>
      </c>
      <c r="B1598" s="5" t="s">
        <v>30</v>
      </c>
      <c r="C1598" s="5" t="s">
        <v>8</v>
      </c>
      <c r="D1598" s="5" t="s">
        <v>9</v>
      </c>
      <c r="E1598" s="5" t="s">
        <v>24</v>
      </c>
      <c r="F1598" s="5">
        <v>850.45</v>
      </c>
    </row>
    <row r="1599" spans="1:6" ht="15.75" thickBot="1" x14ac:dyDescent="0.3">
      <c r="A1599" s="4" t="s">
        <v>150</v>
      </c>
      <c r="B1599" s="5" t="s">
        <v>30</v>
      </c>
      <c r="C1599" s="5" t="s">
        <v>34</v>
      </c>
      <c r="D1599" s="5" t="s">
        <v>14</v>
      </c>
      <c r="E1599" s="5" t="s">
        <v>24</v>
      </c>
      <c r="F1599" s="5">
        <v>1887.87</v>
      </c>
    </row>
    <row r="1600" spans="1:6" ht="15.75" thickBot="1" x14ac:dyDescent="0.3">
      <c r="A1600" s="4" t="s">
        <v>100</v>
      </c>
      <c r="B1600" s="5" t="s">
        <v>7</v>
      </c>
      <c r="C1600" s="5" t="s">
        <v>34</v>
      </c>
      <c r="D1600" s="5" t="s">
        <v>28</v>
      </c>
      <c r="E1600" s="5" t="s">
        <v>24</v>
      </c>
      <c r="F1600" s="5">
        <v>533.01</v>
      </c>
    </row>
    <row r="1601" spans="1:6" ht="15.75" thickBot="1" x14ac:dyDescent="0.3">
      <c r="A1601" s="4" t="s">
        <v>132</v>
      </c>
      <c r="B1601" s="5" t="s">
        <v>19</v>
      </c>
      <c r="C1601" s="5" t="s">
        <v>8</v>
      </c>
      <c r="D1601" s="5" t="s">
        <v>28</v>
      </c>
      <c r="E1601" s="5" t="s">
        <v>10</v>
      </c>
      <c r="F1601" s="5">
        <v>572.46</v>
      </c>
    </row>
    <row r="1602" spans="1:6" ht="30.75" thickBot="1" x14ac:dyDescent="0.3">
      <c r="A1602" s="4" t="s">
        <v>20</v>
      </c>
      <c r="B1602" s="5" t="s">
        <v>17</v>
      </c>
      <c r="C1602" s="5" t="s">
        <v>13</v>
      </c>
      <c r="D1602" s="5" t="s">
        <v>28</v>
      </c>
      <c r="E1602" s="5" t="s">
        <v>24</v>
      </c>
      <c r="F1602" s="5">
        <v>4635.99</v>
      </c>
    </row>
    <row r="1603" spans="1:6" ht="15.75" thickBot="1" x14ac:dyDescent="0.3">
      <c r="A1603" s="4" t="s">
        <v>112</v>
      </c>
      <c r="B1603" s="5" t="s">
        <v>30</v>
      </c>
      <c r="C1603" s="5" t="s">
        <v>34</v>
      </c>
      <c r="D1603" s="5" t="s">
        <v>14</v>
      </c>
      <c r="E1603" s="5" t="s">
        <v>24</v>
      </c>
      <c r="F1603" s="5">
        <v>4891.97</v>
      </c>
    </row>
    <row r="1604" spans="1:6" ht="15.75" thickBot="1" x14ac:dyDescent="0.3">
      <c r="A1604" s="4" t="s">
        <v>182</v>
      </c>
      <c r="B1604" s="5" t="s">
        <v>12</v>
      </c>
      <c r="C1604" s="5" t="s">
        <v>23</v>
      </c>
      <c r="D1604" s="5" t="s">
        <v>28</v>
      </c>
      <c r="E1604" s="5" t="s">
        <v>10</v>
      </c>
      <c r="F1604" s="5">
        <v>1184.1400000000001</v>
      </c>
    </row>
    <row r="1605" spans="1:6" ht="15.75" thickBot="1" x14ac:dyDescent="0.3">
      <c r="A1605" s="4" t="s">
        <v>123</v>
      </c>
      <c r="B1605" s="5" t="s">
        <v>30</v>
      </c>
      <c r="C1605" s="5" t="s">
        <v>13</v>
      </c>
      <c r="D1605" s="5" t="s">
        <v>14</v>
      </c>
      <c r="E1605" s="5" t="s">
        <v>15</v>
      </c>
      <c r="F1605" s="5">
        <v>802.03</v>
      </c>
    </row>
    <row r="1606" spans="1:6" ht="15.75" thickBot="1" x14ac:dyDescent="0.3">
      <c r="A1606" s="4" t="s">
        <v>54</v>
      </c>
      <c r="B1606" s="5" t="s">
        <v>12</v>
      </c>
      <c r="C1606" s="5" t="s">
        <v>13</v>
      </c>
      <c r="D1606" s="5" t="s">
        <v>9</v>
      </c>
      <c r="E1606" s="5" t="s">
        <v>10</v>
      </c>
      <c r="F1606" s="5">
        <v>2408.4791700000001</v>
      </c>
    </row>
    <row r="1607" spans="1:6" ht="15.75" thickBot="1" x14ac:dyDescent="0.3">
      <c r="A1607" s="4" t="s">
        <v>161</v>
      </c>
      <c r="B1607" s="5" t="s">
        <v>7</v>
      </c>
      <c r="C1607" s="5" t="s">
        <v>13</v>
      </c>
      <c r="D1607" s="5" t="s">
        <v>9</v>
      </c>
      <c r="E1607" s="5" t="s">
        <v>15</v>
      </c>
      <c r="F1607" s="5">
        <v>3733.1564819999999</v>
      </c>
    </row>
    <row r="1608" spans="1:6" ht="15.75" thickBot="1" x14ac:dyDescent="0.3">
      <c r="A1608" s="4" t="s">
        <v>165</v>
      </c>
      <c r="B1608" s="5" t="s">
        <v>7</v>
      </c>
      <c r="C1608" s="5" t="s">
        <v>23</v>
      </c>
      <c r="D1608" s="5" t="s">
        <v>9</v>
      </c>
      <c r="E1608" s="5" t="s">
        <v>24</v>
      </c>
      <c r="F1608" s="5">
        <v>163.45412289999999</v>
      </c>
    </row>
    <row r="1609" spans="1:6" ht="15.75" thickBot="1" x14ac:dyDescent="0.3">
      <c r="A1609" s="4" t="s">
        <v>125</v>
      </c>
      <c r="B1609" s="5" t="s">
        <v>7</v>
      </c>
      <c r="C1609" s="5" t="s">
        <v>23</v>
      </c>
      <c r="D1609" s="5" t="s">
        <v>14</v>
      </c>
      <c r="E1609" s="5" t="s">
        <v>15</v>
      </c>
      <c r="F1609" s="5">
        <v>106.8</v>
      </c>
    </row>
    <row r="1610" spans="1:6" ht="15.75" thickBot="1" x14ac:dyDescent="0.3">
      <c r="A1610" s="4" t="s">
        <v>122</v>
      </c>
      <c r="B1610" s="5" t="s">
        <v>19</v>
      </c>
      <c r="C1610" s="5" t="s">
        <v>34</v>
      </c>
      <c r="D1610" s="5" t="s">
        <v>14</v>
      </c>
      <c r="E1610" s="5" t="s">
        <v>15</v>
      </c>
      <c r="F1610" s="5">
        <v>2626.92</v>
      </c>
    </row>
    <row r="1611" spans="1:6" ht="15.75" thickBot="1" x14ac:dyDescent="0.3">
      <c r="A1611" s="4" t="s">
        <v>39</v>
      </c>
      <c r="B1611" s="5" t="s">
        <v>7</v>
      </c>
      <c r="C1611" s="5" t="s">
        <v>8</v>
      </c>
      <c r="D1611" s="5" t="s">
        <v>14</v>
      </c>
      <c r="E1611" s="5" t="s">
        <v>15</v>
      </c>
      <c r="F1611" s="5">
        <v>4932.7299999999996</v>
      </c>
    </row>
    <row r="1612" spans="1:6" ht="15.75" thickBot="1" x14ac:dyDescent="0.3">
      <c r="A1612" s="4" t="s">
        <v>198</v>
      </c>
      <c r="B1612" s="5" t="s">
        <v>12</v>
      </c>
      <c r="C1612" s="5" t="s">
        <v>8</v>
      </c>
      <c r="D1612" s="5" t="s">
        <v>28</v>
      </c>
      <c r="E1612" s="5" t="s">
        <v>24</v>
      </c>
      <c r="F1612" s="5">
        <v>2097.4</v>
      </c>
    </row>
    <row r="1613" spans="1:6" ht="15.75" thickBot="1" x14ac:dyDescent="0.3">
      <c r="A1613" s="4" t="s">
        <v>189</v>
      </c>
      <c r="B1613" s="5" t="s">
        <v>19</v>
      </c>
      <c r="C1613" s="5" t="s">
        <v>13</v>
      </c>
      <c r="D1613" s="5" t="s">
        <v>9</v>
      </c>
      <c r="E1613" s="5" t="s">
        <v>15</v>
      </c>
      <c r="F1613" s="5">
        <v>3185.28</v>
      </c>
    </row>
    <row r="1614" spans="1:6" ht="15.75" thickBot="1" x14ac:dyDescent="0.3">
      <c r="A1614" s="4" t="s">
        <v>124</v>
      </c>
      <c r="B1614" s="5" t="s">
        <v>12</v>
      </c>
      <c r="C1614" s="5" t="s">
        <v>34</v>
      </c>
      <c r="D1614" s="5" t="s">
        <v>14</v>
      </c>
      <c r="E1614" s="5" t="s">
        <v>10</v>
      </c>
      <c r="F1614" s="5">
        <v>3081.68</v>
      </c>
    </row>
    <row r="1615" spans="1:6" ht="15.75" thickBot="1" x14ac:dyDescent="0.3">
      <c r="A1615" s="4" t="s">
        <v>209</v>
      </c>
      <c r="B1615" s="5" t="s">
        <v>7</v>
      </c>
      <c r="C1615" s="5" t="s">
        <v>13</v>
      </c>
      <c r="D1615" s="5" t="s">
        <v>28</v>
      </c>
      <c r="E1615" s="5" t="s">
        <v>15</v>
      </c>
      <c r="F1615" s="5">
        <v>1531.36</v>
      </c>
    </row>
    <row r="1616" spans="1:6" ht="15.75" thickBot="1" x14ac:dyDescent="0.3">
      <c r="A1616" s="4" t="s">
        <v>202</v>
      </c>
      <c r="B1616" s="5" t="s">
        <v>12</v>
      </c>
      <c r="C1616" s="5" t="s">
        <v>34</v>
      </c>
      <c r="D1616" s="5" t="s">
        <v>14</v>
      </c>
      <c r="E1616" s="5" t="s">
        <v>10</v>
      </c>
      <c r="F1616" s="5">
        <v>1564.12</v>
      </c>
    </row>
    <row r="1617" spans="1:6" ht="15.75" thickBot="1" x14ac:dyDescent="0.3">
      <c r="A1617" s="4" t="s">
        <v>101</v>
      </c>
      <c r="B1617" s="5" t="s">
        <v>19</v>
      </c>
      <c r="C1617" s="5" t="s">
        <v>23</v>
      </c>
      <c r="D1617" s="5" t="s">
        <v>28</v>
      </c>
      <c r="E1617" s="5" t="s">
        <v>10</v>
      </c>
      <c r="F1617" s="5">
        <v>3016.94</v>
      </c>
    </row>
    <row r="1618" spans="1:6" ht="15.75" thickBot="1" x14ac:dyDescent="0.3">
      <c r="A1618" s="4" t="s">
        <v>56</v>
      </c>
      <c r="B1618" s="5" t="s">
        <v>19</v>
      </c>
      <c r="C1618" s="5" t="s">
        <v>34</v>
      </c>
      <c r="D1618" s="5" t="s">
        <v>9</v>
      </c>
      <c r="E1618" s="5" t="s">
        <v>15</v>
      </c>
      <c r="F1618" s="5">
        <v>3853.1870269999999</v>
      </c>
    </row>
    <row r="1619" spans="1:6" ht="30.75" thickBot="1" x14ac:dyDescent="0.3">
      <c r="A1619" s="4" t="s">
        <v>171</v>
      </c>
      <c r="B1619" s="5" t="s">
        <v>17</v>
      </c>
      <c r="C1619" s="5" t="s">
        <v>23</v>
      </c>
      <c r="D1619" s="5" t="s">
        <v>28</v>
      </c>
      <c r="E1619" s="5" t="s">
        <v>10</v>
      </c>
      <c r="F1619" s="5">
        <v>459.36</v>
      </c>
    </row>
    <row r="1620" spans="1:6" ht="30.75" thickBot="1" x14ac:dyDescent="0.3">
      <c r="A1620" s="4" t="s">
        <v>216</v>
      </c>
      <c r="B1620" s="5" t="s">
        <v>17</v>
      </c>
      <c r="C1620" s="5" t="s">
        <v>23</v>
      </c>
      <c r="D1620" s="5" t="s">
        <v>14</v>
      </c>
      <c r="E1620" s="5" t="s">
        <v>15</v>
      </c>
      <c r="F1620" s="5">
        <v>2792.22</v>
      </c>
    </row>
    <row r="1621" spans="1:6" ht="15.75" thickBot="1" x14ac:dyDescent="0.3">
      <c r="A1621" s="4" t="s">
        <v>53</v>
      </c>
      <c r="B1621" s="5" t="s">
        <v>7</v>
      </c>
      <c r="C1621" s="5" t="s">
        <v>34</v>
      </c>
      <c r="D1621" s="5" t="s">
        <v>28</v>
      </c>
      <c r="E1621" s="5" t="s">
        <v>15</v>
      </c>
      <c r="F1621" s="5">
        <v>4129.93</v>
      </c>
    </row>
    <row r="1622" spans="1:6" ht="15.75" thickBot="1" x14ac:dyDescent="0.3">
      <c r="A1622" s="4" t="s">
        <v>192</v>
      </c>
      <c r="B1622" s="5" t="s">
        <v>19</v>
      </c>
      <c r="C1622" s="5" t="s">
        <v>34</v>
      </c>
      <c r="D1622" s="5" t="s">
        <v>28</v>
      </c>
      <c r="E1622" s="5" t="s">
        <v>15</v>
      </c>
      <c r="F1622" s="5">
        <v>2515.67</v>
      </c>
    </row>
    <row r="1623" spans="1:6" ht="30.75" thickBot="1" x14ac:dyDescent="0.3">
      <c r="A1623" s="4" t="s">
        <v>37</v>
      </c>
      <c r="B1623" s="5" t="s">
        <v>17</v>
      </c>
      <c r="C1623" s="5" t="s">
        <v>13</v>
      </c>
      <c r="D1623" s="5" t="s">
        <v>9</v>
      </c>
      <c r="E1623" s="5" t="s">
        <v>10</v>
      </c>
      <c r="F1623" s="5">
        <v>1577.952059</v>
      </c>
    </row>
    <row r="1624" spans="1:6" ht="15.75" thickBot="1" x14ac:dyDescent="0.3">
      <c r="A1624" s="4" t="s">
        <v>102</v>
      </c>
      <c r="B1624" s="5" t="s">
        <v>19</v>
      </c>
      <c r="C1624" s="5" t="s">
        <v>13</v>
      </c>
      <c r="D1624" s="5" t="s">
        <v>9</v>
      </c>
      <c r="E1624" s="5" t="s">
        <v>24</v>
      </c>
      <c r="F1624" s="5">
        <v>4224.2000390000003</v>
      </c>
    </row>
    <row r="1625" spans="1:6" ht="15.75" thickBot="1" x14ac:dyDescent="0.3">
      <c r="A1625" s="4" t="s">
        <v>101</v>
      </c>
      <c r="B1625" s="5" t="s">
        <v>19</v>
      </c>
      <c r="C1625" s="5" t="s">
        <v>23</v>
      </c>
      <c r="D1625" s="5" t="s">
        <v>9</v>
      </c>
      <c r="E1625" s="5" t="s">
        <v>24</v>
      </c>
      <c r="F1625" s="5">
        <v>4932.401664</v>
      </c>
    </row>
    <row r="1626" spans="1:6" ht="15.75" thickBot="1" x14ac:dyDescent="0.3">
      <c r="A1626" s="4" t="s">
        <v>212</v>
      </c>
      <c r="B1626" s="5" t="s">
        <v>7</v>
      </c>
      <c r="C1626" s="5" t="s">
        <v>13</v>
      </c>
      <c r="D1626" s="5" t="s">
        <v>28</v>
      </c>
      <c r="E1626" s="5" t="s">
        <v>10</v>
      </c>
      <c r="F1626" s="5">
        <v>1505.22</v>
      </c>
    </row>
    <row r="1627" spans="1:6" ht="15.75" thickBot="1" x14ac:dyDescent="0.3">
      <c r="A1627" s="4" t="s">
        <v>141</v>
      </c>
      <c r="B1627" s="5" t="s">
        <v>7</v>
      </c>
      <c r="C1627" s="5" t="s">
        <v>23</v>
      </c>
      <c r="D1627" s="5" t="s">
        <v>9</v>
      </c>
      <c r="E1627" s="5" t="s">
        <v>15</v>
      </c>
      <c r="F1627" s="5">
        <v>2186.8441339999999</v>
      </c>
    </row>
    <row r="1628" spans="1:6" ht="15.75" thickBot="1" x14ac:dyDescent="0.3">
      <c r="A1628" s="4" t="s">
        <v>165</v>
      </c>
      <c r="B1628" s="5" t="s">
        <v>7</v>
      </c>
      <c r="C1628" s="5" t="s">
        <v>13</v>
      </c>
      <c r="D1628" s="5" t="s">
        <v>14</v>
      </c>
      <c r="E1628" s="5" t="s">
        <v>10</v>
      </c>
      <c r="F1628" s="5">
        <v>1236.5999999999999</v>
      </c>
    </row>
    <row r="1629" spans="1:6" ht="15.75" thickBot="1" x14ac:dyDescent="0.3">
      <c r="A1629" s="4" t="s">
        <v>169</v>
      </c>
      <c r="B1629" s="5" t="s">
        <v>12</v>
      </c>
      <c r="C1629" s="5" t="s">
        <v>34</v>
      </c>
      <c r="D1629" s="5" t="s">
        <v>14</v>
      </c>
      <c r="E1629" s="5" t="s">
        <v>10</v>
      </c>
      <c r="F1629" s="5">
        <v>950.62</v>
      </c>
    </row>
    <row r="1630" spans="1:6" ht="15.75" thickBot="1" x14ac:dyDescent="0.3">
      <c r="A1630" s="4" t="s">
        <v>212</v>
      </c>
      <c r="B1630" s="5" t="s">
        <v>7</v>
      </c>
      <c r="C1630" s="5" t="s">
        <v>34</v>
      </c>
      <c r="D1630" s="5" t="s">
        <v>9</v>
      </c>
      <c r="E1630" s="5" t="s">
        <v>10</v>
      </c>
      <c r="F1630" s="5">
        <v>1417.732332</v>
      </c>
    </row>
    <row r="1631" spans="1:6" ht="15.75" thickBot="1" x14ac:dyDescent="0.3">
      <c r="A1631" s="4" t="s">
        <v>153</v>
      </c>
      <c r="B1631" s="5" t="s">
        <v>7</v>
      </c>
      <c r="C1631" s="5" t="s">
        <v>8</v>
      </c>
      <c r="D1631" s="5" t="s">
        <v>14</v>
      </c>
      <c r="E1631" s="5" t="s">
        <v>10</v>
      </c>
      <c r="F1631" s="5">
        <v>1840.6</v>
      </c>
    </row>
    <row r="1632" spans="1:6" ht="15.75" thickBot="1" x14ac:dyDescent="0.3">
      <c r="A1632" s="4" t="s">
        <v>91</v>
      </c>
      <c r="B1632" s="5" t="s">
        <v>30</v>
      </c>
      <c r="C1632" s="5" t="s">
        <v>34</v>
      </c>
      <c r="D1632" s="5" t="s">
        <v>28</v>
      </c>
      <c r="E1632" s="5" t="s">
        <v>15</v>
      </c>
      <c r="F1632" s="5">
        <v>136.41</v>
      </c>
    </row>
    <row r="1633" spans="1:6" ht="15.75" thickBot="1" x14ac:dyDescent="0.3">
      <c r="A1633" s="4" t="s">
        <v>39</v>
      </c>
      <c r="B1633" s="5" t="s">
        <v>7</v>
      </c>
      <c r="C1633" s="5" t="s">
        <v>23</v>
      </c>
      <c r="D1633" s="5" t="s">
        <v>14</v>
      </c>
      <c r="E1633" s="5" t="s">
        <v>24</v>
      </c>
      <c r="F1633" s="5">
        <v>2167.6999999999998</v>
      </c>
    </row>
    <row r="1634" spans="1:6" ht="15.75" thickBot="1" x14ac:dyDescent="0.3">
      <c r="A1634" s="4" t="s">
        <v>68</v>
      </c>
      <c r="B1634" s="5" t="s">
        <v>12</v>
      </c>
      <c r="C1634" s="5" t="s">
        <v>13</v>
      </c>
      <c r="D1634" s="5" t="s">
        <v>28</v>
      </c>
      <c r="E1634" s="5" t="s">
        <v>24</v>
      </c>
      <c r="F1634" s="5">
        <v>3755.45</v>
      </c>
    </row>
    <row r="1635" spans="1:6" ht="15.75" thickBot="1" x14ac:dyDescent="0.3">
      <c r="A1635" s="4" t="s">
        <v>110</v>
      </c>
      <c r="B1635" s="5" t="s">
        <v>12</v>
      </c>
      <c r="C1635" s="5" t="s">
        <v>13</v>
      </c>
      <c r="D1635" s="5" t="s">
        <v>28</v>
      </c>
      <c r="E1635" s="5" t="s">
        <v>10</v>
      </c>
      <c r="F1635" s="5">
        <v>1313.84</v>
      </c>
    </row>
    <row r="1636" spans="1:6" ht="30.75" thickBot="1" x14ac:dyDescent="0.3">
      <c r="A1636" s="4" t="s">
        <v>142</v>
      </c>
      <c r="B1636" s="5" t="s">
        <v>17</v>
      </c>
      <c r="C1636" s="5" t="s">
        <v>13</v>
      </c>
      <c r="D1636" s="5" t="s">
        <v>9</v>
      </c>
      <c r="E1636" s="5" t="s">
        <v>10</v>
      </c>
      <c r="F1636" s="5">
        <v>460.07946659999999</v>
      </c>
    </row>
    <row r="1637" spans="1:6" ht="15.75" thickBot="1" x14ac:dyDescent="0.3">
      <c r="A1637" s="4" t="s">
        <v>181</v>
      </c>
      <c r="B1637" s="5" t="s">
        <v>30</v>
      </c>
      <c r="C1637" s="5" t="s">
        <v>13</v>
      </c>
      <c r="D1637" s="5" t="s">
        <v>9</v>
      </c>
      <c r="E1637" s="5" t="s">
        <v>24</v>
      </c>
      <c r="F1637" s="5">
        <v>2230.0799240000001</v>
      </c>
    </row>
    <row r="1638" spans="1:6" ht="15.75" thickBot="1" x14ac:dyDescent="0.3">
      <c r="A1638" s="4" t="s">
        <v>21</v>
      </c>
      <c r="B1638" s="5" t="s">
        <v>19</v>
      </c>
      <c r="C1638" s="5" t="s">
        <v>8</v>
      </c>
      <c r="D1638" s="5" t="s">
        <v>14</v>
      </c>
      <c r="E1638" s="5" t="s">
        <v>24</v>
      </c>
      <c r="F1638" s="5">
        <v>324.83</v>
      </c>
    </row>
    <row r="1639" spans="1:6" ht="30.75" thickBot="1" x14ac:dyDescent="0.3">
      <c r="A1639" s="4" t="s">
        <v>218</v>
      </c>
      <c r="B1639" s="5" t="s">
        <v>17</v>
      </c>
      <c r="C1639" s="5" t="s">
        <v>23</v>
      </c>
      <c r="D1639" s="5" t="s">
        <v>9</v>
      </c>
      <c r="E1639" s="5" t="s">
        <v>10</v>
      </c>
      <c r="F1639" s="5">
        <v>621.26902540000003</v>
      </c>
    </row>
    <row r="1640" spans="1:6" ht="15.75" thickBot="1" x14ac:dyDescent="0.3">
      <c r="A1640" s="4" t="s">
        <v>187</v>
      </c>
      <c r="B1640" s="5" t="s">
        <v>19</v>
      </c>
      <c r="C1640" s="5" t="s">
        <v>23</v>
      </c>
      <c r="D1640" s="5" t="s">
        <v>28</v>
      </c>
      <c r="E1640" s="5" t="s">
        <v>10</v>
      </c>
      <c r="F1640" s="5">
        <v>1054.75</v>
      </c>
    </row>
    <row r="1641" spans="1:6" ht="15.75" thickBot="1" x14ac:dyDescent="0.3">
      <c r="A1641" s="4" t="s">
        <v>100</v>
      </c>
      <c r="B1641" s="5" t="s">
        <v>7</v>
      </c>
      <c r="C1641" s="5" t="s">
        <v>13</v>
      </c>
      <c r="D1641" s="5" t="s">
        <v>9</v>
      </c>
      <c r="E1641" s="5" t="s">
        <v>15</v>
      </c>
      <c r="F1641" s="5">
        <v>5086.7290380000004</v>
      </c>
    </row>
    <row r="1642" spans="1:6" ht="15.75" thickBot="1" x14ac:dyDescent="0.3">
      <c r="A1642" s="4" t="s">
        <v>206</v>
      </c>
      <c r="B1642" s="5" t="s">
        <v>19</v>
      </c>
      <c r="C1642" s="5" t="s">
        <v>23</v>
      </c>
      <c r="D1642" s="5" t="s">
        <v>28</v>
      </c>
      <c r="E1642" s="5" t="s">
        <v>24</v>
      </c>
      <c r="F1642" s="5">
        <v>733.07</v>
      </c>
    </row>
    <row r="1643" spans="1:6" ht="15.75" thickBot="1" x14ac:dyDescent="0.3">
      <c r="A1643" s="4" t="s">
        <v>108</v>
      </c>
      <c r="B1643" s="5" t="s">
        <v>7</v>
      </c>
      <c r="C1643" s="5" t="s">
        <v>13</v>
      </c>
      <c r="D1643" s="5" t="s">
        <v>14</v>
      </c>
      <c r="E1643" s="5" t="s">
        <v>24</v>
      </c>
      <c r="F1643" s="5">
        <v>4608.12</v>
      </c>
    </row>
    <row r="1644" spans="1:6" ht="15.75" thickBot="1" x14ac:dyDescent="0.3">
      <c r="A1644" s="4" t="s">
        <v>44</v>
      </c>
      <c r="B1644" s="5" t="s">
        <v>19</v>
      </c>
      <c r="C1644" s="5" t="s">
        <v>23</v>
      </c>
      <c r="D1644" s="5" t="s">
        <v>28</v>
      </c>
      <c r="E1644" s="5" t="s">
        <v>10</v>
      </c>
      <c r="F1644" s="5">
        <v>3092.45</v>
      </c>
    </row>
    <row r="1645" spans="1:6" ht="15.75" thickBot="1" x14ac:dyDescent="0.3">
      <c r="A1645" s="4" t="s">
        <v>61</v>
      </c>
      <c r="B1645" s="5" t="s">
        <v>30</v>
      </c>
      <c r="C1645" s="5" t="s">
        <v>34</v>
      </c>
      <c r="D1645" s="5" t="s">
        <v>14</v>
      </c>
      <c r="E1645" s="5" t="s">
        <v>15</v>
      </c>
      <c r="F1645" s="5">
        <v>824.2</v>
      </c>
    </row>
    <row r="1646" spans="1:6" ht="30.75" thickBot="1" x14ac:dyDescent="0.3">
      <c r="A1646" s="4" t="s">
        <v>58</v>
      </c>
      <c r="B1646" s="5" t="s">
        <v>17</v>
      </c>
      <c r="C1646" s="5" t="s">
        <v>8</v>
      </c>
      <c r="D1646" s="5" t="s">
        <v>28</v>
      </c>
      <c r="E1646" s="5" t="s">
        <v>10</v>
      </c>
      <c r="F1646" s="5">
        <v>1816.62</v>
      </c>
    </row>
    <row r="1647" spans="1:6" ht="30.75" thickBot="1" x14ac:dyDescent="0.3">
      <c r="A1647" s="4" t="s">
        <v>142</v>
      </c>
      <c r="B1647" s="5" t="s">
        <v>17</v>
      </c>
      <c r="C1647" s="5" t="s">
        <v>13</v>
      </c>
      <c r="D1647" s="5" t="s">
        <v>9</v>
      </c>
      <c r="E1647" s="5" t="s">
        <v>15</v>
      </c>
      <c r="F1647" s="5">
        <v>1750.321625</v>
      </c>
    </row>
    <row r="1648" spans="1:6" ht="15.75" thickBot="1" x14ac:dyDescent="0.3">
      <c r="A1648" s="4" t="s">
        <v>183</v>
      </c>
      <c r="B1648" s="5" t="s">
        <v>7</v>
      </c>
      <c r="C1648" s="5" t="s">
        <v>13</v>
      </c>
      <c r="D1648" s="5" t="s">
        <v>9</v>
      </c>
      <c r="E1648" s="5" t="s">
        <v>10</v>
      </c>
      <c r="F1648" s="5">
        <v>4387.1743159999996</v>
      </c>
    </row>
    <row r="1649" spans="1:6" ht="15.75" thickBot="1" x14ac:dyDescent="0.3">
      <c r="A1649" s="4" t="s">
        <v>219</v>
      </c>
      <c r="B1649" s="5" t="s">
        <v>12</v>
      </c>
      <c r="C1649" s="5" t="s">
        <v>23</v>
      </c>
      <c r="D1649" s="5" t="s">
        <v>28</v>
      </c>
      <c r="E1649" s="5" t="s">
        <v>24</v>
      </c>
      <c r="F1649" s="5">
        <v>3959.46</v>
      </c>
    </row>
    <row r="1650" spans="1:6" ht="15.75" thickBot="1" x14ac:dyDescent="0.3">
      <c r="A1650" s="4" t="s">
        <v>38</v>
      </c>
      <c r="B1650" s="5" t="s">
        <v>30</v>
      </c>
      <c r="C1650" s="5" t="s">
        <v>23</v>
      </c>
      <c r="D1650" s="5" t="s">
        <v>28</v>
      </c>
      <c r="E1650" s="5" t="s">
        <v>24</v>
      </c>
      <c r="F1650" s="5">
        <v>976.87</v>
      </c>
    </row>
    <row r="1651" spans="1:6" ht="15.75" thickBot="1" x14ac:dyDescent="0.3">
      <c r="A1651" s="4" t="s">
        <v>90</v>
      </c>
      <c r="B1651" s="5" t="s">
        <v>19</v>
      </c>
      <c r="C1651" s="5" t="s">
        <v>8</v>
      </c>
      <c r="D1651" s="5" t="s">
        <v>14</v>
      </c>
      <c r="E1651" s="5" t="s">
        <v>24</v>
      </c>
      <c r="F1651" s="5">
        <v>836.5</v>
      </c>
    </row>
    <row r="1652" spans="1:6" ht="15.75" thickBot="1" x14ac:dyDescent="0.3">
      <c r="A1652" s="4" t="s">
        <v>184</v>
      </c>
      <c r="B1652" s="5" t="s">
        <v>30</v>
      </c>
      <c r="C1652" s="5" t="s">
        <v>34</v>
      </c>
      <c r="D1652" s="5" t="s">
        <v>14</v>
      </c>
      <c r="E1652" s="5" t="s">
        <v>15</v>
      </c>
      <c r="F1652" s="5">
        <v>4095.46</v>
      </c>
    </row>
    <row r="1653" spans="1:6" ht="15.75" thickBot="1" x14ac:dyDescent="0.3">
      <c r="A1653" s="4" t="s">
        <v>109</v>
      </c>
      <c r="B1653" s="5" t="s">
        <v>12</v>
      </c>
      <c r="C1653" s="5" t="s">
        <v>23</v>
      </c>
      <c r="D1653" s="5" t="s">
        <v>28</v>
      </c>
      <c r="E1653" s="5" t="s">
        <v>15</v>
      </c>
      <c r="F1653" s="5">
        <v>3574.84</v>
      </c>
    </row>
    <row r="1654" spans="1:6" ht="15.75" thickBot="1" x14ac:dyDescent="0.3">
      <c r="A1654" s="4" t="s">
        <v>186</v>
      </c>
      <c r="B1654" s="5" t="s">
        <v>30</v>
      </c>
      <c r="C1654" s="5" t="s">
        <v>34</v>
      </c>
      <c r="D1654" s="5" t="s">
        <v>28</v>
      </c>
      <c r="E1654" s="5" t="s">
        <v>24</v>
      </c>
      <c r="F1654" s="5">
        <v>4705.34</v>
      </c>
    </row>
    <row r="1655" spans="1:6" ht="15.75" thickBot="1" x14ac:dyDescent="0.3">
      <c r="A1655" s="4" t="s">
        <v>177</v>
      </c>
      <c r="B1655" s="5" t="s">
        <v>7</v>
      </c>
      <c r="C1655" s="5" t="s">
        <v>13</v>
      </c>
      <c r="D1655" s="5" t="s">
        <v>14</v>
      </c>
      <c r="E1655" s="5" t="s">
        <v>24</v>
      </c>
      <c r="F1655" s="5">
        <v>4617.59</v>
      </c>
    </row>
    <row r="1656" spans="1:6" ht="30.75" thickBot="1" x14ac:dyDescent="0.3">
      <c r="A1656" s="4" t="s">
        <v>205</v>
      </c>
      <c r="B1656" s="5" t="s">
        <v>17</v>
      </c>
      <c r="C1656" s="5" t="s">
        <v>8</v>
      </c>
      <c r="D1656" s="5" t="s">
        <v>14</v>
      </c>
      <c r="E1656" s="5" t="s">
        <v>10</v>
      </c>
      <c r="F1656" s="5">
        <v>3378.57</v>
      </c>
    </row>
    <row r="1657" spans="1:6" ht="15.75" thickBot="1" x14ac:dyDescent="0.3">
      <c r="A1657" s="4" t="s">
        <v>18</v>
      </c>
      <c r="B1657" s="5" t="s">
        <v>19</v>
      </c>
      <c r="C1657" s="5" t="s">
        <v>23</v>
      </c>
      <c r="D1657" s="5" t="s">
        <v>28</v>
      </c>
      <c r="E1657" s="5" t="s">
        <v>10</v>
      </c>
      <c r="F1657" s="5">
        <v>1071.83</v>
      </c>
    </row>
    <row r="1658" spans="1:6" ht="15.75" thickBot="1" x14ac:dyDescent="0.3">
      <c r="A1658" s="4" t="s">
        <v>162</v>
      </c>
      <c r="B1658" s="5" t="s">
        <v>30</v>
      </c>
      <c r="C1658" s="5" t="s">
        <v>13</v>
      </c>
      <c r="D1658" s="5" t="s">
        <v>9</v>
      </c>
      <c r="E1658" s="5" t="s">
        <v>24</v>
      </c>
      <c r="F1658" s="5">
        <v>958.6543772</v>
      </c>
    </row>
    <row r="1659" spans="1:6" ht="30.75" thickBot="1" x14ac:dyDescent="0.3">
      <c r="A1659" s="4" t="s">
        <v>37</v>
      </c>
      <c r="B1659" s="5" t="s">
        <v>17</v>
      </c>
      <c r="C1659" s="5" t="s">
        <v>23</v>
      </c>
      <c r="D1659" s="5" t="s">
        <v>9</v>
      </c>
      <c r="E1659" s="5" t="s">
        <v>24</v>
      </c>
      <c r="F1659" s="5">
        <v>1194.635671</v>
      </c>
    </row>
    <row r="1660" spans="1:6" ht="30.75" thickBot="1" x14ac:dyDescent="0.3">
      <c r="A1660" s="4" t="s">
        <v>156</v>
      </c>
      <c r="B1660" s="5" t="s">
        <v>17</v>
      </c>
      <c r="C1660" s="5" t="s">
        <v>34</v>
      </c>
      <c r="D1660" s="5" t="s">
        <v>9</v>
      </c>
      <c r="E1660" s="5" t="s">
        <v>24</v>
      </c>
      <c r="F1660" s="5">
        <v>1366.7456500000001</v>
      </c>
    </row>
    <row r="1661" spans="1:6" ht="15.75" thickBot="1" x14ac:dyDescent="0.3">
      <c r="A1661" s="4" t="s">
        <v>65</v>
      </c>
      <c r="B1661" s="5" t="s">
        <v>30</v>
      </c>
      <c r="C1661" s="5" t="s">
        <v>23</v>
      </c>
      <c r="D1661" s="5" t="s">
        <v>14</v>
      </c>
      <c r="E1661" s="5" t="s">
        <v>15</v>
      </c>
      <c r="F1661" s="5">
        <v>1936.56</v>
      </c>
    </row>
    <row r="1662" spans="1:6" ht="15.75" thickBot="1" x14ac:dyDescent="0.3">
      <c r="A1662" s="4" t="s">
        <v>27</v>
      </c>
      <c r="B1662" s="5" t="s">
        <v>12</v>
      </c>
      <c r="C1662" s="5" t="s">
        <v>13</v>
      </c>
      <c r="D1662" s="5" t="s">
        <v>9</v>
      </c>
      <c r="E1662" s="5" t="s">
        <v>10</v>
      </c>
      <c r="F1662" s="5">
        <v>872.02317370000003</v>
      </c>
    </row>
    <row r="1663" spans="1:6" ht="30.75" thickBot="1" x14ac:dyDescent="0.3">
      <c r="A1663" s="4" t="s">
        <v>58</v>
      </c>
      <c r="B1663" s="5" t="s">
        <v>17</v>
      </c>
      <c r="C1663" s="5" t="s">
        <v>34</v>
      </c>
      <c r="D1663" s="5" t="s">
        <v>28</v>
      </c>
      <c r="E1663" s="5" t="s">
        <v>15</v>
      </c>
      <c r="F1663" s="5">
        <v>4730.6899999999996</v>
      </c>
    </row>
    <row r="1664" spans="1:6" ht="15.75" thickBot="1" x14ac:dyDescent="0.3">
      <c r="A1664" s="4" t="s">
        <v>96</v>
      </c>
      <c r="B1664" s="5" t="s">
        <v>19</v>
      </c>
      <c r="C1664" s="5" t="s">
        <v>13</v>
      </c>
      <c r="D1664" s="5" t="s">
        <v>9</v>
      </c>
      <c r="E1664" s="5" t="s">
        <v>10</v>
      </c>
      <c r="F1664" s="5">
        <v>3135.117119</v>
      </c>
    </row>
    <row r="1665" spans="1:6" ht="30.75" thickBot="1" x14ac:dyDescent="0.3">
      <c r="A1665" s="4" t="s">
        <v>190</v>
      </c>
      <c r="B1665" s="5" t="s">
        <v>17</v>
      </c>
      <c r="C1665" s="5" t="s">
        <v>23</v>
      </c>
      <c r="D1665" s="5" t="s">
        <v>9</v>
      </c>
      <c r="E1665" s="5" t="s">
        <v>15</v>
      </c>
      <c r="F1665" s="5">
        <v>1288.693927</v>
      </c>
    </row>
    <row r="1666" spans="1:6" ht="15.75" thickBot="1" x14ac:dyDescent="0.3">
      <c r="A1666" s="4" t="s">
        <v>66</v>
      </c>
      <c r="B1666" s="5" t="s">
        <v>30</v>
      </c>
      <c r="C1666" s="5" t="s">
        <v>8</v>
      </c>
      <c r="D1666" s="5" t="s">
        <v>14</v>
      </c>
      <c r="E1666" s="5" t="s">
        <v>10</v>
      </c>
      <c r="F1666" s="5">
        <v>3302.89</v>
      </c>
    </row>
    <row r="1667" spans="1:6" ht="15.75" thickBot="1" x14ac:dyDescent="0.3">
      <c r="A1667" s="4" t="s">
        <v>191</v>
      </c>
      <c r="B1667" s="5" t="s">
        <v>12</v>
      </c>
      <c r="C1667" s="5" t="s">
        <v>13</v>
      </c>
      <c r="D1667" s="5" t="s">
        <v>28</v>
      </c>
      <c r="E1667" s="5" t="s">
        <v>15</v>
      </c>
      <c r="F1667" s="5">
        <v>1167.23</v>
      </c>
    </row>
    <row r="1668" spans="1:6" ht="15.75" thickBot="1" x14ac:dyDescent="0.3">
      <c r="A1668" s="4" t="s">
        <v>33</v>
      </c>
      <c r="B1668" s="5" t="s">
        <v>19</v>
      </c>
      <c r="C1668" s="5" t="s">
        <v>34</v>
      </c>
      <c r="D1668" s="5" t="s">
        <v>9</v>
      </c>
      <c r="E1668" s="5" t="s">
        <v>10</v>
      </c>
      <c r="F1668" s="5">
        <v>1716.9930870000001</v>
      </c>
    </row>
    <row r="1669" spans="1:6" ht="30.75" thickBot="1" x14ac:dyDescent="0.3">
      <c r="A1669" s="4" t="s">
        <v>43</v>
      </c>
      <c r="B1669" s="5" t="s">
        <v>17</v>
      </c>
      <c r="C1669" s="5" t="s">
        <v>13</v>
      </c>
      <c r="D1669" s="5" t="s">
        <v>28</v>
      </c>
      <c r="E1669" s="5" t="s">
        <v>24</v>
      </c>
      <c r="F1669" s="5">
        <v>2018.44</v>
      </c>
    </row>
    <row r="1670" spans="1:6" ht="15.75" thickBot="1" x14ac:dyDescent="0.3">
      <c r="A1670" s="4" t="s">
        <v>122</v>
      </c>
      <c r="B1670" s="5" t="s">
        <v>19</v>
      </c>
      <c r="C1670" s="5" t="s">
        <v>23</v>
      </c>
      <c r="D1670" s="5" t="s">
        <v>9</v>
      </c>
      <c r="E1670" s="5" t="s">
        <v>10</v>
      </c>
      <c r="F1670" s="5">
        <v>5025.5408010000001</v>
      </c>
    </row>
    <row r="1671" spans="1:6" ht="30.75" thickBot="1" x14ac:dyDescent="0.3">
      <c r="A1671" s="4" t="s">
        <v>137</v>
      </c>
      <c r="B1671" s="5" t="s">
        <v>17</v>
      </c>
      <c r="C1671" s="5" t="s">
        <v>34</v>
      </c>
      <c r="D1671" s="5" t="s">
        <v>9</v>
      </c>
      <c r="E1671" s="5" t="s">
        <v>15</v>
      </c>
      <c r="F1671" s="5">
        <v>2513.2965159999999</v>
      </c>
    </row>
    <row r="1672" spans="1:6" ht="15.75" thickBot="1" x14ac:dyDescent="0.3">
      <c r="A1672" s="4" t="s">
        <v>166</v>
      </c>
      <c r="B1672" s="5" t="s">
        <v>7</v>
      </c>
      <c r="C1672" s="5" t="s">
        <v>8</v>
      </c>
      <c r="D1672" s="5" t="s">
        <v>14</v>
      </c>
      <c r="E1672" s="5" t="s">
        <v>15</v>
      </c>
      <c r="F1672" s="5">
        <v>2145.48</v>
      </c>
    </row>
    <row r="1673" spans="1:6" ht="15.75" thickBot="1" x14ac:dyDescent="0.3">
      <c r="A1673" s="4" t="s">
        <v>29</v>
      </c>
      <c r="B1673" s="5" t="s">
        <v>30</v>
      </c>
      <c r="C1673" s="5" t="s">
        <v>13</v>
      </c>
      <c r="D1673" s="5" t="s">
        <v>14</v>
      </c>
      <c r="E1673" s="5" t="s">
        <v>10</v>
      </c>
      <c r="F1673" s="5">
        <v>1701.79</v>
      </c>
    </row>
    <row r="1674" spans="1:6" ht="15.75" thickBot="1" x14ac:dyDescent="0.3">
      <c r="A1674" s="4" t="s">
        <v>99</v>
      </c>
      <c r="B1674" s="5" t="s">
        <v>19</v>
      </c>
      <c r="C1674" s="5" t="s">
        <v>34</v>
      </c>
      <c r="D1674" s="5" t="s">
        <v>28</v>
      </c>
      <c r="E1674" s="5" t="s">
        <v>15</v>
      </c>
      <c r="F1674" s="5">
        <v>1017.33</v>
      </c>
    </row>
    <row r="1675" spans="1:6" ht="30.75" thickBot="1" x14ac:dyDescent="0.3">
      <c r="A1675" s="4" t="s">
        <v>137</v>
      </c>
      <c r="B1675" s="5" t="s">
        <v>17</v>
      </c>
      <c r="C1675" s="5" t="s">
        <v>8</v>
      </c>
      <c r="D1675" s="5" t="s">
        <v>28</v>
      </c>
      <c r="E1675" s="5" t="s">
        <v>15</v>
      </c>
      <c r="F1675" s="5">
        <v>4417.58</v>
      </c>
    </row>
    <row r="1676" spans="1:6" ht="15.75" thickBot="1" x14ac:dyDescent="0.3">
      <c r="A1676" s="4" t="s">
        <v>25</v>
      </c>
      <c r="B1676" s="5" t="s">
        <v>19</v>
      </c>
      <c r="C1676" s="5" t="s">
        <v>8</v>
      </c>
      <c r="D1676" s="5" t="s">
        <v>14</v>
      </c>
      <c r="E1676" s="5" t="s">
        <v>10</v>
      </c>
      <c r="F1676" s="5">
        <v>2948.39</v>
      </c>
    </row>
    <row r="1677" spans="1:6" ht="15.75" thickBot="1" x14ac:dyDescent="0.3">
      <c r="A1677" s="4" t="s">
        <v>196</v>
      </c>
      <c r="B1677" s="5" t="s">
        <v>30</v>
      </c>
      <c r="C1677" s="5" t="s">
        <v>23</v>
      </c>
      <c r="D1677" s="5" t="s">
        <v>28</v>
      </c>
      <c r="E1677" s="5" t="s">
        <v>24</v>
      </c>
      <c r="F1677" s="5">
        <v>2543.38</v>
      </c>
    </row>
    <row r="1678" spans="1:6" ht="15.75" thickBot="1" x14ac:dyDescent="0.3">
      <c r="A1678" s="4" t="s">
        <v>160</v>
      </c>
      <c r="B1678" s="5" t="s">
        <v>30</v>
      </c>
      <c r="C1678" s="5" t="s">
        <v>13</v>
      </c>
      <c r="D1678" s="5" t="s">
        <v>9</v>
      </c>
      <c r="E1678" s="5" t="s">
        <v>15</v>
      </c>
      <c r="F1678" s="5">
        <v>3031.49</v>
      </c>
    </row>
    <row r="1679" spans="1:6" ht="30.75" thickBot="1" x14ac:dyDescent="0.3">
      <c r="A1679" s="4" t="s">
        <v>116</v>
      </c>
      <c r="B1679" s="5" t="s">
        <v>17</v>
      </c>
      <c r="C1679" s="5" t="s">
        <v>34</v>
      </c>
      <c r="D1679" s="5" t="s">
        <v>9</v>
      </c>
      <c r="E1679" s="5" t="s">
        <v>15</v>
      </c>
      <c r="F1679" s="5">
        <v>4209.3514340000002</v>
      </c>
    </row>
    <row r="1680" spans="1:6" ht="15.75" thickBot="1" x14ac:dyDescent="0.3">
      <c r="A1680" s="4" t="s">
        <v>119</v>
      </c>
      <c r="B1680" s="5" t="s">
        <v>30</v>
      </c>
      <c r="C1680" s="5" t="s">
        <v>8</v>
      </c>
      <c r="D1680" s="5" t="s">
        <v>14</v>
      </c>
      <c r="E1680" s="5" t="s">
        <v>24</v>
      </c>
      <c r="F1680" s="5">
        <v>3571.08</v>
      </c>
    </row>
    <row r="1681" spans="1:6" ht="15.75" thickBot="1" x14ac:dyDescent="0.3">
      <c r="A1681" s="4" t="s">
        <v>41</v>
      </c>
      <c r="B1681" s="5" t="s">
        <v>30</v>
      </c>
      <c r="C1681" s="5" t="s">
        <v>8</v>
      </c>
      <c r="D1681" s="5" t="s">
        <v>28</v>
      </c>
      <c r="E1681" s="5" t="s">
        <v>15</v>
      </c>
      <c r="F1681" s="5">
        <v>887.49</v>
      </c>
    </row>
    <row r="1682" spans="1:6" ht="15.75" thickBot="1" x14ac:dyDescent="0.3">
      <c r="A1682" s="4" t="s">
        <v>193</v>
      </c>
      <c r="B1682" s="5" t="s">
        <v>12</v>
      </c>
      <c r="C1682" s="5" t="s">
        <v>8</v>
      </c>
      <c r="D1682" s="5" t="s">
        <v>28</v>
      </c>
      <c r="E1682" s="5" t="s">
        <v>10</v>
      </c>
      <c r="F1682" s="5">
        <v>1618.49</v>
      </c>
    </row>
    <row r="1683" spans="1:6" ht="15.75" thickBot="1" x14ac:dyDescent="0.3">
      <c r="A1683" s="4" t="s">
        <v>152</v>
      </c>
      <c r="B1683" s="5" t="s">
        <v>30</v>
      </c>
      <c r="C1683" s="5" t="s">
        <v>8</v>
      </c>
      <c r="D1683" s="5" t="s">
        <v>9</v>
      </c>
      <c r="E1683" s="5" t="s">
        <v>10</v>
      </c>
      <c r="F1683" s="5">
        <v>4625.4638729999997</v>
      </c>
    </row>
    <row r="1684" spans="1:6" ht="15.75" thickBot="1" x14ac:dyDescent="0.3">
      <c r="A1684" s="4" t="s">
        <v>25</v>
      </c>
      <c r="B1684" s="5" t="s">
        <v>19</v>
      </c>
      <c r="C1684" s="5" t="s">
        <v>34</v>
      </c>
      <c r="D1684" s="5" t="s">
        <v>28</v>
      </c>
      <c r="E1684" s="5" t="s">
        <v>10</v>
      </c>
      <c r="F1684" s="5">
        <v>968.64</v>
      </c>
    </row>
    <row r="1685" spans="1:6" ht="30.75" thickBot="1" x14ac:dyDescent="0.3">
      <c r="A1685" s="4" t="s">
        <v>149</v>
      </c>
      <c r="B1685" s="5" t="s">
        <v>17</v>
      </c>
      <c r="C1685" s="5" t="s">
        <v>23</v>
      </c>
      <c r="D1685" s="5" t="s">
        <v>9</v>
      </c>
      <c r="E1685" s="5" t="s">
        <v>15</v>
      </c>
      <c r="F1685" s="5">
        <v>2182.0643799999998</v>
      </c>
    </row>
    <row r="1686" spans="1:6" ht="15.75" thickBot="1" x14ac:dyDescent="0.3">
      <c r="A1686" s="4" t="s">
        <v>103</v>
      </c>
      <c r="B1686" s="5" t="s">
        <v>19</v>
      </c>
      <c r="C1686" s="5" t="s">
        <v>23</v>
      </c>
      <c r="D1686" s="5" t="s">
        <v>9</v>
      </c>
      <c r="E1686" s="5" t="s">
        <v>24</v>
      </c>
      <c r="F1686" s="5">
        <v>2401.339125</v>
      </c>
    </row>
    <row r="1687" spans="1:6" ht="15.75" thickBot="1" x14ac:dyDescent="0.3">
      <c r="A1687" s="4" t="s">
        <v>69</v>
      </c>
      <c r="B1687" s="5" t="s">
        <v>7</v>
      </c>
      <c r="C1687" s="5" t="s">
        <v>34</v>
      </c>
      <c r="D1687" s="5" t="s">
        <v>9</v>
      </c>
      <c r="E1687" s="5" t="s">
        <v>10</v>
      </c>
      <c r="F1687" s="5">
        <v>1887.9748999999999</v>
      </c>
    </row>
    <row r="1688" spans="1:6" ht="15.75" thickBot="1" x14ac:dyDescent="0.3">
      <c r="A1688" s="4" t="s">
        <v>105</v>
      </c>
      <c r="B1688" s="5" t="s">
        <v>30</v>
      </c>
      <c r="C1688" s="5" t="s">
        <v>34</v>
      </c>
      <c r="D1688" s="5" t="s">
        <v>14</v>
      </c>
      <c r="E1688" s="5" t="s">
        <v>15</v>
      </c>
      <c r="F1688" s="5">
        <v>1740.85</v>
      </c>
    </row>
    <row r="1689" spans="1:6" ht="15.75" thickBot="1" x14ac:dyDescent="0.3">
      <c r="A1689" s="4" t="s">
        <v>92</v>
      </c>
      <c r="B1689" s="5" t="s">
        <v>30</v>
      </c>
      <c r="C1689" s="5" t="s">
        <v>8</v>
      </c>
      <c r="D1689" s="5" t="s">
        <v>9</v>
      </c>
      <c r="E1689" s="5" t="s">
        <v>24</v>
      </c>
      <c r="F1689" s="5">
        <v>4524.0168549999999</v>
      </c>
    </row>
    <row r="1690" spans="1:6" ht="15.75" thickBot="1" x14ac:dyDescent="0.3">
      <c r="A1690" s="4" t="s">
        <v>52</v>
      </c>
      <c r="B1690" s="5" t="s">
        <v>19</v>
      </c>
      <c r="C1690" s="5" t="s">
        <v>34</v>
      </c>
      <c r="D1690" s="5" t="s">
        <v>9</v>
      </c>
      <c r="E1690" s="5" t="s">
        <v>10</v>
      </c>
      <c r="F1690" s="5">
        <v>4975.538391</v>
      </c>
    </row>
    <row r="1691" spans="1:6" ht="30.75" thickBot="1" x14ac:dyDescent="0.3">
      <c r="A1691" s="4" t="s">
        <v>147</v>
      </c>
      <c r="B1691" s="5" t="s">
        <v>17</v>
      </c>
      <c r="C1691" s="5" t="s">
        <v>13</v>
      </c>
      <c r="D1691" s="5" t="s">
        <v>28</v>
      </c>
      <c r="E1691" s="5" t="s">
        <v>10</v>
      </c>
      <c r="F1691" s="5">
        <v>1573</v>
      </c>
    </row>
    <row r="1692" spans="1:6" ht="15.75" thickBot="1" x14ac:dyDescent="0.3">
      <c r="A1692" s="4" t="s">
        <v>213</v>
      </c>
      <c r="B1692" s="5" t="s">
        <v>12</v>
      </c>
      <c r="C1692" s="5" t="s">
        <v>34</v>
      </c>
      <c r="D1692" s="5" t="s">
        <v>28</v>
      </c>
      <c r="E1692" s="5" t="s">
        <v>10</v>
      </c>
      <c r="F1692" s="5">
        <v>1578.72</v>
      </c>
    </row>
    <row r="1693" spans="1:6" ht="15.75" thickBot="1" x14ac:dyDescent="0.3">
      <c r="A1693" s="4" t="s">
        <v>84</v>
      </c>
      <c r="B1693" s="5" t="s">
        <v>30</v>
      </c>
      <c r="C1693" s="5" t="s">
        <v>34</v>
      </c>
      <c r="D1693" s="5" t="s">
        <v>9</v>
      </c>
      <c r="E1693" s="5" t="s">
        <v>24</v>
      </c>
      <c r="F1693" s="5">
        <v>3818.4985240000001</v>
      </c>
    </row>
    <row r="1694" spans="1:6" ht="30.75" thickBot="1" x14ac:dyDescent="0.3">
      <c r="A1694" s="4" t="s">
        <v>76</v>
      </c>
      <c r="B1694" s="5" t="s">
        <v>17</v>
      </c>
      <c r="C1694" s="5" t="s">
        <v>23</v>
      </c>
      <c r="D1694" s="5" t="s">
        <v>28</v>
      </c>
      <c r="E1694" s="5" t="s">
        <v>24</v>
      </c>
      <c r="F1694" s="5">
        <v>2731.54</v>
      </c>
    </row>
    <row r="1695" spans="1:6" ht="30.75" thickBot="1" x14ac:dyDescent="0.3">
      <c r="A1695" s="4" t="s">
        <v>140</v>
      </c>
      <c r="B1695" s="5" t="s">
        <v>17</v>
      </c>
      <c r="C1695" s="5" t="s">
        <v>8</v>
      </c>
      <c r="D1695" s="5" t="s">
        <v>14</v>
      </c>
      <c r="E1695" s="5" t="s">
        <v>24</v>
      </c>
      <c r="F1695" s="5">
        <v>156.84</v>
      </c>
    </row>
    <row r="1696" spans="1:6" ht="15.75" thickBot="1" x14ac:dyDescent="0.3">
      <c r="A1696" s="4" t="s">
        <v>85</v>
      </c>
      <c r="B1696" s="5" t="s">
        <v>30</v>
      </c>
      <c r="C1696" s="5" t="s">
        <v>23</v>
      </c>
      <c r="D1696" s="5" t="s">
        <v>28</v>
      </c>
      <c r="E1696" s="5" t="s">
        <v>10</v>
      </c>
      <c r="F1696" s="5">
        <v>300.70999999999998</v>
      </c>
    </row>
    <row r="1697" spans="1:6" ht="15.75" thickBot="1" x14ac:dyDescent="0.3">
      <c r="A1697" s="4" t="s">
        <v>74</v>
      </c>
      <c r="B1697" s="5" t="s">
        <v>19</v>
      </c>
      <c r="C1697" s="5" t="s">
        <v>34</v>
      </c>
      <c r="D1697" s="5" t="s">
        <v>28</v>
      </c>
      <c r="E1697" s="5" t="s">
        <v>10</v>
      </c>
      <c r="F1697" s="5">
        <v>4929.3599999999997</v>
      </c>
    </row>
    <row r="1698" spans="1:6" ht="15.75" thickBot="1" x14ac:dyDescent="0.3">
      <c r="A1698" s="4" t="s">
        <v>108</v>
      </c>
      <c r="B1698" s="5" t="s">
        <v>7</v>
      </c>
      <c r="C1698" s="5" t="s">
        <v>13</v>
      </c>
      <c r="D1698" s="5" t="s">
        <v>9</v>
      </c>
      <c r="E1698" s="5" t="s">
        <v>10</v>
      </c>
      <c r="F1698" s="5">
        <v>2623.4664130000001</v>
      </c>
    </row>
    <row r="1699" spans="1:6" ht="30.75" thickBot="1" x14ac:dyDescent="0.3">
      <c r="A1699" s="4" t="s">
        <v>104</v>
      </c>
      <c r="B1699" s="5" t="s">
        <v>17</v>
      </c>
      <c r="C1699" s="5" t="s">
        <v>23</v>
      </c>
      <c r="D1699" s="5" t="s">
        <v>9</v>
      </c>
      <c r="E1699" s="5" t="s">
        <v>10</v>
      </c>
      <c r="F1699" s="5">
        <v>3247.07</v>
      </c>
    </row>
    <row r="1700" spans="1:6" ht="30.75" thickBot="1" x14ac:dyDescent="0.3">
      <c r="A1700" s="4" t="s">
        <v>156</v>
      </c>
      <c r="B1700" s="5" t="s">
        <v>17</v>
      </c>
      <c r="C1700" s="5" t="s">
        <v>23</v>
      </c>
      <c r="D1700" s="5" t="s">
        <v>28</v>
      </c>
      <c r="E1700" s="5" t="s">
        <v>24</v>
      </c>
      <c r="F1700" s="5">
        <v>1917.71</v>
      </c>
    </row>
    <row r="1701" spans="1:6" ht="15.75" thickBot="1" x14ac:dyDescent="0.3">
      <c r="A1701" s="4" t="s">
        <v>155</v>
      </c>
      <c r="B1701" s="5" t="s">
        <v>7</v>
      </c>
      <c r="C1701" s="5" t="s">
        <v>13</v>
      </c>
      <c r="D1701" s="5" t="s">
        <v>28</v>
      </c>
      <c r="E1701" s="5" t="s">
        <v>24</v>
      </c>
      <c r="F1701" s="5">
        <v>3841.45</v>
      </c>
    </row>
    <row r="1702" spans="1:6" ht="15.75" thickBot="1" x14ac:dyDescent="0.3">
      <c r="A1702" s="4" t="s">
        <v>121</v>
      </c>
      <c r="B1702" s="5" t="s">
        <v>30</v>
      </c>
      <c r="C1702" s="5" t="s">
        <v>34</v>
      </c>
      <c r="D1702" s="5" t="s">
        <v>28</v>
      </c>
      <c r="E1702" s="5" t="s">
        <v>10</v>
      </c>
      <c r="F1702" s="5">
        <v>4035.07</v>
      </c>
    </row>
    <row r="1703" spans="1:6" ht="15.75" thickBot="1" x14ac:dyDescent="0.3">
      <c r="A1703" s="4" t="s">
        <v>175</v>
      </c>
      <c r="B1703" s="5" t="s">
        <v>7</v>
      </c>
      <c r="C1703" s="5" t="s">
        <v>34</v>
      </c>
      <c r="D1703" s="5" t="s">
        <v>14</v>
      </c>
      <c r="E1703" s="5" t="s">
        <v>15</v>
      </c>
      <c r="F1703" s="5">
        <v>3477.6</v>
      </c>
    </row>
    <row r="1704" spans="1:6" ht="15.75" thickBot="1" x14ac:dyDescent="0.3">
      <c r="A1704" s="4" t="s">
        <v>186</v>
      </c>
      <c r="B1704" s="5" t="s">
        <v>30</v>
      </c>
      <c r="C1704" s="5" t="s">
        <v>8</v>
      </c>
      <c r="D1704" s="5" t="s">
        <v>14</v>
      </c>
      <c r="E1704" s="5" t="s">
        <v>24</v>
      </c>
      <c r="F1704" s="5">
        <v>1743.67</v>
      </c>
    </row>
    <row r="1705" spans="1:6" ht="15.75" thickBot="1" x14ac:dyDescent="0.3">
      <c r="A1705" s="4" t="s">
        <v>111</v>
      </c>
      <c r="B1705" s="5" t="s">
        <v>19</v>
      </c>
      <c r="C1705" s="5" t="s">
        <v>8</v>
      </c>
      <c r="D1705" s="5" t="s">
        <v>9</v>
      </c>
      <c r="E1705" s="5" t="s">
        <v>24</v>
      </c>
      <c r="F1705" s="5">
        <v>2351.4377829999999</v>
      </c>
    </row>
    <row r="1706" spans="1:6" ht="15.75" thickBot="1" x14ac:dyDescent="0.3">
      <c r="A1706" s="4" t="s">
        <v>211</v>
      </c>
      <c r="B1706" s="5" t="s">
        <v>7</v>
      </c>
      <c r="C1706" s="5" t="s">
        <v>8</v>
      </c>
      <c r="D1706" s="5" t="s">
        <v>14</v>
      </c>
      <c r="E1706" s="5" t="s">
        <v>10</v>
      </c>
      <c r="F1706" s="5">
        <v>4335.1400000000003</v>
      </c>
    </row>
    <row r="1707" spans="1:6" ht="30.75" thickBot="1" x14ac:dyDescent="0.3">
      <c r="A1707" s="4" t="s">
        <v>76</v>
      </c>
      <c r="B1707" s="5" t="s">
        <v>17</v>
      </c>
      <c r="C1707" s="5" t="s">
        <v>8</v>
      </c>
      <c r="D1707" s="5" t="s">
        <v>28</v>
      </c>
      <c r="E1707" s="5" t="s">
        <v>15</v>
      </c>
      <c r="F1707" s="5">
        <v>4697.66</v>
      </c>
    </row>
    <row r="1708" spans="1:6" ht="15.75" thickBot="1" x14ac:dyDescent="0.3">
      <c r="A1708" s="4" t="s">
        <v>114</v>
      </c>
      <c r="B1708" s="5" t="s">
        <v>30</v>
      </c>
      <c r="C1708" s="5" t="s">
        <v>23</v>
      </c>
      <c r="D1708" s="5" t="s">
        <v>28</v>
      </c>
      <c r="E1708" s="5" t="s">
        <v>15</v>
      </c>
      <c r="F1708" s="5">
        <v>3378.49</v>
      </c>
    </row>
    <row r="1709" spans="1:6" ht="15.75" thickBot="1" x14ac:dyDescent="0.3">
      <c r="A1709" s="4" t="s">
        <v>78</v>
      </c>
      <c r="B1709" s="5" t="s">
        <v>7</v>
      </c>
      <c r="C1709" s="5" t="s">
        <v>34</v>
      </c>
      <c r="D1709" s="5" t="s">
        <v>14</v>
      </c>
      <c r="E1709" s="5" t="s">
        <v>10</v>
      </c>
      <c r="F1709" s="5">
        <v>4068.86</v>
      </c>
    </row>
    <row r="1710" spans="1:6" ht="15.75" thickBot="1" x14ac:dyDescent="0.3">
      <c r="A1710" s="4" t="s">
        <v>44</v>
      </c>
      <c r="B1710" s="5" t="s">
        <v>19</v>
      </c>
      <c r="C1710" s="5" t="s">
        <v>34</v>
      </c>
      <c r="D1710" s="5" t="s">
        <v>9</v>
      </c>
      <c r="E1710" s="5" t="s">
        <v>10</v>
      </c>
      <c r="F1710" s="5">
        <v>4658.5376130000004</v>
      </c>
    </row>
    <row r="1711" spans="1:6" ht="30.75" thickBot="1" x14ac:dyDescent="0.3">
      <c r="A1711" s="4" t="s">
        <v>80</v>
      </c>
      <c r="B1711" s="5" t="s">
        <v>17</v>
      </c>
      <c r="C1711" s="5" t="s">
        <v>8</v>
      </c>
      <c r="D1711" s="5" t="s">
        <v>9</v>
      </c>
      <c r="E1711" s="5" t="s">
        <v>10</v>
      </c>
      <c r="F1711" s="5">
        <v>3516.4541060000001</v>
      </c>
    </row>
    <row r="1712" spans="1:6" ht="15.75" thickBot="1" x14ac:dyDescent="0.3">
      <c r="A1712" s="4" t="s">
        <v>81</v>
      </c>
      <c r="B1712" s="5" t="s">
        <v>12</v>
      </c>
      <c r="C1712" s="5" t="s">
        <v>34</v>
      </c>
      <c r="D1712" s="5" t="s">
        <v>9</v>
      </c>
      <c r="E1712" s="5" t="s">
        <v>15</v>
      </c>
      <c r="F1712" s="5">
        <v>3133.8255669999999</v>
      </c>
    </row>
    <row r="1713" spans="1:6" ht="15.75" thickBot="1" x14ac:dyDescent="0.3">
      <c r="A1713" s="4" t="s">
        <v>29</v>
      </c>
      <c r="B1713" s="5" t="s">
        <v>30</v>
      </c>
      <c r="C1713" s="5" t="s">
        <v>13</v>
      </c>
      <c r="D1713" s="5" t="s">
        <v>28</v>
      </c>
      <c r="E1713" s="5" t="s">
        <v>15</v>
      </c>
      <c r="F1713" s="5">
        <v>1951.82</v>
      </c>
    </row>
    <row r="1714" spans="1:6" ht="15.75" thickBot="1" x14ac:dyDescent="0.3">
      <c r="A1714" s="4" t="s">
        <v>123</v>
      </c>
      <c r="B1714" s="5" t="s">
        <v>30</v>
      </c>
      <c r="C1714" s="5" t="s">
        <v>34</v>
      </c>
      <c r="D1714" s="5" t="s">
        <v>9</v>
      </c>
      <c r="E1714" s="5" t="s">
        <v>10</v>
      </c>
      <c r="F1714" s="5">
        <v>2056.02</v>
      </c>
    </row>
    <row r="1715" spans="1:6" ht="15.75" thickBot="1" x14ac:dyDescent="0.3">
      <c r="A1715" s="4" t="s">
        <v>62</v>
      </c>
      <c r="B1715" s="5" t="s">
        <v>30</v>
      </c>
      <c r="C1715" s="5" t="s">
        <v>23</v>
      </c>
      <c r="D1715" s="5" t="s">
        <v>14</v>
      </c>
      <c r="E1715" s="5" t="s">
        <v>10</v>
      </c>
      <c r="F1715" s="5">
        <v>377.76</v>
      </c>
    </row>
    <row r="1716" spans="1:6" ht="15.75" thickBot="1" x14ac:dyDescent="0.3">
      <c r="A1716" s="4" t="s">
        <v>183</v>
      </c>
      <c r="B1716" s="5" t="s">
        <v>7</v>
      </c>
      <c r="C1716" s="5" t="s">
        <v>8</v>
      </c>
      <c r="D1716" s="5" t="s">
        <v>14</v>
      </c>
      <c r="E1716" s="5" t="s">
        <v>24</v>
      </c>
      <c r="F1716" s="5">
        <v>4676.8</v>
      </c>
    </row>
    <row r="1717" spans="1:6" ht="15.75" thickBot="1" x14ac:dyDescent="0.3">
      <c r="A1717" s="4" t="s">
        <v>198</v>
      </c>
      <c r="B1717" s="5" t="s">
        <v>12</v>
      </c>
      <c r="C1717" s="5" t="s">
        <v>23</v>
      </c>
      <c r="D1717" s="5" t="s">
        <v>9</v>
      </c>
      <c r="E1717" s="5" t="s">
        <v>15</v>
      </c>
      <c r="F1717" s="5">
        <v>3984.4592120000002</v>
      </c>
    </row>
    <row r="1718" spans="1:6" ht="30.75" thickBot="1" x14ac:dyDescent="0.3">
      <c r="A1718" s="4" t="s">
        <v>205</v>
      </c>
      <c r="B1718" s="5" t="s">
        <v>17</v>
      </c>
      <c r="C1718" s="5" t="s">
        <v>13</v>
      </c>
      <c r="D1718" s="5" t="s">
        <v>9</v>
      </c>
      <c r="E1718" s="5" t="s">
        <v>15</v>
      </c>
      <c r="F1718" s="5">
        <v>1346.6818989999999</v>
      </c>
    </row>
    <row r="1719" spans="1:6" ht="15.75" thickBot="1" x14ac:dyDescent="0.3">
      <c r="A1719" s="4" t="s">
        <v>126</v>
      </c>
      <c r="B1719" s="5" t="s">
        <v>30</v>
      </c>
      <c r="C1719" s="5" t="s">
        <v>13</v>
      </c>
      <c r="D1719" s="5" t="s">
        <v>9</v>
      </c>
      <c r="E1719" s="5" t="s">
        <v>24</v>
      </c>
      <c r="F1719" s="5">
        <v>4869.82</v>
      </c>
    </row>
    <row r="1720" spans="1:6" ht="15.75" thickBot="1" x14ac:dyDescent="0.3">
      <c r="A1720" s="4" t="s">
        <v>183</v>
      </c>
      <c r="B1720" s="5" t="s">
        <v>7</v>
      </c>
      <c r="C1720" s="5" t="s">
        <v>34</v>
      </c>
      <c r="D1720" s="5" t="s">
        <v>9</v>
      </c>
      <c r="E1720" s="5" t="s">
        <v>15</v>
      </c>
      <c r="F1720" s="5">
        <v>2329.0853659999998</v>
      </c>
    </row>
    <row r="1721" spans="1:6" ht="15.75" thickBot="1" x14ac:dyDescent="0.3">
      <c r="A1721" s="4" t="s">
        <v>217</v>
      </c>
      <c r="B1721" s="5" t="s">
        <v>19</v>
      </c>
      <c r="C1721" s="5" t="s">
        <v>8</v>
      </c>
      <c r="D1721" s="5" t="s">
        <v>9</v>
      </c>
      <c r="E1721" s="5" t="s">
        <v>15</v>
      </c>
      <c r="F1721" s="5">
        <v>4828.6000519999998</v>
      </c>
    </row>
    <row r="1722" spans="1:6" ht="15.75" thickBot="1" x14ac:dyDescent="0.3">
      <c r="A1722" s="4" t="s">
        <v>130</v>
      </c>
      <c r="B1722" s="5" t="s">
        <v>12</v>
      </c>
      <c r="C1722" s="5" t="s">
        <v>8</v>
      </c>
      <c r="D1722" s="5" t="s">
        <v>28</v>
      </c>
      <c r="E1722" s="5" t="s">
        <v>10</v>
      </c>
      <c r="F1722" s="5">
        <v>3423.67</v>
      </c>
    </row>
    <row r="1723" spans="1:6" ht="15.75" thickBot="1" x14ac:dyDescent="0.3">
      <c r="A1723" s="4" t="s">
        <v>198</v>
      </c>
      <c r="B1723" s="5" t="s">
        <v>12</v>
      </c>
      <c r="C1723" s="5" t="s">
        <v>34</v>
      </c>
      <c r="D1723" s="5" t="s">
        <v>14</v>
      </c>
      <c r="E1723" s="5" t="s">
        <v>10</v>
      </c>
      <c r="F1723" s="5">
        <v>2957.49</v>
      </c>
    </row>
    <row r="1724" spans="1:6" ht="15.75" thickBot="1" x14ac:dyDescent="0.3">
      <c r="A1724" s="4" t="s">
        <v>197</v>
      </c>
      <c r="B1724" s="5" t="s">
        <v>30</v>
      </c>
      <c r="C1724" s="5" t="s">
        <v>13</v>
      </c>
      <c r="D1724" s="5" t="s">
        <v>14</v>
      </c>
      <c r="E1724" s="5" t="s">
        <v>15</v>
      </c>
      <c r="F1724" s="5">
        <v>3128.34</v>
      </c>
    </row>
    <row r="1725" spans="1:6" ht="15.75" thickBot="1" x14ac:dyDescent="0.3">
      <c r="A1725" s="4" t="s">
        <v>122</v>
      </c>
      <c r="B1725" s="5" t="s">
        <v>19</v>
      </c>
      <c r="C1725" s="5" t="s">
        <v>34</v>
      </c>
      <c r="D1725" s="5" t="s">
        <v>9</v>
      </c>
      <c r="E1725" s="5" t="s">
        <v>24</v>
      </c>
      <c r="F1725" s="5">
        <v>4548.0730679999997</v>
      </c>
    </row>
    <row r="1726" spans="1:6" ht="15.75" thickBot="1" x14ac:dyDescent="0.3">
      <c r="A1726" s="4" t="s">
        <v>165</v>
      </c>
      <c r="B1726" s="5" t="s">
        <v>7</v>
      </c>
      <c r="C1726" s="5" t="s">
        <v>23</v>
      </c>
      <c r="D1726" s="5" t="s">
        <v>14</v>
      </c>
      <c r="E1726" s="5" t="s">
        <v>15</v>
      </c>
      <c r="F1726" s="5">
        <v>3929.66</v>
      </c>
    </row>
    <row r="1727" spans="1:6" ht="15.75" thickBot="1" x14ac:dyDescent="0.3">
      <c r="A1727" s="4" t="s">
        <v>123</v>
      </c>
      <c r="B1727" s="5" t="s">
        <v>30</v>
      </c>
      <c r="C1727" s="5" t="s">
        <v>13</v>
      </c>
      <c r="D1727" s="5" t="s">
        <v>9</v>
      </c>
      <c r="E1727" s="5" t="s">
        <v>10</v>
      </c>
      <c r="F1727" s="5">
        <v>3790.62</v>
      </c>
    </row>
    <row r="1728" spans="1:6" ht="30.75" thickBot="1" x14ac:dyDescent="0.3">
      <c r="A1728" s="4" t="s">
        <v>142</v>
      </c>
      <c r="B1728" s="5" t="s">
        <v>17</v>
      </c>
      <c r="C1728" s="5" t="s">
        <v>13</v>
      </c>
      <c r="D1728" s="5" t="s">
        <v>28</v>
      </c>
      <c r="E1728" s="5" t="s">
        <v>24</v>
      </c>
      <c r="F1728" s="5">
        <v>4480.07</v>
      </c>
    </row>
    <row r="1729" spans="1:6" ht="15.75" thickBot="1" x14ac:dyDescent="0.3">
      <c r="A1729" s="4" t="s">
        <v>62</v>
      </c>
      <c r="B1729" s="5" t="s">
        <v>30</v>
      </c>
      <c r="C1729" s="5" t="s">
        <v>23</v>
      </c>
      <c r="D1729" s="5" t="s">
        <v>28</v>
      </c>
      <c r="E1729" s="5" t="s">
        <v>10</v>
      </c>
      <c r="F1729" s="5">
        <v>4123.79</v>
      </c>
    </row>
    <row r="1730" spans="1:6" ht="15.75" thickBot="1" x14ac:dyDescent="0.3">
      <c r="A1730" s="4" t="s">
        <v>90</v>
      </c>
      <c r="B1730" s="5" t="s">
        <v>19</v>
      </c>
      <c r="C1730" s="5" t="s">
        <v>13</v>
      </c>
      <c r="D1730" s="5" t="s">
        <v>14</v>
      </c>
      <c r="E1730" s="5" t="s">
        <v>10</v>
      </c>
      <c r="F1730" s="5">
        <v>100.8</v>
      </c>
    </row>
    <row r="1731" spans="1:6" ht="15.75" thickBot="1" x14ac:dyDescent="0.3">
      <c r="A1731" s="4" t="s">
        <v>100</v>
      </c>
      <c r="B1731" s="5" t="s">
        <v>7</v>
      </c>
      <c r="C1731" s="5" t="s">
        <v>23</v>
      </c>
      <c r="D1731" s="5" t="s">
        <v>28</v>
      </c>
      <c r="E1731" s="5" t="s">
        <v>10</v>
      </c>
      <c r="F1731" s="5">
        <v>4783.3999999999996</v>
      </c>
    </row>
    <row r="1732" spans="1:6" ht="30.75" thickBot="1" x14ac:dyDescent="0.3">
      <c r="A1732" s="4" t="s">
        <v>131</v>
      </c>
      <c r="B1732" s="5" t="s">
        <v>17</v>
      </c>
      <c r="C1732" s="5" t="s">
        <v>23</v>
      </c>
      <c r="D1732" s="5" t="s">
        <v>9</v>
      </c>
      <c r="E1732" s="5" t="s">
        <v>10</v>
      </c>
      <c r="F1732" s="5">
        <v>2568.5214700000001</v>
      </c>
    </row>
    <row r="1733" spans="1:6" ht="15.75" thickBot="1" x14ac:dyDescent="0.3">
      <c r="A1733" s="4" t="s">
        <v>49</v>
      </c>
      <c r="B1733" s="5" t="s">
        <v>19</v>
      </c>
      <c r="C1733" s="5" t="s">
        <v>13</v>
      </c>
      <c r="D1733" s="5" t="s">
        <v>28</v>
      </c>
      <c r="E1733" s="5" t="s">
        <v>15</v>
      </c>
      <c r="F1733" s="5">
        <v>246.64</v>
      </c>
    </row>
    <row r="1734" spans="1:6" ht="15.75" thickBot="1" x14ac:dyDescent="0.3">
      <c r="A1734" s="4" t="s">
        <v>71</v>
      </c>
      <c r="B1734" s="5" t="s">
        <v>7</v>
      </c>
      <c r="C1734" s="5" t="s">
        <v>8</v>
      </c>
      <c r="D1734" s="5" t="s">
        <v>14</v>
      </c>
      <c r="E1734" s="5" t="s">
        <v>15</v>
      </c>
      <c r="F1734" s="5">
        <v>498.61</v>
      </c>
    </row>
    <row r="1735" spans="1:6" ht="15.75" thickBot="1" x14ac:dyDescent="0.3">
      <c r="A1735" s="4" t="s">
        <v>139</v>
      </c>
      <c r="B1735" s="5" t="s">
        <v>7</v>
      </c>
      <c r="C1735" s="5" t="s">
        <v>8</v>
      </c>
      <c r="D1735" s="5" t="s">
        <v>14</v>
      </c>
      <c r="E1735" s="5" t="s">
        <v>10</v>
      </c>
      <c r="F1735" s="5">
        <v>3705.73</v>
      </c>
    </row>
    <row r="1736" spans="1:6" ht="15.75" thickBot="1" x14ac:dyDescent="0.3">
      <c r="A1736" s="4" t="s">
        <v>170</v>
      </c>
      <c r="B1736" s="5" t="s">
        <v>12</v>
      </c>
      <c r="C1736" s="5" t="s">
        <v>23</v>
      </c>
      <c r="D1736" s="5" t="s">
        <v>28</v>
      </c>
      <c r="E1736" s="5" t="s">
        <v>24</v>
      </c>
      <c r="F1736" s="5">
        <v>470.38</v>
      </c>
    </row>
    <row r="1737" spans="1:6" ht="15.75" thickBot="1" x14ac:dyDescent="0.3">
      <c r="A1737" s="4" t="s">
        <v>157</v>
      </c>
      <c r="B1737" s="5" t="s">
        <v>30</v>
      </c>
      <c r="C1737" s="5" t="s">
        <v>23</v>
      </c>
      <c r="D1737" s="5" t="s">
        <v>28</v>
      </c>
      <c r="E1737" s="5" t="s">
        <v>10</v>
      </c>
      <c r="F1737" s="5">
        <v>2355.87</v>
      </c>
    </row>
    <row r="1738" spans="1:6" ht="15.75" thickBot="1" x14ac:dyDescent="0.3">
      <c r="A1738" s="4" t="s">
        <v>179</v>
      </c>
      <c r="B1738" s="5" t="s">
        <v>7</v>
      </c>
      <c r="C1738" s="5" t="s">
        <v>13</v>
      </c>
      <c r="D1738" s="5" t="s">
        <v>14</v>
      </c>
      <c r="E1738" s="5" t="s">
        <v>10</v>
      </c>
      <c r="F1738" s="5">
        <v>484.51</v>
      </c>
    </row>
    <row r="1739" spans="1:6" ht="15.75" thickBot="1" x14ac:dyDescent="0.3">
      <c r="A1739" s="4" t="s">
        <v>18</v>
      </c>
      <c r="B1739" s="5" t="s">
        <v>19</v>
      </c>
      <c r="C1739" s="5" t="s">
        <v>23</v>
      </c>
      <c r="D1739" s="5" t="s">
        <v>14</v>
      </c>
      <c r="E1739" s="5" t="s">
        <v>15</v>
      </c>
      <c r="F1739" s="5">
        <v>3299.33</v>
      </c>
    </row>
    <row r="1740" spans="1:6" ht="15.75" thickBot="1" x14ac:dyDescent="0.3">
      <c r="A1740" s="4" t="s">
        <v>110</v>
      </c>
      <c r="B1740" s="5" t="s">
        <v>12</v>
      </c>
      <c r="C1740" s="5" t="s">
        <v>34</v>
      </c>
      <c r="D1740" s="5" t="s">
        <v>28</v>
      </c>
      <c r="E1740" s="5" t="s">
        <v>10</v>
      </c>
      <c r="F1740" s="5">
        <v>3312.29</v>
      </c>
    </row>
    <row r="1741" spans="1:6" ht="15.75" thickBot="1" x14ac:dyDescent="0.3">
      <c r="A1741" s="4" t="s">
        <v>93</v>
      </c>
      <c r="B1741" s="5" t="s">
        <v>30</v>
      </c>
      <c r="C1741" s="5" t="s">
        <v>8</v>
      </c>
      <c r="D1741" s="5" t="s">
        <v>28</v>
      </c>
      <c r="E1741" s="5" t="s">
        <v>15</v>
      </c>
      <c r="F1741" s="5">
        <v>2017.59</v>
      </c>
    </row>
    <row r="1742" spans="1:6" ht="15.75" thickBot="1" x14ac:dyDescent="0.3">
      <c r="A1742" s="4" t="s">
        <v>95</v>
      </c>
      <c r="B1742" s="5" t="s">
        <v>30</v>
      </c>
      <c r="C1742" s="5" t="s">
        <v>34</v>
      </c>
      <c r="D1742" s="5" t="s">
        <v>9</v>
      </c>
      <c r="E1742" s="5" t="s">
        <v>10</v>
      </c>
      <c r="F1742" s="5">
        <v>3564.2129300000001</v>
      </c>
    </row>
    <row r="1743" spans="1:6" ht="15.75" thickBot="1" x14ac:dyDescent="0.3">
      <c r="A1743" s="4" t="s">
        <v>122</v>
      </c>
      <c r="B1743" s="5" t="s">
        <v>19</v>
      </c>
      <c r="C1743" s="5" t="s">
        <v>13</v>
      </c>
      <c r="D1743" s="5" t="s">
        <v>9</v>
      </c>
      <c r="E1743" s="5" t="s">
        <v>24</v>
      </c>
      <c r="F1743" s="5">
        <v>4913.537131</v>
      </c>
    </row>
    <row r="1744" spans="1:6" ht="15.75" thickBot="1" x14ac:dyDescent="0.3">
      <c r="A1744" s="4" t="s">
        <v>184</v>
      </c>
      <c r="B1744" s="5" t="s">
        <v>30</v>
      </c>
      <c r="C1744" s="5" t="s">
        <v>34</v>
      </c>
      <c r="D1744" s="5" t="s">
        <v>9</v>
      </c>
      <c r="E1744" s="5" t="s">
        <v>10</v>
      </c>
      <c r="F1744" s="5">
        <v>1184.85844</v>
      </c>
    </row>
    <row r="1745" spans="1:6" ht="15.75" thickBot="1" x14ac:dyDescent="0.3">
      <c r="A1745" s="4" t="s">
        <v>6</v>
      </c>
      <c r="B1745" s="5" t="s">
        <v>7</v>
      </c>
      <c r="C1745" s="5" t="s">
        <v>34</v>
      </c>
      <c r="D1745" s="5" t="s">
        <v>14</v>
      </c>
      <c r="E1745" s="5" t="s">
        <v>24</v>
      </c>
      <c r="F1745" s="5">
        <v>3845.16</v>
      </c>
    </row>
    <row r="1746" spans="1:6" ht="15.75" thickBot="1" x14ac:dyDescent="0.3">
      <c r="A1746" s="4" t="s">
        <v>55</v>
      </c>
      <c r="B1746" s="5" t="s">
        <v>12</v>
      </c>
      <c r="C1746" s="5" t="s">
        <v>34</v>
      </c>
      <c r="D1746" s="5" t="s">
        <v>28</v>
      </c>
      <c r="E1746" s="5" t="s">
        <v>10</v>
      </c>
      <c r="F1746" s="5">
        <v>2288.2800000000002</v>
      </c>
    </row>
    <row r="1747" spans="1:6" ht="15.75" thickBot="1" x14ac:dyDescent="0.3">
      <c r="A1747" s="4" t="s">
        <v>57</v>
      </c>
      <c r="B1747" s="5" t="s">
        <v>19</v>
      </c>
      <c r="C1747" s="5" t="s">
        <v>34</v>
      </c>
      <c r="D1747" s="5" t="s">
        <v>28</v>
      </c>
      <c r="E1747" s="5" t="s">
        <v>15</v>
      </c>
      <c r="F1747" s="5">
        <v>751.28</v>
      </c>
    </row>
    <row r="1748" spans="1:6" ht="30.75" thickBot="1" x14ac:dyDescent="0.3">
      <c r="A1748" s="4" t="s">
        <v>133</v>
      </c>
      <c r="B1748" s="5" t="s">
        <v>17</v>
      </c>
      <c r="C1748" s="5" t="s">
        <v>34</v>
      </c>
      <c r="D1748" s="5" t="s">
        <v>28</v>
      </c>
      <c r="E1748" s="5" t="s">
        <v>24</v>
      </c>
      <c r="F1748" s="5">
        <v>2159.65</v>
      </c>
    </row>
    <row r="1749" spans="1:6" ht="15.75" thickBot="1" x14ac:dyDescent="0.3">
      <c r="A1749" s="4" t="s">
        <v>115</v>
      </c>
      <c r="B1749" s="5" t="s">
        <v>19</v>
      </c>
      <c r="C1749" s="5" t="s">
        <v>34</v>
      </c>
      <c r="D1749" s="5" t="s">
        <v>28</v>
      </c>
      <c r="E1749" s="5" t="s">
        <v>15</v>
      </c>
      <c r="F1749" s="5">
        <v>3251.65</v>
      </c>
    </row>
    <row r="1750" spans="1:6" ht="30.75" thickBot="1" x14ac:dyDescent="0.3">
      <c r="A1750" s="4" t="s">
        <v>140</v>
      </c>
      <c r="B1750" s="5" t="s">
        <v>17</v>
      </c>
      <c r="C1750" s="5" t="s">
        <v>23</v>
      </c>
      <c r="D1750" s="5" t="s">
        <v>9</v>
      </c>
      <c r="E1750" s="5" t="s">
        <v>24</v>
      </c>
      <c r="F1750" s="5">
        <v>4889.7534070000002</v>
      </c>
    </row>
    <row r="1751" spans="1:6" ht="15.75" thickBot="1" x14ac:dyDescent="0.3">
      <c r="A1751" s="4" t="s">
        <v>174</v>
      </c>
      <c r="B1751" s="5" t="s">
        <v>19</v>
      </c>
      <c r="C1751" s="5" t="s">
        <v>23</v>
      </c>
      <c r="D1751" s="5" t="s">
        <v>28</v>
      </c>
      <c r="E1751" s="5" t="s">
        <v>10</v>
      </c>
      <c r="F1751" s="5">
        <v>608.37</v>
      </c>
    </row>
    <row r="1752" spans="1:6" ht="15.75" thickBot="1" x14ac:dyDescent="0.3">
      <c r="A1752" s="4" t="s">
        <v>55</v>
      </c>
      <c r="B1752" s="5" t="s">
        <v>12</v>
      </c>
      <c r="C1752" s="5" t="s">
        <v>13</v>
      </c>
      <c r="D1752" s="5" t="s">
        <v>9</v>
      </c>
      <c r="E1752" s="5" t="s">
        <v>10</v>
      </c>
      <c r="F1752" s="5">
        <v>3246.9869779999999</v>
      </c>
    </row>
    <row r="1753" spans="1:6" ht="30.75" thickBot="1" x14ac:dyDescent="0.3">
      <c r="A1753" s="4" t="s">
        <v>37</v>
      </c>
      <c r="B1753" s="5" t="s">
        <v>17</v>
      </c>
      <c r="C1753" s="5" t="s">
        <v>34</v>
      </c>
      <c r="D1753" s="5" t="s">
        <v>14</v>
      </c>
      <c r="E1753" s="5" t="s">
        <v>10</v>
      </c>
      <c r="F1753" s="5">
        <v>4214.38</v>
      </c>
    </row>
    <row r="1754" spans="1:6" ht="15.75" thickBot="1" x14ac:dyDescent="0.3">
      <c r="A1754" s="4" t="s">
        <v>27</v>
      </c>
      <c r="B1754" s="5" t="s">
        <v>12</v>
      </c>
      <c r="C1754" s="5" t="s">
        <v>13</v>
      </c>
      <c r="D1754" s="5" t="s">
        <v>28</v>
      </c>
      <c r="E1754" s="5" t="s">
        <v>10</v>
      </c>
      <c r="F1754" s="5">
        <v>2178.11</v>
      </c>
    </row>
    <row r="1755" spans="1:6" ht="30.75" thickBot="1" x14ac:dyDescent="0.3">
      <c r="A1755" s="4" t="s">
        <v>58</v>
      </c>
      <c r="B1755" s="5" t="s">
        <v>17</v>
      </c>
      <c r="C1755" s="5" t="s">
        <v>23</v>
      </c>
      <c r="D1755" s="5" t="s">
        <v>28</v>
      </c>
      <c r="E1755" s="5" t="s">
        <v>10</v>
      </c>
      <c r="F1755" s="5">
        <v>4250.24</v>
      </c>
    </row>
    <row r="1756" spans="1:6" ht="15.75" thickBot="1" x14ac:dyDescent="0.3">
      <c r="A1756" s="4" t="s">
        <v>157</v>
      </c>
      <c r="B1756" s="5" t="s">
        <v>30</v>
      </c>
      <c r="C1756" s="5" t="s">
        <v>34</v>
      </c>
      <c r="D1756" s="5" t="s">
        <v>14</v>
      </c>
      <c r="E1756" s="5" t="s">
        <v>10</v>
      </c>
      <c r="F1756" s="5">
        <v>1294.92</v>
      </c>
    </row>
    <row r="1757" spans="1:6" ht="30.75" thickBot="1" x14ac:dyDescent="0.3">
      <c r="A1757" s="4" t="s">
        <v>140</v>
      </c>
      <c r="B1757" s="5" t="s">
        <v>17</v>
      </c>
      <c r="C1757" s="5" t="s">
        <v>13</v>
      </c>
      <c r="D1757" s="5" t="s">
        <v>14</v>
      </c>
      <c r="E1757" s="5" t="s">
        <v>24</v>
      </c>
      <c r="F1757" s="5">
        <v>498.85</v>
      </c>
    </row>
    <row r="1758" spans="1:6" ht="15.75" thickBot="1" x14ac:dyDescent="0.3">
      <c r="A1758" s="4" t="s">
        <v>63</v>
      </c>
      <c r="B1758" s="5" t="s">
        <v>12</v>
      </c>
      <c r="C1758" s="5" t="s">
        <v>23</v>
      </c>
      <c r="D1758" s="5" t="s">
        <v>28</v>
      </c>
      <c r="E1758" s="5" t="s">
        <v>15</v>
      </c>
      <c r="F1758" s="5">
        <v>4605.3599999999997</v>
      </c>
    </row>
    <row r="1759" spans="1:6" ht="30.75" thickBot="1" x14ac:dyDescent="0.3">
      <c r="A1759" s="4" t="s">
        <v>142</v>
      </c>
      <c r="B1759" s="5" t="s">
        <v>17</v>
      </c>
      <c r="C1759" s="5" t="s">
        <v>23</v>
      </c>
      <c r="D1759" s="5" t="s">
        <v>14</v>
      </c>
      <c r="E1759" s="5" t="s">
        <v>24</v>
      </c>
      <c r="F1759" s="5">
        <v>4590.9799999999996</v>
      </c>
    </row>
    <row r="1760" spans="1:6" ht="15.75" thickBot="1" x14ac:dyDescent="0.3">
      <c r="A1760" s="4" t="s">
        <v>170</v>
      </c>
      <c r="B1760" s="5" t="s">
        <v>12</v>
      </c>
      <c r="C1760" s="5" t="s">
        <v>13</v>
      </c>
      <c r="D1760" s="5" t="s">
        <v>28</v>
      </c>
      <c r="E1760" s="5" t="s">
        <v>15</v>
      </c>
      <c r="F1760" s="5">
        <v>2454.27</v>
      </c>
    </row>
    <row r="1761" spans="1:6" ht="15.75" thickBot="1" x14ac:dyDescent="0.3">
      <c r="A1761" s="4" t="s">
        <v>99</v>
      </c>
      <c r="B1761" s="5" t="s">
        <v>19</v>
      </c>
      <c r="C1761" s="5" t="s">
        <v>13</v>
      </c>
      <c r="D1761" s="5" t="s">
        <v>9</v>
      </c>
      <c r="E1761" s="5" t="s">
        <v>24</v>
      </c>
      <c r="F1761" s="5">
        <v>2083</v>
      </c>
    </row>
    <row r="1762" spans="1:6" ht="15.75" thickBot="1" x14ac:dyDescent="0.3">
      <c r="A1762" s="4" t="s">
        <v>185</v>
      </c>
      <c r="B1762" s="5" t="s">
        <v>30</v>
      </c>
      <c r="C1762" s="5" t="s">
        <v>8</v>
      </c>
      <c r="D1762" s="5" t="s">
        <v>9</v>
      </c>
      <c r="E1762" s="5" t="s">
        <v>24</v>
      </c>
      <c r="F1762" s="5">
        <v>3207.76</v>
      </c>
    </row>
    <row r="1763" spans="1:6" ht="30.75" thickBot="1" x14ac:dyDescent="0.3">
      <c r="A1763" s="4" t="s">
        <v>168</v>
      </c>
      <c r="B1763" s="5" t="s">
        <v>17</v>
      </c>
      <c r="C1763" s="5" t="s">
        <v>8</v>
      </c>
      <c r="D1763" s="5" t="s">
        <v>9</v>
      </c>
      <c r="E1763" s="5" t="s">
        <v>10</v>
      </c>
      <c r="F1763" s="5">
        <v>4200.4249920000002</v>
      </c>
    </row>
    <row r="1764" spans="1:6" ht="15.75" thickBot="1" x14ac:dyDescent="0.3">
      <c r="A1764" s="4" t="s">
        <v>68</v>
      </c>
      <c r="B1764" s="5" t="s">
        <v>12</v>
      </c>
      <c r="C1764" s="5" t="s">
        <v>23</v>
      </c>
      <c r="D1764" s="5" t="s">
        <v>9</v>
      </c>
      <c r="E1764" s="5" t="s">
        <v>10</v>
      </c>
      <c r="F1764" s="5">
        <v>4705.2145979999996</v>
      </c>
    </row>
    <row r="1765" spans="1:6" ht="15.75" thickBot="1" x14ac:dyDescent="0.3">
      <c r="A1765" s="4" t="s">
        <v>35</v>
      </c>
      <c r="B1765" s="5" t="s">
        <v>19</v>
      </c>
      <c r="C1765" s="5" t="s">
        <v>13</v>
      </c>
      <c r="D1765" s="5" t="s">
        <v>14</v>
      </c>
      <c r="E1765" s="5" t="s">
        <v>24</v>
      </c>
      <c r="F1765" s="5">
        <v>171.51</v>
      </c>
    </row>
    <row r="1766" spans="1:6" ht="15.75" thickBot="1" x14ac:dyDescent="0.3">
      <c r="A1766" s="4" t="s">
        <v>170</v>
      </c>
      <c r="B1766" s="5" t="s">
        <v>12</v>
      </c>
      <c r="C1766" s="5" t="s">
        <v>34</v>
      </c>
      <c r="D1766" s="5" t="s">
        <v>9</v>
      </c>
      <c r="E1766" s="5" t="s">
        <v>24</v>
      </c>
      <c r="F1766" s="5">
        <v>2210.630854</v>
      </c>
    </row>
    <row r="1767" spans="1:6" ht="15.75" thickBot="1" x14ac:dyDescent="0.3">
      <c r="A1767" s="4" t="s">
        <v>11</v>
      </c>
      <c r="B1767" s="5" t="s">
        <v>12</v>
      </c>
      <c r="C1767" s="5" t="s">
        <v>23</v>
      </c>
      <c r="D1767" s="5" t="s">
        <v>9</v>
      </c>
      <c r="E1767" s="5" t="s">
        <v>24</v>
      </c>
      <c r="F1767" s="5">
        <v>4978.9324690000003</v>
      </c>
    </row>
    <row r="1768" spans="1:6" ht="15.75" thickBot="1" x14ac:dyDescent="0.3">
      <c r="A1768" s="4" t="s">
        <v>117</v>
      </c>
      <c r="B1768" s="5" t="s">
        <v>7</v>
      </c>
      <c r="C1768" s="5" t="s">
        <v>8</v>
      </c>
      <c r="D1768" s="5" t="s">
        <v>28</v>
      </c>
      <c r="E1768" s="5" t="s">
        <v>15</v>
      </c>
      <c r="F1768" s="5">
        <v>3657.98</v>
      </c>
    </row>
    <row r="1769" spans="1:6" ht="30.75" thickBot="1" x14ac:dyDescent="0.3">
      <c r="A1769" s="4" t="s">
        <v>20</v>
      </c>
      <c r="B1769" s="5" t="s">
        <v>17</v>
      </c>
      <c r="C1769" s="5" t="s">
        <v>23</v>
      </c>
      <c r="D1769" s="5" t="s">
        <v>28</v>
      </c>
      <c r="E1769" s="5" t="s">
        <v>24</v>
      </c>
      <c r="F1769" s="5">
        <v>1516.4</v>
      </c>
    </row>
    <row r="1770" spans="1:6" ht="15.75" thickBot="1" x14ac:dyDescent="0.3">
      <c r="A1770" s="4" t="s">
        <v>49</v>
      </c>
      <c r="B1770" s="5" t="s">
        <v>19</v>
      </c>
      <c r="C1770" s="5" t="s">
        <v>23</v>
      </c>
      <c r="D1770" s="5" t="s">
        <v>28</v>
      </c>
      <c r="E1770" s="5" t="s">
        <v>10</v>
      </c>
      <c r="F1770" s="5">
        <v>1707.15</v>
      </c>
    </row>
    <row r="1771" spans="1:6" ht="15.75" thickBot="1" x14ac:dyDescent="0.3">
      <c r="A1771" s="4" t="s">
        <v>98</v>
      </c>
      <c r="B1771" s="5" t="s">
        <v>19</v>
      </c>
      <c r="C1771" s="5" t="s">
        <v>34</v>
      </c>
      <c r="D1771" s="5" t="s">
        <v>14</v>
      </c>
      <c r="E1771" s="5" t="s">
        <v>24</v>
      </c>
      <c r="F1771" s="5">
        <v>526.19000000000005</v>
      </c>
    </row>
    <row r="1772" spans="1:6" ht="30.75" thickBot="1" x14ac:dyDescent="0.3">
      <c r="A1772" s="4" t="s">
        <v>218</v>
      </c>
      <c r="B1772" s="5" t="s">
        <v>17</v>
      </c>
      <c r="C1772" s="5" t="s">
        <v>8</v>
      </c>
      <c r="D1772" s="5" t="s">
        <v>9</v>
      </c>
      <c r="E1772" s="5" t="s">
        <v>24</v>
      </c>
      <c r="F1772" s="5">
        <v>5253.4060950000003</v>
      </c>
    </row>
    <row r="1773" spans="1:6" ht="15.75" thickBot="1" x14ac:dyDescent="0.3">
      <c r="A1773" s="4" t="s">
        <v>123</v>
      </c>
      <c r="B1773" s="5" t="s">
        <v>30</v>
      </c>
      <c r="C1773" s="5" t="s">
        <v>8</v>
      </c>
      <c r="D1773" s="5" t="s">
        <v>9</v>
      </c>
      <c r="E1773" s="5" t="s">
        <v>15</v>
      </c>
      <c r="F1773" s="5">
        <v>3617.9</v>
      </c>
    </row>
    <row r="1774" spans="1:6" ht="15.75" thickBot="1" x14ac:dyDescent="0.3">
      <c r="A1774" s="4" t="s">
        <v>175</v>
      </c>
      <c r="B1774" s="5" t="s">
        <v>7</v>
      </c>
      <c r="C1774" s="5" t="s">
        <v>13</v>
      </c>
      <c r="D1774" s="5" t="s">
        <v>28</v>
      </c>
      <c r="E1774" s="5" t="s">
        <v>10</v>
      </c>
      <c r="F1774" s="5">
        <v>698.65</v>
      </c>
    </row>
    <row r="1775" spans="1:6" ht="15.75" thickBot="1" x14ac:dyDescent="0.3">
      <c r="A1775" s="4" t="s">
        <v>11</v>
      </c>
      <c r="B1775" s="5" t="s">
        <v>12</v>
      </c>
      <c r="C1775" s="5" t="s">
        <v>23</v>
      </c>
      <c r="D1775" s="5" t="s">
        <v>9</v>
      </c>
      <c r="E1775" s="5" t="s">
        <v>24</v>
      </c>
      <c r="F1775" s="5">
        <v>4671.9711859999998</v>
      </c>
    </row>
    <row r="1776" spans="1:6" ht="15.75" thickBot="1" x14ac:dyDescent="0.3">
      <c r="A1776" s="4" t="s">
        <v>173</v>
      </c>
      <c r="B1776" s="5" t="s">
        <v>30</v>
      </c>
      <c r="C1776" s="5" t="s">
        <v>23</v>
      </c>
      <c r="D1776" s="5" t="s">
        <v>14</v>
      </c>
      <c r="E1776" s="5" t="s">
        <v>15</v>
      </c>
      <c r="F1776" s="5">
        <v>4339.82</v>
      </c>
    </row>
    <row r="1777" spans="1:6" ht="15.75" thickBot="1" x14ac:dyDescent="0.3">
      <c r="A1777" s="4" t="s">
        <v>99</v>
      </c>
      <c r="B1777" s="5" t="s">
        <v>19</v>
      </c>
      <c r="C1777" s="5" t="s">
        <v>13</v>
      </c>
      <c r="D1777" s="5" t="s">
        <v>9</v>
      </c>
      <c r="E1777" s="5" t="s">
        <v>24</v>
      </c>
      <c r="F1777" s="5">
        <v>132.41999999999999</v>
      </c>
    </row>
    <row r="1778" spans="1:6" ht="15.75" thickBot="1" x14ac:dyDescent="0.3">
      <c r="A1778" s="4" t="s">
        <v>33</v>
      </c>
      <c r="B1778" s="5" t="s">
        <v>19</v>
      </c>
      <c r="C1778" s="5" t="s">
        <v>34</v>
      </c>
      <c r="D1778" s="5" t="s">
        <v>14</v>
      </c>
      <c r="E1778" s="5" t="s">
        <v>10</v>
      </c>
      <c r="F1778" s="5">
        <v>1388.99</v>
      </c>
    </row>
    <row r="1779" spans="1:6" ht="15.75" thickBot="1" x14ac:dyDescent="0.3">
      <c r="A1779" s="4" t="s">
        <v>163</v>
      </c>
      <c r="B1779" s="5" t="s">
        <v>19</v>
      </c>
      <c r="C1779" s="5" t="s">
        <v>23</v>
      </c>
      <c r="D1779" s="5" t="s">
        <v>14</v>
      </c>
      <c r="E1779" s="5" t="s">
        <v>10</v>
      </c>
      <c r="F1779" s="5">
        <v>3966.31</v>
      </c>
    </row>
    <row r="1780" spans="1:6" ht="30.75" thickBot="1" x14ac:dyDescent="0.3">
      <c r="A1780" s="4" t="s">
        <v>79</v>
      </c>
      <c r="B1780" s="5" t="s">
        <v>17</v>
      </c>
      <c r="C1780" s="5" t="s">
        <v>13</v>
      </c>
      <c r="D1780" s="5" t="s">
        <v>28</v>
      </c>
      <c r="E1780" s="5" t="s">
        <v>15</v>
      </c>
      <c r="F1780" s="5">
        <v>2647.7</v>
      </c>
    </row>
    <row r="1781" spans="1:6" ht="15.75" thickBot="1" x14ac:dyDescent="0.3">
      <c r="A1781" s="4" t="s">
        <v>175</v>
      </c>
      <c r="B1781" s="5" t="s">
        <v>7</v>
      </c>
      <c r="C1781" s="5" t="s">
        <v>13</v>
      </c>
      <c r="D1781" s="5" t="s">
        <v>28</v>
      </c>
      <c r="E1781" s="5" t="s">
        <v>24</v>
      </c>
      <c r="F1781" s="5">
        <v>3541.47</v>
      </c>
    </row>
    <row r="1782" spans="1:6" ht="15.75" thickBot="1" x14ac:dyDescent="0.3">
      <c r="A1782" s="4" t="s">
        <v>40</v>
      </c>
      <c r="B1782" s="5" t="s">
        <v>19</v>
      </c>
      <c r="C1782" s="5" t="s">
        <v>23</v>
      </c>
      <c r="D1782" s="5" t="s">
        <v>28</v>
      </c>
      <c r="E1782" s="5" t="s">
        <v>10</v>
      </c>
      <c r="F1782" s="5">
        <v>2083.98</v>
      </c>
    </row>
    <row r="1783" spans="1:6" ht="15.75" thickBot="1" x14ac:dyDescent="0.3">
      <c r="A1783" s="4" t="s">
        <v>102</v>
      </c>
      <c r="B1783" s="5" t="s">
        <v>19</v>
      </c>
      <c r="C1783" s="5" t="s">
        <v>23</v>
      </c>
      <c r="D1783" s="5" t="s">
        <v>9</v>
      </c>
      <c r="E1783" s="5" t="s">
        <v>15</v>
      </c>
      <c r="F1783" s="5">
        <v>3597.2222860000002</v>
      </c>
    </row>
    <row r="1784" spans="1:6" ht="15.75" thickBot="1" x14ac:dyDescent="0.3">
      <c r="A1784" s="4" t="s">
        <v>188</v>
      </c>
      <c r="B1784" s="5" t="s">
        <v>19</v>
      </c>
      <c r="C1784" s="5" t="s">
        <v>8</v>
      </c>
      <c r="D1784" s="5" t="s">
        <v>28</v>
      </c>
      <c r="E1784" s="5" t="s">
        <v>24</v>
      </c>
      <c r="F1784" s="5">
        <v>3828.14</v>
      </c>
    </row>
    <row r="1785" spans="1:6" ht="15.75" thickBot="1" x14ac:dyDescent="0.3">
      <c r="A1785" s="4" t="s">
        <v>72</v>
      </c>
      <c r="B1785" s="5" t="s">
        <v>19</v>
      </c>
      <c r="C1785" s="5" t="s">
        <v>23</v>
      </c>
      <c r="D1785" s="5" t="s">
        <v>9</v>
      </c>
      <c r="E1785" s="5" t="s">
        <v>10</v>
      </c>
      <c r="F1785" s="5">
        <v>3705.619533</v>
      </c>
    </row>
    <row r="1786" spans="1:6" ht="15.75" thickBot="1" x14ac:dyDescent="0.3">
      <c r="A1786" s="4" t="s">
        <v>167</v>
      </c>
      <c r="B1786" s="5" t="s">
        <v>30</v>
      </c>
      <c r="C1786" s="5" t="s">
        <v>8</v>
      </c>
      <c r="D1786" s="5" t="s">
        <v>9</v>
      </c>
      <c r="E1786" s="5" t="s">
        <v>15</v>
      </c>
      <c r="F1786" s="5">
        <v>2912.2502679999998</v>
      </c>
    </row>
    <row r="1787" spans="1:6" ht="15.75" thickBot="1" x14ac:dyDescent="0.3">
      <c r="A1787" s="4" t="s">
        <v>52</v>
      </c>
      <c r="B1787" s="5" t="s">
        <v>19</v>
      </c>
      <c r="C1787" s="5" t="s">
        <v>34</v>
      </c>
      <c r="D1787" s="5" t="s">
        <v>28</v>
      </c>
      <c r="E1787" s="5" t="s">
        <v>24</v>
      </c>
      <c r="F1787" s="5">
        <v>1004.91</v>
      </c>
    </row>
    <row r="1788" spans="1:6" ht="15.75" thickBot="1" x14ac:dyDescent="0.3">
      <c r="A1788" s="4" t="s">
        <v>100</v>
      </c>
      <c r="B1788" s="5" t="s">
        <v>7</v>
      </c>
      <c r="C1788" s="5" t="s">
        <v>34</v>
      </c>
      <c r="D1788" s="5" t="s">
        <v>14</v>
      </c>
      <c r="E1788" s="5" t="s">
        <v>10</v>
      </c>
      <c r="F1788" s="5">
        <v>4429.63</v>
      </c>
    </row>
    <row r="1789" spans="1:6" ht="15.75" thickBot="1" x14ac:dyDescent="0.3">
      <c r="A1789" s="4" t="s">
        <v>108</v>
      </c>
      <c r="B1789" s="5" t="s">
        <v>7</v>
      </c>
      <c r="C1789" s="5" t="s">
        <v>13</v>
      </c>
      <c r="D1789" s="5" t="s">
        <v>9</v>
      </c>
      <c r="E1789" s="5" t="s">
        <v>10</v>
      </c>
      <c r="F1789" s="5">
        <v>4951.923847</v>
      </c>
    </row>
    <row r="1790" spans="1:6" ht="30.75" thickBot="1" x14ac:dyDescent="0.3">
      <c r="A1790" s="4" t="s">
        <v>16</v>
      </c>
      <c r="B1790" s="5" t="s">
        <v>17</v>
      </c>
      <c r="C1790" s="5" t="s">
        <v>8</v>
      </c>
      <c r="D1790" s="5" t="s">
        <v>9</v>
      </c>
      <c r="E1790" s="5" t="s">
        <v>24</v>
      </c>
      <c r="F1790" s="5">
        <v>2036.074695</v>
      </c>
    </row>
    <row r="1791" spans="1:6" ht="15.75" thickBot="1" x14ac:dyDescent="0.3">
      <c r="A1791" s="4" t="s">
        <v>161</v>
      </c>
      <c r="B1791" s="5" t="s">
        <v>7</v>
      </c>
      <c r="C1791" s="5" t="s">
        <v>8</v>
      </c>
      <c r="D1791" s="5" t="s">
        <v>28</v>
      </c>
      <c r="E1791" s="5" t="s">
        <v>10</v>
      </c>
      <c r="F1791" s="5">
        <v>4936.1400000000003</v>
      </c>
    </row>
    <row r="1792" spans="1:6" ht="15.75" thickBot="1" x14ac:dyDescent="0.3">
      <c r="A1792" s="4" t="s">
        <v>6</v>
      </c>
      <c r="B1792" s="5" t="s">
        <v>7</v>
      </c>
      <c r="C1792" s="5" t="s">
        <v>34</v>
      </c>
      <c r="D1792" s="5" t="s">
        <v>28</v>
      </c>
      <c r="E1792" s="5" t="s">
        <v>15</v>
      </c>
      <c r="F1792" s="5">
        <v>2419.77</v>
      </c>
    </row>
    <row r="1793" spans="1:6" ht="15.75" thickBot="1" x14ac:dyDescent="0.3">
      <c r="A1793" s="4" t="s">
        <v>119</v>
      </c>
      <c r="B1793" s="5" t="s">
        <v>30</v>
      </c>
      <c r="C1793" s="5" t="s">
        <v>34</v>
      </c>
      <c r="D1793" s="5" t="s">
        <v>9</v>
      </c>
      <c r="E1793" s="5" t="s">
        <v>15</v>
      </c>
      <c r="F1793" s="5">
        <v>574.95542599999999</v>
      </c>
    </row>
    <row r="1794" spans="1:6" ht="15.75" thickBot="1" x14ac:dyDescent="0.3">
      <c r="A1794" s="4" t="s">
        <v>191</v>
      </c>
      <c r="B1794" s="5" t="s">
        <v>12</v>
      </c>
      <c r="C1794" s="5" t="s">
        <v>13</v>
      </c>
      <c r="D1794" s="5" t="s">
        <v>28</v>
      </c>
      <c r="E1794" s="5" t="s">
        <v>10</v>
      </c>
      <c r="F1794" s="5">
        <v>2530.5</v>
      </c>
    </row>
    <row r="1795" spans="1:6" ht="15.75" thickBot="1" x14ac:dyDescent="0.3">
      <c r="A1795" s="4" t="s">
        <v>138</v>
      </c>
      <c r="B1795" s="5" t="s">
        <v>12</v>
      </c>
      <c r="C1795" s="5" t="s">
        <v>34</v>
      </c>
      <c r="D1795" s="5" t="s">
        <v>28</v>
      </c>
      <c r="E1795" s="5" t="s">
        <v>10</v>
      </c>
      <c r="F1795" s="5">
        <v>4691.6499999999996</v>
      </c>
    </row>
    <row r="1796" spans="1:6" ht="15.75" thickBot="1" x14ac:dyDescent="0.3">
      <c r="A1796" s="4" t="s">
        <v>161</v>
      </c>
      <c r="B1796" s="5" t="s">
        <v>7</v>
      </c>
      <c r="C1796" s="5" t="s">
        <v>23</v>
      </c>
      <c r="D1796" s="5" t="s">
        <v>28</v>
      </c>
      <c r="E1796" s="5" t="s">
        <v>15</v>
      </c>
      <c r="F1796" s="5">
        <v>3798.92</v>
      </c>
    </row>
    <row r="1797" spans="1:6" ht="15.75" thickBot="1" x14ac:dyDescent="0.3">
      <c r="A1797" s="4" t="s">
        <v>144</v>
      </c>
      <c r="B1797" s="5" t="s">
        <v>30</v>
      </c>
      <c r="C1797" s="5" t="s">
        <v>8</v>
      </c>
      <c r="D1797" s="5" t="s">
        <v>14</v>
      </c>
      <c r="E1797" s="5" t="s">
        <v>24</v>
      </c>
      <c r="F1797" s="5">
        <v>473.15</v>
      </c>
    </row>
    <row r="1798" spans="1:6" ht="15.75" thickBot="1" x14ac:dyDescent="0.3">
      <c r="A1798" s="4" t="s">
        <v>74</v>
      </c>
      <c r="B1798" s="5" t="s">
        <v>19</v>
      </c>
      <c r="C1798" s="5" t="s">
        <v>34</v>
      </c>
      <c r="D1798" s="5" t="s">
        <v>28</v>
      </c>
      <c r="E1798" s="5" t="s">
        <v>15</v>
      </c>
      <c r="F1798" s="5">
        <v>2684.5</v>
      </c>
    </row>
    <row r="1799" spans="1:6" ht="30.75" thickBot="1" x14ac:dyDescent="0.3">
      <c r="A1799" s="4" t="s">
        <v>147</v>
      </c>
      <c r="B1799" s="5" t="s">
        <v>17</v>
      </c>
      <c r="C1799" s="5" t="s">
        <v>34</v>
      </c>
      <c r="D1799" s="5" t="s">
        <v>9</v>
      </c>
      <c r="E1799" s="5" t="s">
        <v>10</v>
      </c>
      <c r="F1799" s="5">
        <v>3207.9661550000001</v>
      </c>
    </row>
    <row r="1800" spans="1:6" ht="15.75" thickBot="1" x14ac:dyDescent="0.3">
      <c r="A1800" s="4" t="s">
        <v>175</v>
      </c>
      <c r="B1800" s="5" t="s">
        <v>7</v>
      </c>
      <c r="C1800" s="5" t="s">
        <v>23</v>
      </c>
      <c r="D1800" s="5" t="s">
        <v>9</v>
      </c>
      <c r="E1800" s="5" t="s">
        <v>15</v>
      </c>
      <c r="F1800" s="5">
        <v>2986.0217029999999</v>
      </c>
    </row>
    <row r="1801" spans="1:6" ht="15.75" thickBot="1" x14ac:dyDescent="0.3">
      <c r="A1801" s="4" t="s">
        <v>157</v>
      </c>
      <c r="B1801" s="5" t="s">
        <v>30</v>
      </c>
      <c r="C1801" s="5" t="s">
        <v>8</v>
      </c>
      <c r="D1801" s="5" t="s">
        <v>28</v>
      </c>
      <c r="E1801" s="5" t="s">
        <v>10</v>
      </c>
      <c r="F1801" s="5">
        <v>862.55</v>
      </c>
    </row>
    <row r="1802" spans="1:6" ht="15.75" thickBot="1" x14ac:dyDescent="0.3">
      <c r="A1802" s="4" t="s">
        <v>11</v>
      </c>
      <c r="B1802" s="5" t="s">
        <v>12</v>
      </c>
      <c r="C1802" s="5" t="s">
        <v>34</v>
      </c>
      <c r="D1802" s="5" t="s">
        <v>14</v>
      </c>
      <c r="E1802" s="5" t="s">
        <v>15</v>
      </c>
      <c r="F1802" s="5">
        <v>827.65</v>
      </c>
    </row>
    <row r="1803" spans="1:6" ht="15.75" thickBot="1" x14ac:dyDescent="0.3">
      <c r="A1803" s="4" t="s">
        <v>130</v>
      </c>
      <c r="B1803" s="5" t="s">
        <v>12</v>
      </c>
      <c r="C1803" s="5" t="s">
        <v>8</v>
      </c>
      <c r="D1803" s="5" t="s">
        <v>28</v>
      </c>
      <c r="E1803" s="5" t="s">
        <v>10</v>
      </c>
      <c r="F1803" s="5">
        <v>1683.73</v>
      </c>
    </row>
    <row r="1804" spans="1:6" ht="15.75" thickBot="1" x14ac:dyDescent="0.3">
      <c r="A1804" s="4" t="s">
        <v>95</v>
      </c>
      <c r="B1804" s="5" t="s">
        <v>30</v>
      </c>
      <c r="C1804" s="5" t="s">
        <v>13</v>
      </c>
      <c r="D1804" s="5" t="s">
        <v>14</v>
      </c>
      <c r="E1804" s="5" t="s">
        <v>24</v>
      </c>
      <c r="F1804" s="5">
        <v>1942.34</v>
      </c>
    </row>
    <row r="1805" spans="1:6" ht="15.75" thickBot="1" x14ac:dyDescent="0.3">
      <c r="A1805" s="4" t="s">
        <v>170</v>
      </c>
      <c r="B1805" s="5" t="s">
        <v>12</v>
      </c>
      <c r="C1805" s="5" t="s">
        <v>34</v>
      </c>
      <c r="D1805" s="5" t="s">
        <v>14</v>
      </c>
      <c r="E1805" s="5" t="s">
        <v>10</v>
      </c>
      <c r="F1805" s="5">
        <v>4550.1099999999997</v>
      </c>
    </row>
    <row r="1806" spans="1:6" ht="15.75" thickBot="1" x14ac:dyDescent="0.3">
      <c r="A1806" s="4" t="s">
        <v>208</v>
      </c>
      <c r="B1806" s="5" t="s">
        <v>19</v>
      </c>
      <c r="C1806" s="5" t="s">
        <v>8</v>
      </c>
      <c r="D1806" s="5" t="s">
        <v>9</v>
      </c>
      <c r="E1806" s="5" t="s">
        <v>15</v>
      </c>
      <c r="F1806" s="5">
        <v>3667.9851920000001</v>
      </c>
    </row>
    <row r="1807" spans="1:6" ht="15.75" thickBot="1" x14ac:dyDescent="0.3">
      <c r="A1807" s="4" t="s">
        <v>167</v>
      </c>
      <c r="B1807" s="5" t="s">
        <v>30</v>
      </c>
      <c r="C1807" s="5" t="s">
        <v>23</v>
      </c>
      <c r="D1807" s="5" t="s">
        <v>14</v>
      </c>
      <c r="E1807" s="5" t="s">
        <v>24</v>
      </c>
      <c r="F1807" s="5">
        <v>4318.42</v>
      </c>
    </row>
    <row r="1808" spans="1:6" ht="15.75" thickBot="1" x14ac:dyDescent="0.3">
      <c r="A1808" s="4" t="s">
        <v>52</v>
      </c>
      <c r="B1808" s="5" t="s">
        <v>19</v>
      </c>
      <c r="C1808" s="5" t="s">
        <v>23</v>
      </c>
      <c r="D1808" s="5" t="s">
        <v>14</v>
      </c>
      <c r="E1808" s="5" t="s">
        <v>10</v>
      </c>
      <c r="F1808" s="5">
        <v>3660.75</v>
      </c>
    </row>
    <row r="1809" spans="1:6" ht="15.75" thickBot="1" x14ac:dyDescent="0.3">
      <c r="A1809" s="4" t="s">
        <v>154</v>
      </c>
      <c r="B1809" s="5" t="s">
        <v>12</v>
      </c>
      <c r="C1809" s="5" t="s">
        <v>13</v>
      </c>
      <c r="D1809" s="5" t="s">
        <v>14</v>
      </c>
      <c r="E1809" s="5" t="s">
        <v>15</v>
      </c>
      <c r="F1809" s="5">
        <v>1074.46</v>
      </c>
    </row>
    <row r="1810" spans="1:6" ht="15.75" thickBot="1" x14ac:dyDescent="0.3">
      <c r="A1810" s="4" t="s">
        <v>113</v>
      </c>
      <c r="B1810" s="5" t="s">
        <v>30</v>
      </c>
      <c r="C1810" s="5" t="s">
        <v>23</v>
      </c>
      <c r="D1810" s="5" t="s">
        <v>14</v>
      </c>
      <c r="E1810" s="5" t="s">
        <v>24</v>
      </c>
      <c r="F1810" s="5">
        <v>4228.88</v>
      </c>
    </row>
    <row r="1811" spans="1:6" ht="15.75" thickBot="1" x14ac:dyDescent="0.3">
      <c r="A1811" s="4" t="s">
        <v>111</v>
      </c>
      <c r="B1811" s="5" t="s">
        <v>19</v>
      </c>
      <c r="C1811" s="5" t="s">
        <v>34</v>
      </c>
      <c r="D1811" s="5" t="s">
        <v>14</v>
      </c>
      <c r="E1811" s="5" t="s">
        <v>24</v>
      </c>
      <c r="F1811" s="5">
        <v>2827.96</v>
      </c>
    </row>
    <row r="1812" spans="1:6" ht="15.75" thickBot="1" x14ac:dyDescent="0.3">
      <c r="A1812" s="4" t="s">
        <v>70</v>
      </c>
      <c r="B1812" s="5" t="s">
        <v>19</v>
      </c>
      <c r="C1812" s="5" t="s">
        <v>8</v>
      </c>
      <c r="D1812" s="5" t="s">
        <v>9</v>
      </c>
      <c r="E1812" s="5" t="s">
        <v>10</v>
      </c>
      <c r="F1812" s="5">
        <v>1375.518959</v>
      </c>
    </row>
    <row r="1813" spans="1:6" ht="30.75" thickBot="1" x14ac:dyDescent="0.3">
      <c r="A1813" s="4" t="s">
        <v>76</v>
      </c>
      <c r="B1813" s="5" t="s">
        <v>17</v>
      </c>
      <c r="C1813" s="5" t="s">
        <v>13</v>
      </c>
      <c r="D1813" s="5" t="s">
        <v>9</v>
      </c>
      <c r="E1813" s="5" t="s">
        <v>15</v>
      </c>
      <c r="F1813" s="5">
        <v>3501.5986440000001</v>
      </c>
    </row>
    <row r="1814" spans="1:6" ht="15.75" thickBot="1" x14ac:dyDescent="0.3">
      <c r="A1814" s="4" t="s">
        <v>40</v>
      </c>
      <c r="B1814" s="5" t="s">
        <v>19</v>
      </c>
      <c r="C1814" s="5" t="s">
        <v>23</v>
      </c>
      <c r="D1814" s="5" t="s">
        <v>9</v>
      </c>
      <c r="E1814" s="5" t="s">
        <v>15</v>
      </c>
      <c r="F1814" s="5">
        <v>3492.9772149999999</v>
      </c>
    </row>
    <row r="1815" spans="1:6" ht="15.75" thickBot="1" x14ac:dyDescent="0.3">
      <c r="A1815" s="4" t="s">
        <v>204</v>
      </c>
      <c r="B1815" s="5" t="s">
        <v>30</v>
      </c>
      <c r="C1815" s="5" t="s">
        <v>13</v>
      </c>
      <c r="D1815" s="5" t="s">
        <v>9</v>
      </c>
      <c r="E1815" s="5" t="s">
        <v>24</v>
      </c>
      <c r="F1815" s="5">
        <v>1594.77631</v>
      </c>
    </row>
    <row r="1816" spans="1:6" ht="15.75" thickBot="1" x14ac:dyDescent="0.3">
      <c r="A1816" s="4" t="s">
        <v>53</v>
      </c>
      <c r="B1816" s="5" t="s">
        <v>7</v>
      </c>
      <c r="C1816" s="5" t="s">
        <v>8</v>
      </c>
      <c r="D1816" s="5" t="s">
        <v>9</v>
      </c>
      <c r="E1816" s="5" t="s">
        <v>15</v>
      </c>
      <c r="F1816" s="5">
        <v>4328.8292810000003</v>
      </c>
    </row>
    <row r="1817" spans="1:6" ht="15.75" thickBot="1" x14ac:dyDescent="0.3">
      <c r="A1817" s="4" t="s">
        <v>88</v>
      </c>
      <c r="B1817" s="5" t="s">
        <v>7</v>
      </c>
      <c r="C1817" s="5" t="s">
        <v>34</v>
      </c>
      <c r="D1817" s="5" t="s">
        <v>9</v>
      </c>
      <c r="E1817" s="5" t="s">
        <v>10</v>
      </c>
      <c r="F1817" s="5">
        <v>3820.762874</v>
      </c>
    </row>
    <row r="1818" spans="1:6" ht="15.75" thickBot="1" x14ac:dyDescent="0.3">
      <c r="A1818" s="4" t="s">
        <v>210</v>
      </c>
      <c r="B1818" s="5" t="s">
        <v>7</v>
      </c>
      <c r="C1818" s="5" t="s">
        <v>8</v>
      </c>
      <c r="D1818" s="5" t="s">
        <v>14</v>
      </c>
      <c r="E1818" s="5" t="s">
        <v>10</v>
      </c>
      <c r="F1818" s="5">
        <v>2495.33</v>
      </c>
    </row>
    <row r="1819" spans="1:6" ht="15.75" thickBot="1" x14ac:dyDescent="0.3">
      <c r="A1819" s="4" t="s">
        <v>197</v>
      </c>
      <c r="B1819" s="5" t="s">
        <v>30</v>
      </c>
      <c r="C1819" s="5" t="s">
        <v>23</v>
      </c>
      <c r="D1819" s="5" t="s">
        <v>28</v>
      </c>
      <c r="E1819" s="5" t="s">
        <v>10</v>
      </c>
      <c r="F1819" s="5">
        <v>286.39</v>
      </c>
    </row>
    <row r="1820" spans="1:6" ht="15.75" thickBot="1" x14ac:dyDescent="0.3">
      <c r="A1820" s="4" t="s">
        <v>65</v>
      </c>
      <c r="B1820" s="5" t="s">
        <v>30</v>
      </c>
      <c r="C1820" s="5" t="s">
        <v>34</v>
      </c>
      <c r="D1820" s="5" t="s">
        <v>14</v>
      </c>
      <c r="E1820" s="5" t="s">
        <v>10</v>
      </c>
      <c r="F1820" s="5">
        <v>1994.05</v>
      </c>
    </row>
    <row r="1821" spans="1:6" ht="15.75" thickBot="1" x14ac:dyDescent="0.3">
      <c r="A1821" s="4" t="s">
        <v>213</v>
      </c>
      <c r="B1821" s="5" t="s">
        <v>12</v>
      </c>
      <c r="C1821" s="5" t="s">
        <v>13</v>
      </c>
      <c r="D1821" s="5" t="s">
        <v>14</v>
      </c>
      <c r="E1821" s="5" t="s">
        <v>10</v>
      </c>
      <c r="F1821" s="5">
        <v>2165.4299999999998</v>
      </c>
    </row>
    <row r="1822" spans="1:6" ht="30.75" thickBot="1" x14ac:dyDescent="0.3">
      <c r="A1822" s="4" t="s">
        <v>16</v>
      </c>
      <c r="B1822" s="5" t="s">
        <v>17</v>
      </c>
      <c r="C1822" s="5" t="s">
        <v>23</v>
      </c>
      <c r="D1822" s="5" t="s">
        <v>28</v>
      </c>
      <c r="E1822" s="5" t="s">
        <v>15</v>
      </c>
      <c r="F1822" s="5">
        <v>4197.01</v>
      </c>
    </row>
    <row r="1823" spans="1:6" ht="15.75" thickBot="1" x14ac:dyDescent="0.3">
      <c r="A1823" s="4" t="s">
        <v>78</v>
      </c>
      <c r="B1823" s="5" t="s">
        <v>7</v>
      </c>
      <c r="C1823" s="5" t="s">
        <v>34</v>
      </c>
      <c r="D1823" s="5" t="s">
        <v>9</v>
      </c>
      <c r="E1823" s="5" t="s">
        <v>10</v>
      </c>
      <c r="F1823" s="5">
        <v>1921.28</v>
      </c>
    </row>
    <row r="1824" spans="1:6" ht="30.75" thickBot="1" x14ac:dyDescent="0.3">
      <c r="A1824" s="4" t="s">
        <v>89</v>
      </c>
      <c r="B1824" s="5" t="s">
        <v>17</v>
      </c>
      <c r="C1824" s="5" t="s">
        <v>13</v>
      </c>
      <c r="D1824" s="5" t="s">
        <v>28</v>
      </c>
      <c r="E1824" s="5" t="s">
        <v>24</v>
      </c>
      <c r="F1824" s="5">
        <v>3491.72</v>
      </c>
    </row>
    <row r="1825" spans="1:6" ht="15.75" thickBot="1" x14ac:dyDescent="0.3">
      <c r="A1825" s="4" t="s">
        <v>81</v>
      </c>
      <c r="B1825" s="5" t="s">
        <v>12</v>
      </c>
      <c r="C1825" s="5" t="s">
        <v>34</v>
      </c>
      <c r="D1825" s="5" t="s">
        <v>9</v>
      </c>
      <c r="E1825" s="5" t="s">
        <v>10</v>
      </c>
      <c r="F1825" s="5">
        <v>2500.066452</v>
      </c>
    </row>
    <row r="1826" spans="1:6" ht="15.75" thickBot="1" x14ac:dyDescent="0.3">
      <c r="A1826" s="4" t="s">
        <v>212</v>
      </c>
      <c r="B1826" s="5" t="s">
        <v>7</v>
      </c>
      <c r="C1826" s="5" t="s">
        <v>13</v>
      </c>
      <c r="D1826" s="5" t="s">
        <v>28</v>
      </c>
      <c r="E1826" s="5" t="s">
        <v>10</v>
      </c>
      <c r="F1826" s="5">
        <v>818.77</v>
      </c>
    </row>
    <row r="1827" spans="1:6" ht="15.75" thickBot="1" x14ac:dyDescent="0.3">
      <c r="A1827" s="4" t="s">
        <v>185</v>
      </c>
      <c r="B1827" s="5" t="s">
        <v>30</v>
      </c>
      <c r="C1827" s="5" t="s">
        <v>8</v>
      </c>
      <c r="D1827" s="5" t="s">
        <v>28</v>
      </c>
      <c r="E1827" s="5" t="s">
        <v>15</v>
      </c>
      <c r="F1827" s="5">
        <v>316.76</v>
      </c>
    </row>
    <row r="1828" spans="1:6" ht="15.75" thickBot="1" x14ac:dyDescent="0.3">
      <c r="A1828" s="4" t="s">
        <v>202</v>
      </c>
      <c r="B1828" s="5" t="s">
        <v>12</v>
      </c>
      <c r="C1828" s="5" t="s">
        <v>13</v>
      </c>
      <c r="D1828" s="5" t="s">
        <v>28</v>
      </c>
      <c r="E1828" s="5" t="s">
        <v>15</v>
      </c>
      <c r="F1828" s="5">
        <v>2524.56</v>
      </c>
    </row>
    <row r="1829" spans="1:6" ht="30.75" thickBot="1" x14ac:dyDescent="0.3">
      <c r="A1829" s="4" t="s">
        <v>207</v>
      </c>
      <c r="B1829" s="5" t="s">
        <v>17</v>
      </c>
      <c r="C1829" s="5" t="s">
        <v>34</v>
      </c>
      <c r="D1829" s="5" t="s">
        <v>9</v>
      </c>
      <c r="E1829" s="5" t="s">
        <v>15</v>
      </c>
      <c r="F1829" s="5">
        <v>1374.216095</v>
      </c>
    </row>
    <row r="1830" spans="1:6" ht="15.75" thickBot="1" x14ac:dyDescent="0.3">
      <c r="A1830" s="4" t="s">
        <v>161</v>
      </c>
      <c r="B1830" s="5" t="s">
        <v>7</v>
      </c>
      <c r="C1830" s="5" t="s">
        <v>13</v>
      </c>
      <c r="D1830" s="5" t="s">
        <v>28</v>
      </c>
      <c r="E1830" s="5" t="s">
        <v>10</v>
      </c>
      <c r="F1830" s="5">
        <v>3494.63</v>
      </c>
    </row>
    <row r="1831" spans="1:6" ht="15.75" thickBot="1" x14ac:dyDescent="0.3">
      <c r="A1831" s="4" t="s">
        <v>119</v>
      </c>
      <c r="B1831" s="5" t="s">
        <v>30</v>
      </c>
      <c r="C1831" s="5" t="s">
        <v>13</v>
      </c>
      <c r="D1831" s="5" t="s">
        <v>9</v>
      </c>
      <c r="E1831" s="5" t="s">
        <v>24</v>
      </c>
      <c r="F1831" s="5">
        <v>1436.9353590000001</v>
      </c>
    </row>
    <row r="1832" spans="1:6" ht="15.75" thickBot="1" x14ac:dyDescent="0.3">
      <c r="A1832" s="4" t="s">
        <v>217</v>
      </c>
      <c r="B1832" s="5" t="s">
        <v>19</v>
      </c>
      <c r="C1832" s="5" t="s">
        <v>13</v>
      </c>
      <c r="D1832" s="5" t="s">
        <v>28</v>
      </c>
      <c r="E1832" s="5" t="s">
        <v>10</v>
      </c>
      <c r="F1832" s="5">
        <v>1993.57</v>
      </c>
    </row>
    <row r="1833" spans="1:6" ht="15.75" thickBot="1" x14ac:dyDescent="0.3">
      <c r="A1833" s="4" t="s">
        <v>95</v>
      </c>
      <c r="B1833" s="5" t="s">
        <v>30</v>
      </c>
      <c r="C1833" s="5" t="s">
        <v>8</v>
      </c>
      <c r="D1833" s="5" t="s">
        <v>14</v>
      </c>
      <c r="E1833" s="5" t="s">
        <v>15</v>
      </c>
      <c r="F1833" s="5">
        <v>2563.0100000000002</v>
      </c>
    </row>
    <row r="1834" spans="1:6" ht="15.75" thickBot="1" x14ac:dyDescent="0.3">
      <c r="A1834" s="4" t="s">
        <v>118</v>
      </c>
      <c r="B1834" s="5" t="s">
        <v>30</v>
      </c>
      <c r="C1834" s="5" t="s">
        <v>13</v>
      </c>
      <c r="D1834" s="5" t="s">
        <v>28</v>
      </c>
      <c r="E1834" s="5" t="s">
        <v>10</v>
      </c>
      <c r="F1834" s="5">
        <v>3772.31</v>
      </c>
    </row>
    <row r="1835" spans="1:6" ht="15.75" thickBot="1" x14ac:dyDescent="0.3">
      <c r="A1835" s="4" t="s">
        <v>197</v>
      </c>
      <c r="B1835" s="5" t="s">
        <v>30</v>
      </c>
      <c r="C1835" s="5" t="s">
        <v>8</v>
      </c>
      <c r="D1835" s="5" t="s">
        <v>28</v>
      </c>
      <c r="E1835" s="5" t="s">
        <v>15</v>
      </c>
      <c r="F1835" s="5">
        <v>1624.65</v>
      </c>
    </row>
    <row r="1836" spans="1:6" ht="15.75" thickBot="1" x14ac:dyDescent="0.3">
      <c r="A1836" s="4" t="s">
        <v>179</v>
      </c>
      <c r="B1836" s="5" t="s">
        <v>7</v>
      </c>
      <c r="C1836" s="5" t="s">
        <v>13</v>
      </c>
      <c r="D1836" s="5" t="s">
        <v>28</v>
      </c>
      <c r="E1836" s="5" t="s">
        <v>10</v>
      </c>
      <c r="F1836" s="5">
        <v>4535.0200000000004</v>
      </c>
    </row>
    <row r="1837" spans="1:6" ht="15.75" thickBot="1" x14ac:dyDescent="0.3">
      <c r="A1837" s="4" t="s">
        <v>175</v>
      </c>
      <c r="B1837" s="5" t="s">
        <v>7</v>
      </c>
      <c r="C1837" s="5" t="s">
        <v>13</v>
      </c>
      <c r="D1837" s="5" t="s">
        <v>9</v>
      </c>
      <c r="E1837" s="5" t="s">
        <v>24</v>
      </c>
      <c r="F1837" s="5">
        <v>3532.2748670000001</v>
      </c>
    </row>
    <row r="1838" spans="1:6" ht="15.75" thickBot="1" x14ac:dyDescent="0.3">
      <c r="A1838" s="4" t="s">
        <v>153</v>
      </c>
      <c r="B1838" s="5" t="s">
        <v>7</v>
      </c>
      <c r="C1838" s="5" t="s">
        <v>13</v>
      </c>
      <c r="D1838" s="5" t="s">
        <v>14</v>
      </c>
      <c r="E1838" s="5" t="s">
        <v>15</v>
      </c>
      <c r="F1838" s="5">
        <v>2581.0300000000002</v>
      </c>
    </row>
    <row r="1839" spans="1:6" ht="30.75" thickBot="1" x14ac:dyDescent="0.3">
      <c r="A1839" s="4" t="s">
        <v>194</v>
      </c>
      <c r="B1839" s="5" t="s">
        <v>17</v>
      </c>
      <c r="C1839" s="5" t="s">
        <v>34</v>
      </c>
      <c r="D1839" s="5" t="s">
        <v>9</v>
      </c>
      <c r="E1839" s="5" t="s">
        <v>15</v>
      </c>
      <c r="F1839" s="5">
        <v>4518.3755819999997</v>
      </c>
    </row>
    <row r="1840" spans="1:6" ht="30.75" thickBot="1" x14ac:dyDescent="0.3">
      <c r="A1840" s="4" t="s">
        <v>168</v>
      </c>
      <c r="B1840" s="5" t="s">
        <v>17</v>
      </c>
      <c r="C1840" s="5" t="s">
        <v>13</v>
      </c>
      <c r="D1840" s="5" t="s">
        <v>28</v>
      </c>
      <c r="E1840" s="5" t="s">
        <v>24</v>
      </c>
      <c r="F1840" s="5">
        <v>4506.08</v>
      </c>
    </row>
    <row r="1841" spans="1:6" ht="15.75" thickBot="1" x14ac:dyDescent="0.3">
      <c r="A1841" s="4" t="s">
        <v>164</v>
      </c>
      <c r="B1841" s="5" t="s">
        <v>19</v>
      </c>
      <c r="C1841" s="5" t="s">
        <v>8</v>
      </c>
      <c r="D1841" s="5" t="s">
        <v>9</v>
      </c>
      <c r="E1841" s="5" t="s">
        <v>15</v>
      </c>
      <c r="F1841" s="5">
        <v>3055.5135620000001</v>
      </c>
    </row>
    <row r="1842" spans="1:6" ht="15.75" thickBot="1" x14ac:dyDescent="0.3">
      <c r="A1842" s="4" t="s">
        <v>85</v>
      </c>
      <c r="B1842" s="5" t="s">
        <v>30</v>
      </c>
      <c r="C1842" s="5" t="s">
        <v>8</v>
      </c>
      <c r="D1842" s="5" t="s">
        <v>14</v>
      </c>
      <c r="E1842" s="5" t="s">
        <v>15</v>
      </c>
      <c r="F1842" s="5">
        <v>1376.96</v>
      </c>
    </row>
    <row r="1843" spans="1:6" ht="15.75" thickBot="1" x14ac:dyDescent="0.3">
      <c r="A1843" s="4" t="s">
        <v>103</v>
      </c>
      <c r="B1843" s="5" t="s">
        <v>19</v>
      </c>
      <c r="C1843" s="5" t="s">
        <v>8</v>
      </c>
      <c r="D1843" s="5" t="s">
        <v>9</v>
      </c>
      <c r="E1843" s="5" t="s">
        <v>15</v>
      </c>
      <c r="F1843" s="5">
        <v>3798.946269</v>
      </c>
    </row>
    <row r="1844" spans="1:6" ht="15.75" thickBot="1" x14ac:dyDescent="0.3">
      <c r="A1844" s="4" t="s">
        <v>159</v>
      </c>
      <c r="B1844" s="5" t="s">
        <v>7</v>
      </c>
      <c r="C1844" s="5" t="s">
        <v>8</v>
      </c>
      <c r="D1844" s="5" t="s">
        <v>28</v>
      </c>
      <c r="E1844" s="5" t="s">
        <v>15</v>
      </c>
      <c r="F1844" s="5">
        <v>1881.41</v>
      </c>
    </row>
    <row r="1845" spans="1:6" ht="15.75" thickBot="1" x14ac:dyDescent="0.3">
      <c r="A1845" s="4" t="s">
        <v>118</v>
      </c>
      <c r="B1845" s="5" t="s">
        <v>30</v>
      </c>
      <c r="C1845" s="5" t="s">
        <v>34</v>
      </c>
      <c r="D1845" s="5" t="s">
        <v>14</v>
      </c>
      <c r="E1845" s="5" t="s">
        <v>24</v>
      </c>
      <c r="F1845" s="5">
        <v>1308.54</v>
      </c>
    </row>
    <row r="1846" spans="1:6" ht="15.75" thickBot="1" x14ac:dyDescent="0.3">
      <c r="A1846" s="4" t="s">
        <v>65</v>
      </c>
      <c r="B1846" s="5" t="s">
        <v>30</v>
      </c>
      <c r="C1846" s="5" t="s">
        <v>13</v>
      </c>
      <c r="D1846" s="5" t="s">
        <v>28</v>
      </c>
      <c r="E1846" s="5" t="s">
        <v>15</v>
      </c>
      <c r="F1846" s="5">
        <v>706.73</v>
      </c>
    </row>
    <row r="1847" spans="1:6" ht="15.75" thickBot="1" x14ac:dyDescent="0.3">
      <c r="A1847" s="4" t="s">
        <v>197</v>
      </c>
      <c r="B1847" s="5" t="s">
        <v>30</v>
      </c>
      <c r="C1847" s="5" t="s">
        <v>23</v>
      </c>
      <c r="D1847" s="5" t="s">
        <v>9</v>
      </c>
      <c r="E1847" s="5" t="s">
        <v>24</v>
      </c>
      <c r="F1847" s="5">
        <v>3595.4041010000001</v>
      </c>
    </row>
    <row r="1848" spans="1:6" ht="30.75" thickBot="1" x14ac:dyDescent="0.3">
      <c r="A1848" s="4" t="s">
        <v>131</v>
      </c>
      <c r="B1848" s="5" t="s">
        <v>17</v>
      </c>
      <c r="C1848" s="5" t="s">
        <v>23</v>
      </c>
      <c r="D1848" s="5" t="s">
        <v>14</v>
      </c>
      <c r="E1848" s="5" t="s">
        <v>10</v>
      </c>
      <c r="F1848" s="5">
        <v>1990.59</v>
      </c>
    </row>
    <row r="1849" spans="1:6" ht="15.75" thickBot="1" x14ac:dyDescent="0.3">
      <c r="A1849" s="4" t="s">
        <v>178</v>
      </c>
      <c r="B1849" s="5" t="s">
        <v>30</v>
      </c>
      <c r="C1849" s="5" t="s">
        <v>8</v>
      </c>
      <c r="D1849" s="5" t="s">
        <v>9</v>
      </c>
      <c r="E1849" s="5" t="s">
        <v>24</v>
      </c>
      <c r="F1849" s="5">
        <v>4212.5026310000003</v>
      </c>
    </row>
    <row r="1850" spans="1:6" ht="15.75" thickBot="1" x14ac:dyDescent="0.3">
      <c r="A1850" s="4" t="s">
        <v>45</v>
      </c>
      <c r="B1850" s="5" t="s">
        <v>7</v>
      </c>
      <c r="C1850" s="5" t="s">
        <v>8</v>
      </c>
      <c r="D1850" s="5" t="s">
        <v>9</v>
      </c>
      <c r="E1850" s="5" t="s">
        <v>15</v>
      </c>
      <c r="F1850" s="5">
        <v>2388.243219</v>
      </c>
    </row>
    <row r="1851" spans="1:6" ht="15.75" thickBot="1" x14ac:dyDescent="0.3">
      <c r="A1851" s="4" t="s">
        <v>70</v>
      </c>
      <c r="B1851" s="5" t="s">
        <v>19</v>
      </c>
      <c r="C1851" s="5" t="s">
        <v>34</v>
      </c>
      <c r="D1851" s="5" t="s">
        <v>9</v>
      </c>
      <c r="E1851" s="5" t="s">
        <v>24</v>
      </c>
      <c r="F1851" s="5">
        <v>318.91989990000002</v>
      </c>
    </row>
    <row r="1852" spans="1:6" ht="30.75" thickBot="1" x14ac:dyDescent="0.3">
      <c r="A1852" s="4" t="s">
        <v>16</v>
      </c>
      <c r="B1852" s="5" t="s">
        <v>17</v>
      </c>
      <c r="C1852" s="5" t="s">
        <v>13</v>
      </c>
      <c r="D1852" s="5" t="s">
        <v>14</v>
      </c>
      <c r="E1852" s="5" t="s">
        <v>10</v>
      </c>
      <c r="F1852" s="5">
        <v>365.96</v>
      </c>
    </row>
    <row r="1853" spans="1:6" ht="15.75" thickBot="1" x14ac:dyDescent="0.3">
      <c r="A1853" s="4" t="s">
        <v>211</v>
      </c>
      <c r="B1853" s="5" t="s">
        <v>7</v>
      </c>
      <c r="C1853" s="5" t="s">
        <v>34</v>
      </c>
      <c r="D1853" s="5" t="s">
        <v>28</v>
      </c>
      <c r="E1853" s="5" t="s">
        <v>10</v>
      </c>
      <c r="F1853" s="5">
        <v>1353.72</v>
      </c>
    </row>
    <row r="1854" spans="1:6" ht="15.75" thickBot="1" x14ac:dyDescent="0.3">
      <c r="A1854" s="4" t="s">
        <v>213</v>
      </c>
      <c r="B1854" s="5" t="s">
        <v>12</v>
      </c>
      <c r="C1854" s="5" t="s">
        <v>34</v>
      </c>
      <c r="D1854" s="5" t="s">
        <v>14</v>
      </c>
      <c r="E1854" s="5" t="s">
        <v>24</v>
      </c>
      <c r="F1854" s="5">
        <v>3026.73</v>
      </c>
    </row>
    <row r="1855" spans="1:6" ht="15.75" thickBot="1" x14ac:dyDescent="0.3">
      <c r="A1855" s="4" t="s">
        <v>179</v>
      </c>
      <c r="B1855" s="5" t="s">
        <v>7</v>
      </c>
      <c r="C1855" s="5" t="s">
        <v>13</v>
      </c>
      <c r="D1855" s="5" t="s">
        <v>14</v>
      </c>
      <c r="E1855" s="5" t="s">
        <v>10</v>
      </c>
      <c r="F1855" s="5">
        <v>4344.96</v>
      </c>
    </row>
    <row r="1856" spans="1:6" ht="15.75" thickBot="1" x14ac:dyDescent="0.3">
      <c r="A1856" s="4" t="s">
        <v>95</v>
      </c>
      <c r="B1856" s="5" t="s">
        <v>30</v>
      </c>
      <c r="C1856" s="5" t="s">
        <v>8</v>
      </c>
      <c r="D1856" s="5" t="s">
        <v>9</v>
      </c>
      <c r="E1856" s="5" t="s">
        <v>10</v>
      </c>
      <c r="F1856" s="5">
        <v>2412.9017549999999</v>
      </c>
    </row>
    <row r="1857" spans="1:6" ht="15.75" thickBot="1" x14ac:dyDescent="0.3">
      <c r="A1857" s="4" t="s">
        <v>110</v>
      </c>
      <c r="B1857" s="5" t="s">
        <v>12</v>
      </c>
      <c r="C1857" s="5" t="s">
        <v>13</v>
      </c>
      <c r="D1857" s="5" t="s">
        <v>28</v>
      </c>
      <c r="E1857" s="5" t="s">
        <v>24</v>
      </c>
      <c r="F1857" s="5">
        <v>4239.84</v>
      </c>
    </row>
    <row r="1858" spans="1:6" ht="15.75" thickBot="1" x14ac:dyDescent="0.3">
      <c r="A1858" s="4" t="s">
        <v>161</v>
      </c>
      <c r="B1858" s="5" t="s">
        <v>7</v>
      </c>
      <c r="C1858" s="5" t="s">
        <v>13</v>
      </c>
      <c r="D1858" s="5" t="s">
        <v>9</v>
      </c>
      <c r="E1858" s="5" t="s">
        <v>15</v>
      </c>
      <c r="F1858" s="5">
        <v>3759.010796</v>
      </c>
    </row>
    <row r="1859" spans="1:6" ht="30.75" thickBot="1" x14ac:dyDescent="0.3">
      <c r="A1859" s="4" t="s">
        <v>137</v>
      </c>
      <c r="B1859" s="5" t="s">
        <v>17</v>
      </c>
      <c r="C1859" s="5" t="s">
        <v>23</v>
      </c>
      <c r="D1859" s="5" t="s">
        <v>14</v>
      </c>
      <c r="E1859" s="5" t="s">
        <v>10</v>
      </c>
      <c r="F1859" s="5">
        <v>3558.82</v>
      </c>
    </row>
    <row r="1860" spans="1:6" ht="30.75" thickBot="1" x14ac:dyDescent="0.3">
      <c r="A1860" s="4" t="s">
        <v>143</v>
      </c>
      <c r="B1860" s="5" t="s">
        <v>17</v>
      </c>
      <c r="C1860" s="5" t="s">
        <v>13</v>
      </c>
      <c r="D1860" s="5" t="s">
        <v>28</v>
      </c>
      <c r="E1860" s="5" t="s">
        <v>15</v>
      </c>
      <c r="F1860" s="5">
        <v>2610.12</v>
      </c>
    </row>
    <row r="1861" spans="1:6" ht="15.75" thickBot="1" x14ac:dyDescent="0.3">
      <c r="A1861" s="4" t="s">
        <v>180</v>
      </c>
      <c r="B1861" s="5" t="s">
        <v>30</v>
      </c>
      <c r="C1861" s="5" t="s">
        <v>34</v>
      </c>
      <c r="D1861" s="5" t="s">
        <v>28</v>
      </c>
      <c r="E1861" s="5" t="s">
        <v>10</v>
      </c>
      <c r="F1861" s="5">
        <v>2651.33</v>
      </c>
    </row>
    <row r="1862" spans="1:6" ht="15.75" thickBot="1" x14ac:dyDescent="0.3">
      <c r="A1862" s="4" t="s">
        <v>93</v>
      </c>
      <c r="B1862" s="5" t="s">
        <v>30</v>
      </c>
      <c r="C1862" s="5" t="s">
        <v>23</v>
      </c>
      <c r="D1862" s="5" t="s">
        <v>28</v>
      </c>
      <c r="E1862" s="5" t="s">
        <v>24</v>
      </c>
      <c r="F1862" s="5">
        <v>1018.53</v>
      </c>
    </row>
    <row r="1863" spans="1:6" ht="15.75" thickBot="1" x14ac:dyDescent="0.3">
      <c r="A1863" s="4" t="s">
        <v>110</v>
      </c>
      <c r="B1863" s="5" t="s">
        <v>12</v>
      </c>
      <c r="C1863" s="5" t="s">
        <v>23</v>
      </c>
      <c r="D1863" s="5" t="s">
        <v>9</v>
      </c>
      <c r="E1863" s="5" t="s">
        <v>15</v>
      </c>
      <c r="F1863" s="5">
        <v>503.93</v>
      </c>
    </row>
    <row r="1864" spans="1:6" ht="15.75" thickBot="1" x14ac:dyDescent="0.3">
      <c r="A1864" s="4" t="s">
        <v>38</v>
      </c>
      <c r="B1864" s="5" t="s">
        <v>30</v>
      </c>
      <c r="C1864" s="5" t="s">
        <v>13</v>
      </c>
      <c r="D1864" s="5" t="s">
        <v>9</v>
      </c>
      <c r="E1864" s="5" t="s">
        <v>10</v>
      </c>
      <c r="F1864" s="5">
        <v>3013.4457640000001</v>
      </c>
    </row>
    <row r="1865" spans="1:6" ht="15.75" thickBot="1" x14ac:dyDescent="0.3">
      <c r="A1865" s="4" t="s">
        <v>81</v>
      </c>
      <c r="B1865" s="5" t="s">
        <v>12</v>
      </c>
      <c r="C1865" s="5" t="s">
        <v>13</v>
      </c>
      <c r="D1865" s="5" t="s">
        <v>28</v>
      </c>
      <c r="E1865" s="5" t="s">
        <v>10</v>
      </c>
      <c r="F1865" s="5">
        <v>1639.95</v>
      </c>
    </row>
    <row r="1866" spans="1:6" ht="15.75" thickBot="1" x14ac:dyDescent="0.3">
      <c r="A1866" s="4" t="s">
        <v>125</v>
      </c>
      <c r="B1866" s="5" t="s">
        <v>7</v>
      </c>
      <c r="C1866" s="5" t="s">
        <v>23</v>
      </c>
      <c r="D1866" s="5" t="s">
        <v>14</v>
      </c>
      <c r="E1866" s="5" t="s">
        <v>24</v>
      </c>
      <c r="F1866" s="5">
        <v>4092.48</v>
      </c>
    </row>
    <row r="1867" spans="1:6" ht="15.75" thickBot="1" x14ac:dyDescent="0.3">
      <c r="A1867" s="4" t="s">
        <v>185</v>
      </c>
      <c r="B1867" s="5" t="s">
        <v>30</v>
      </c>
      <c r="C1867" s="5" t="s">
        <v>13</v>
      </c>
      <c r="D1867" s="5" t="s">
        <v>14</v>
      </c>
      <c r="E1867" s="5" t="s">
        <v>15</v>
      </c>
      <c r="F1867" s="5">
        <v>730.62</v>
      </c>
    </row>
    <row r="1868" spans="1:6" ht="15.75" thickBot="1" x14ac:dyDescent="0.3">
      <c r="A1868" s="4" t="s">
        <v>128</v>
      </c>
      <c r="B1868" s="5" t="s">
        <v>12</v>
      </c>
      <c r="C1868" s="5" t="s">
        <v>8</v>
      </c>
      <c r="D1868" s="5" t="s">
        <v>9</v>
      </c>
      <c r="E1868" s="5" t="s">
        <v>24</v>
      </c>
      <c r="F1868" s="5">
        <v>5247.8932150000001</v>
      </c>
    </row>
    <row r="1869" spans="1:6" ht="15.75" thickBot="1" x14ac:dyDescent="0.3">
      <c r="A1869" s="4" t="s">
        <v>201</v>
      </c>
      <c r="B1869" s="5" t="s">
        <v>12</v>
      </c>
      <c r="C1869" s="5" t="s">
        <v>34</v>
      </c>
      <c r="D1869" s="5" t="s">
        <v>14</v>
      </c>
      <c r="E1869" s="5" t="s">
        <v>24</v>
      </c>
      <c r="F1869" s="5">
        <v>2947.53</v>
      </c>
    </row>
    <row r="1870" spans="1:6" ht="30.75" thickBot="1" x14ac:dyDescent="0.3">
      <c r="A1870" s="4" t="s">
        <v>129</v>
      </c>
      <c r="B1870" s="5" t="s">
        <v>17</v>
      </c>
      <c r="C1870" s="5" t="s">
        <v>8</v>
      </c>
      <c r="D1870" s="5" t="s">
        <v>28</v>
      </c>
      <c r="E1870" s="5" t="s">
        <v>24</v>
      </c>
      <c r="F1870" s="5">
        <v>571.92999999999995</v>
      </c>
    </row>
    <row r="1871" spans="1:6" ht="15.75" thickBot="1" x14ac:dyDescent="0.3">
      <c r="A1871" s="4" t="s">
        <v>102</v>
      </c>
      <c r="B1871" s="5" t="s">
        <v>19</v>
      </c>
      <c r="C1871" s="5" t="s">
        <v>8</v>
      </c>
      <c r="D1871" s="5" t="s">
        <v>9</v>
      </c>
      <c r="E1871" s="5" t="s">
        <v>15</v>
      </c>
      <c r="F1871" s="5">
        <v>4065.7376650000001</v>
      </c>
    </row>
    <row r="1872" spans="1:6" ht="15.75" thickBot="1" x14ac:dyDescent="0.3">
      <c r="A1872" s="4" t="s">
        <v>39</v>
      </c>
      <c r="B1872" s="5" t="s">
        <v>7</v>
      </c>
      <c r="C1872" s="5" t="s">
        <v>8</v>
      </c>
      <c r="D1872" s="5" t="s">
        <v>9</v>
      </c>
      <c r="E1872" s="5" t="s">
        <v>10</v>
      </c>
      <c r="F1872" s="5">
        <v>1983.30376</v>
      </c>
    </row>
    <row r="1873" spans="1:6" ht="15.75" thickBot="1" x14ac:dyDescent="0.3">
      <c r="A1873" s="4" t="s">
        <v>134</v>
      </c>
      <c r="B1873" s="5" t="s">
        <v>7</v>
      </c>
      <c r="C1873" s="5" t="s">
        <v>34</v>
      </c>
      <c r="D1873" s="5" t="s">
        <v>14</v>
      </c>
      <c r="E1873" s="5" t="s">
        <v>24</v>
      </c>
      <c r="F1873" s="5">
        <v>3226.08</v>
      </c>
    </row>
    <row r="1874" spans="1:6" ht="15.75" thickBot="1" x14ac:dyDescent="0.3">
      <c r="A1874" s="4" t="s">
        <v>95</v>
      </c>
      <c r="B1874" s="5" t="s">
        <v>30</v>
      </c>
      <c r="C1874" s="5" t="s">
        <v>8</v>
      </c>
      <c r="D1874" s="5" t="s">
        <v>9</v>
      </c>
      <c r="E1874" s="5" t="s">
        <v>15</v>
      </c>
      <c r="F1874" s="5">
        <v>885.44218950000004</v>
      </c>
    </row>
    <row r="1875" spans="1:6" ht="15.75" thickBot="1" x14ac:dyDescent="0.3">
      <c r="A1875" s="4" t="s">
        <v>196</v>
      </c>
      <c r="B1875" s="5" t="s">
        <v>30</v>
      </c>
      <c r="C1875" s="5" t="s">
        <v>13</v>
      </c>
      <c r="D1875" s="5" t="s">
        <v>14</v>
      </c>
      <c r="E1875" s="5" t="s">
        <v>15</v>
      </c>
      <c r="F1875" s="5">
        <v>3998.24</v>
      </c>
    </row>
    <row r="1876" spans="1:6" ht="15.75" thickBot="1" x14ac:dyDescent="0.3">
      <c r="A1876" s="4" t="s">
        <v>164</v>
      </c>
      <c r="B1876" s="5" t="s">
        <v>19</v>
      </c>
      <c r="C1876" s="5" t="s">
        <v>23</v>
      </c>
      <c r="D1876" s="5" t="s">
        <v>14</v>
      </c>
      <c r="E1876" s="5" t="s">
        <v>15</v>
      </c>
      <c r="F1876" s="5">
        <v>2639.81</v>
      </c>
    </row>
    <row r="1877" spans="1:6" ht="30.75" thickBot="1" x14ac:dyDescent="0.3">
      <c r="A1877" s="4" t="s">
        <v>199</v>
      </c>
      <c r="B1877" s="5" t="s">
        <v>17</v>
      </c>
      <c r="C1877" s="5" t="s">
        <v>34</v>
      </c>
      <c r="D1877" s="5" t="s">
        <v>14</v>
      </c>
      <c r="E1877" s="5" t="s">
        <v>10</v>
      </c>
      <c r="F1877" s="5">
        <v>2835.04</v>
      </c>
    </row>
    <row r="1878" spans="1:6" ht="15.75" thickBot="1" x14ac:dyDescent="0.3">
      <c r="A1878" s="4" t="s">
        <v>21</v>
      </c>
      <c r="B1878" s="5" t="s">
        <v>19</v>
      </c>
      <c r="C1878" s="5" t="s">
        <v>23</v>
      </c>
      <c r="D1878" s="5" t="s">
        <v>14</v>
      </c>
      <c r="E1878" s="5" t="s">
        <v>10</v>
      </c>
      <c r="F1878" s="5">
        <v>2182.6999999999998</v>
      </c>
    </row>
    <row r="1879" spans="1:6" ht="15.75" thickBot="1" x14ac:dyDescent="0.3">
      <c r="A1879" s="4" t="s">
        <v>55</v>
      </c>
      <c r="B1879" s="5" t="s">
        <v>12</v>
      </c>
      <c r="C1879" s="5" t="s">
        <v>13</v>
      </c>
      <c r="D1879" s="5" t="s">
        <v>28</v>
      </c>
      <c r="E1879" s="5" t="s">
        <v>10</v>
      </c>
      <c r="F1879" s="5">
        <v>3507.39</v>
      </c>
    </row>
    <row r="1880" spans="1:6" ht="15.75" thickBot="1" x14ac:dyDescent="0.3">
      <c r="A1880" s="4" t="s">
        <v>209</v>
      </c>
      <c r="B1880" s="5" t="s">
        <v>7</v>
      </c>
      <c r="C1880" s="5" t="s">
        <v>13</v>
      </c>
      <c r="D1880" s="5" t="s">
        <v>14</v>
      </c>
      <c r="E1880" s="5" t="s">
        <v>24</v>
      </c>
      <c r="F1880" s="5">
        <v>4743.79</v>
      </c>
    </row>
    <row r="1881" spans="1:6" ht="30.75" thickBot="1" x14ac:dyDescent="0.3">
      <c r="A1881" s="4" t="s">
        <v>194</v>
      </c>
      <c r="B1881" s="5" t="s">
        <v>17</v>
      </c>
      <c r="C1881" s="5" t="s">
        <v>13</v>
      </c>
      <c r="D1881" s="5" t="s">
        <v>28</v>
      </c>
      <c r="E1881" s="5" t="s">
        <v>10</v>
      </c>
      <c r="F1881" s="5">
        <v>2798.51</v>
      </c>
    </row>
    <row r="1882" spans="1:6" ht="15.75" thickBot="1" x14ac:dyDescent="0.3">
      <c r="A1882" s="4" t="s">
        <v>179</v>
      </c>
      <c r="B1882" s="5" t="s">
        <v>7</v>
      </c>
      <c r="C1882" s="5" t="s">
        <v>8</v>
      </c>
      <c r="D1882" s="5" t="s">
        <v>14</v>
      </c>
      <c r="E1882" s="5" t="s">
        <v>15</v>
      </c>
      <c r="F1882" s="5">
        <v>2111.5100000000002</v>
      </c>
    </row>
    <row r="1883" spans="1:6" ht="15.75" thickBot="1" x14ac:dyDescent="0.3">
      <c r="A1883" s="4" t="s">
        <v>107</v>
      </c>
      <c r="B1883" s="5" t="s">
        <v>30</v>
      </c>
      <c r="C1883" s="5" t="s">
        <v>8</v>
      </c>
      <c r="D1883" s="5" t="s">
        <v>28</v>
      </c>
      <c r="E1883" s="5" t="s">
        <v>15</v>
      </c>
      <c r="F1883" s="5">
        <v>440.45</v>
      </c>
    </row>
    <row r="1884" spans="1:6" ht="15.75" thickBot="1" x14ac:dyDescent="0.3">
      <c r="A1884" s="4" t="s">
        <v>75</v>
      </c>
      <c r="B1884" s="5" t="s">
        <v>19</v>
      </c>
      <c r="C1884" s="5" t="s">
        <v>13</v>
      </c>
      <c r="D1884" s="5" t="s">
        <v>14</v>
      </c>
      <c r="E1884" s="5" t="s">
        <v>15</v>
      </c>
      <c r="F1884" s="5">
        <v>2532.06</v>
      </c>
    </row>
    <row r="1885" spans="1:6" ht="30.75" thickBot="1" x14ac:dyDescent="0.3">
      <c r="A1885" s="4" t="s">
        <v>133</v>
      </c>
      <c r="B1885" s="5" t="s">
        <v>17</v>
      </c>
      <c r="C1885" s="5" t="s">
        <v>13</v>
      </c>
      <c r="D1885" s="5" t="s">
        <v>9</v>
      </c>
      <c r="E1885" s="5" t="s">
        <v>15</v>
      </c>
      <c r="F1885" s="5">
        <v>3682.33</v>
      </c>
    </row>
    <row r="1886" spans="1:6" ht="15.75" thickBot="1" x14ac:dyDescent="0.3">
      <c r="A1886" s="4" t="s">
        <v>189</v>
      </c>
      <c r="B1886" s="5" t="s">
        <v>19</v>
      </c>
      <c r="C1886" s="5" t="s">
        <v>23</v>
      </c>
      <c r="D1886" s="5" t="s">
        <v>28</v>
      </c>
      <c r="E1886" s="5" t="s">
        <v>15</v>
      </c>
      <c r="F1886" s="5">
        <v>1546.78</v>
      </c>
    </row>
    <row r="1887" spans="1:6" ht="15.75" thickBot="1" x14ac:dyDescent="0.3">
      <c r="A1887" s="4" t="s">
        <v>125</v>
      </c>
      <c r="B1887" s="5" t="s">
        <v>7</v>
      </c>
      <c r="C1887" s="5" t="s">
        <v>23</v>
      </c>
      <c r="D1887" s="5" t="s">
        <v>28</v>
      </c>
      <c r="E1887" s="5" t="s">
        <v>15</v>
      </c>
      <c r="F1887" s="5">
        <v>2135.9699999999998</v>
      </c>
    </row>
    <row r="1888" spans="1:6" ht="15.75" thickBot="1" x14ac:dyDescent="0.3">
      <c r="A1888" s="4" t="s">
        <v>180</v>
      </c>
      <c r="B1888" s="5" t="s">
        <v>30</v>
      </c>
      <c r="C1888" s="5" t="s">
        <v>13</v>
      </c>
      <c r="D1888" s="5" t="s">
        <v>28</v>
      </c>
      <c r="E1888" s="5" t="s">
        <v>10</v>
      </c>
      <c r="F1888" s="5">
        <v>1344</v>
      </c>
    </row>
    <row r="1889" spans="1:6" ht="30.75" thickBot="1" x14ac:dyDescent="0.3">
      <c r="A1889" s="4" t="s">
        <v>143</v>
      </c>
      <c r="B1889" s="5" t="s">
        <v>17</v>
      </c>
      <c r="C1889" s="5" t="s">
        <v>23</v>
      </c>
      <c r="D1889" s="5" t="s">
        <v>28</v>
      </c>
      <c r="E1889" s="5" t="s">
        <v>10</v>
      </c>
      <c r="F1889" s="5">
        <v>1009.35</v>
      </c>
    </row>
    <row r="1890" spans="1:6" ht="15.75" thickBot="1" x14ac:dyDescent="0.3">
      <c r="A1890" s="4" t="s">
        <v>38</v>
      </c>
      <c r="B1890" s="5" t="s">
        <v>30</v>
      </c>
      <c r="C1890" s="5" t="s">
        <v>8</v>
      </c>
      <c r="D1890" s="5" t="s">
        <v>28</v>
      </c>
      <c r="E1890" s="5" t="s">
        <v>24</v>
      </c>
      <c r="F1890" s="5">
        <v>1620.64</v>
      </c>
    </row>
    <row r="1891" spans="1:6" ht="15.75" thickBot="1" x14ac:dyDescent="0.3">
      <c r="A1891" s="4" t="s">
        <v>85</v>
      </c>
      <c r="B1891" s="5" t="s">
        <v>30</v>
      </c>
      <c r="C1891" s="5" t="s">
        <v>34</v>
      </c>
      <c r="D1891" s="5" t="s">
        <v>14</v>
      </c>
      <c r="E1891" s="5" t="s">
        <v>10</v>
      </c>
      <c r="F1891" s="5">
        <v>3874.19</v>
      </c>
    </row>
    <row r="1892" spans="1:6" ht="15.75" thickBot="1" x14ac:dyDescent="0.3">
      <c r="A1892" s="4" t="s">
        <v>92</v>
      </c>
      <c r="B1892" s="5" t="s">
        <v>30</v>
      </c>
      <c r="C1892" s="5" t="s">
        <v>8</v>
      </c>
      <c r="D1892" s="5" t="s">
        <v>28</v>
      </c>
      <c r="E1892" s="5" t="s">
        <v>15</v>
      </c>
      <c r="F1892" s="5">
        <v>3045.93</v>
      </c>
    </row>
    <row r="1893" spans="1:6" ht="15.75" thickBot="1" x14ac:dyDescent="0.3">
      <c r="A1893" s="4" t="s">
        <v>60</v>
      </c>
      <c r="B1893" s="5" t="s">
        <v>12</v>
      </c>
      <c r="C1893" s="5" t="s">
        <v>8</v>
      </c>
      <c r="D1893" s="5" t="s">
        <v>28</v>
      </c>
      <c r="E1893" s="5" t="s">
        <v>24</v>
      </c>
      <c r="F1893" s="5">
        <v>1476.28</v>
      </c>
    </row>
    <row r="1894" spans="1:6" ht="15.75" thickBot="1" x14ac:dyDescent="0.3">
      <c r="A1894" s="4" t="s">
        <v>117</v>
      </c>
      <c r="B1894" s="5" t="s">
        <v>7</v>
      </c>
      <c r="C1894" s="5" t="s">
        <v>23</v>
      </c>
      <c r="D1894" s="5" t="s">
        <v>9</v>
      </c>
      <c r="E1894" s="5" t="s">
        <v>15</v>
      </c>
      <c r="F1894" s="5">
        <v>3862.2531779999999</v>
      </c>
    </row>
    <row r="1895" spans="1:6" ht="30.75" thickBot="1" x14ac:dyDescent="0.3">
      <c r="A1895" s="4" t="s">
        <v>133</v>
      </c>
      <c r="B1895" s="5" t="s">
        <v>17</v>
      </c>
      <c r="C1895" s="5" t="s">
        <v>13</v>
      </c>
      <c r="D1895" s="5" t="s">
        <v>14</v>
      </c>
      <c r="E1895" s="5" t="s">
        <v>24</v>
      </c>
      <c r="F1895" s="5">
        <v>2517.98</v>
      </c>
    </row>
    <row r="1896" spans="1:6" ht="15.75" thickBot="1" x14ac:dyDescent="0.3">
      <c r="A1896" s="4" t="s">
        <v>158</v>
      </c>
      <c r="B1896" s="5" t="s">
        <v>30</v>
      </c>
      <c r="C1896" s="5" t="s">
        <v>23</v>
      </c>
      <c r="D1896" s="5" t="s">
        <v>14</v>
      </c>
      <c r="E1896" s="5" t="s">
        <v>10</v>
      </c>
      <c r="F1896" s="5">
        <v>3737.89</v>
      </c>
    </row>
    <row r="1897" spans="1:6" ht="15.75" thickBot="1" x14ac:dyDescent="0.3">
      <c r="A1897" s="4" t="s">
        <v>141</v>
      </c>
      <c r="B1897" s="5" t="s">
        <v>7</v>
      </c>
      <c r="C1897" s="5" t="s">
        <v>13</v>
      </c>
      <c r="D1897" s="5" t="s">
        <v>14</v>
      </c>
      <c r="E1897" s="5" t="s">
        <v>10</v>
      </c>
      <c r="F1897" s="5">
        <v>1111.82</v>
      </c>
    </row>
    <row r="1898" spans="1:6" ht="15.75" thickBot="1" x14ac:dyDescent="0.3">
      <c r="A1898" s="4" t="s">
        <v>103</v>
      </c>
      <c r="B1898" s="5" t="s">
        <v>19</v>
      </c>
      <c r="C1898" s="5" t="s">
        <v>23</v>
      </c>
      <c r="D1898" s="5" t="s">
        <v>14</v>
      </c>
      <c r="E1898" s="5" t="s">
        <v>24</v>
      </c>
      <c r="F1898" s="5">
        <v>4547.9799999999996</v>
      </c>
    </row>
    <row r="1899" spans="1:6" ht="30.75" thickBot="1" x14ac:dyDescent="0.3">
      <c r="A1899" s="4" t="s">
        <v>216</v>
      </c>
      <c r="B1899" s="5" t="s">
        <v>17</v>
      </c>
      <c r="C1899" s="5" t="s">
        <v>13</v>
      </c>
      <c r="D1899" s="5" t="s">
        <v>9</v>
      </c>
      <c r="E1899" s="5" t="s">
        <v>24</v>
      </c>
      <c r="F1899" s="5">
        <v>5035.8731600000001</v>
      </c>
    </row>
    <row r="1900" spans="1:6" ht="15.75" thickBot="1" x14ac:dyDescent="0.3">
      <c r="A1900" s="4" t="s">
        <v>106</v>
      </c>
      <c r="B1900" s="5" t="s">
        <v>12</v>
      </c>
      <c r="C1900" s="5" t="s">
        <v>8</v>
      </c>
      <c r="D1900" s="5" t="s">
        <v>14</v>
      </c>
      <c r="E1900" s="5" t="s">
        <v>15</v>
      </c>
      <c r="F1900" s="5">
        <v>666.62</v>
      </c>
    </row>
    <row r="1901" spans="1:6" ht="30.75" thickBot="1" x14ac:dyDescent="0.3">
      <c r="A1901" s="4" t="s">
        <v>104</v>
      </c>
      <c r="B1901" s="5" t="s">
        <v>17</v>
      </c>
      <c r="C1901" s="5" t="s">
        <v>8</v>
      </c>
      <c r="D1901" s="5" t="s">
        <v>28</v>
      </c>
      <c r="E1901" s="5" t="s">
        <v>24</v>
      </c>
      <c r="F1901" s="5">
        <v>4848.67</v>
      </c>
    </row>
    <row r="1902" spans="1:6" ht="15.75" thickBot="1" x14ac:dyDescent="0.3">
      <c r="A1902" s="4" t="s">
        <v>181</v>
      </c>
      <c r="B1902" s="5" t="s">
        <v>30</v>
      </c>
      <c r="C1902" s="5" t="s">
        <v>13</v>
      </c>
      <c r="D1902" s="5" t="s">
        <v>28</v>
      </c>
      <c r="E1902" s="5" t="s">
        <v>24</v>
      </c>
      <c r="F1902" s="5">
        <v>965.26</v>
      </c>
    </row>
    <row r="1903" spans="1:6" ht="15.75" thickBot="1" x14ac:dyDescent="0.3">
      <c r="A1903" s="4" t="s">
        <v>102</v>
      </c>
      <c r="B1903" s="5" t="s">
        <v>19</v>
      </c>
      <c r="C1903" s="5" t="s">
        <v>34</v>
      </c>
      <c r="D1903" s="5" t="s">
        <v>9</v>
      </c>
      <c r="E1903" s="5" t="s">
        <v>24</v>
      </c>
      <c r="F1903" s="5">
        <v>3352.8806140000002</v>
      </c>
    </row>
    <row r="1904" spans="1:6" ht="15.75" thickBot="1" x14ac:dyDescent="0.3">
      <c r="A1904" s="4" t="s">
        <v>220</v>
      </c>
      <c r="B1904" s="5" t="s">
        <v>12</v>
      </c>
      <c r="C1904" s="5" t="s">
        <v>23</v>
      </c>
      <c r="D1904" s="5" t="s">
        <v>9</v>
      </c>
      <c r="E1904" s="5" t="s">
        <v>24</v>
      </c>
      <c r="F1904" s="5">
        <v>3960.6895800000002</v>
      </c>
    </row>
    <row r="1905" spans="1:6" ht="15.75" thickBot="1" x14ac:dyDescent="0.3">
      <c r="A1905" s="4" t="s">
        <v>185</v>
      </c>
      <c r="B1905" s="5" t="s">
        <v>30</v>
      </c>
      <c r="C1905" s="5" t="s">
        <v>8</v>
      </c>
      <c r="D1905" s="5" t="s">
        <v>28</v>
      </c>
      <c r="E1905" s="5" t="s">
        <v>24</v>
      </c>
      <c r="F1905" s="5">
        <v>4162.58</v>
      </c>
    </row>
    <row r="1906" spans="1:6" ht="15.75" thickBot="1" x14ac:dyDescent="0.3">
      <c r="A1906" s="4" t="s">
        <v>132</v>
      </c>
      <c r="B1906" s="5" t="s">
        <v>19</v>
      </c>
      <c r="C1906" s="5" t="s">
        <v>13</v>
      </c>
      <c r="D1906" s="5" t="s">
        <v>28</v>
      </c>
      <c r="E1906" s="5" t="s">
        <v>24</v>
      </c>
      <c r="F1906" s="5">
        <v>3555.25</v>
      </c>
    </row>
    <row r="1907" spans="1:6" ht="15.75" thickBot="1" x14ac:dyDescent="0.3">
      <c r="A1907" s="4" t="s">
        <v>55</v>
      </c>
      <c r="B1907" s="5" t="s">
        <v>12</v>
      </c>
      <c r="C1907" s="5" t="s">
        <v>34</v>
      </c>
      <c r="D1907" s="5" t="s">
        <v>9</v>
      </c>
      <c r="E1907" s="5" t="s">
        <v>24</v>
      </c>
      <c r="F1907" s="5">
        <v>4585.8885039999996</v>
      </c>
    </row>
    <row r="1908" spans="1:6" ht="30.75" thickBot="1" x14ac:dyDescent="0.3">
      <c r="A1908" s="4" t="s">
        <v>116</v>
      </c>
      <c r="B1908" s="5" t="s">
        <v>17</v>
      </c>
      <c r="C1908" s="5" t="s">
        <v>8</v>
      </c>
      <c r="D1908" s="5" t="s">
        <v>9</v>
      </c>
      <c r="E1908" s="5" t="s">
        <v>24</v>
      </c>
      <c r="F1908" s="5">
        <v>875.52542779999999</v>
      </c>
    </row>
    <row r="1909" spans="1:6" ht="15.75" thickBot="1" x14ac:dyDescent="0.3">
      <c r="A1909" s="4" t="s">
        <v>198</v>
      </c>
      <c r="B1909" s="5" t="s">
        <v>12</v>
      </c>
      <c r="C1909" s="5" t="s">
        <v>8</v>
      </c>
      <c r="D1909" s="5" t="s">
        <v>9</v>
      </c>
      <c r="E1909" s="5" t="s">
        <v>24</v>
      </c>
      <c r="F1909" s="5">
        <v>3686.6816829999998</v>
      </c>
    </row>
    <row r="1910" spans="1:6" ht="15.75" thickBot="1" x14ac:dyDescent="0.3">
      <c r="A1910" s="4" t="s">
        <v>173</v>
      </c>
      <c r="B1910" s="5" t="s">
        <v>30</v>
      </c>
      <c r="C1910" s="5" t="s">
        <v>8</v>
      </c>
      <c r="D1910" s="5" t="s">
        <v>14</v>
      </c>
      <c r="E1910" s="5" t="s">
        <v>24</v>
      </c>
      <c r="F1910" s="5">
        <v>2899.46</v>
      </c>
    </row>
    <row r="1911" spans="1:6" ht="15.75" thickBot="1" x14ac:dyDescent="0.3">
      <c r="A1911" s="4" t="s">
        <v>29</v>
      </c>
      <c r="B1911" s="5" t="s">
        <v>30</v>
      </c>
      <c r="C1911" s="5" t="s">
        <v>23</v>
      </c>
      <c r="D1911" s="5" t="s">
        <v>28</v>
      </c>
      <c r="E1911" s="5" t="s">
        <v>15</v>
      </c>
      <c r="F1911" s="5">
        <v>429.01</v>
      </c>
    </row>
    <row r="1912" spans="1:6" ht="30.75" thickBot="1" x14ac:dyDescent="0.3">
      <c r="A1912" s="4" t="s">
        <v>116</v>
      </c>
      <c r="B1912" s="5" t="s">
        <v>17</v>
      </c>
      <c r="C1912" s="5" t="s">
        <v>13</v>
      </c>
      <c r="D1912" s="5" t="s">
        <v>9</v>
      </c>
      <c r="E1912" s="5" t="s">
        <v>10</v>
      </c>
      <c r="F1912" s="5">
        <v>1770.1852530000001</v>
      </c>
    </row>
    <row r="1913" spans="1:6" ht="15.75" thickBot="1" x14ac:dyDescent="0.3">
      <c r="A1913" s="4" t="s">
        <v>71</v>
      </c>
      <c r="B1913" s="5" t="s">
        <v>7</v>
      </c>
      <c r="C1913" s="5" t="s">
        <v>23</v>
      </c>
      <c r="D1913" s="5" t="s">
        <v>28</v>
      </c>
      <c r="E1913" s="5" t="s">
        <v>15</v>
      </c>
      <c r="F1913" s="5">
        <v>2143.0300000000002</v>
      </c>
    </row>
    <row r="1914" spans="1:6" ht="15.75" thickBot="1" x14ac:dyDescent="0.3">
      <c r="A1914" s="4" t="s">
        <v>40</v>
      </c>
      <c r="B1914" s="5" t="s">
        <v>19</v>
      </c>
      <c r="C1914" s="5" t="s">
        <v>8</v>
      </c>
      <c r="D1914" s="5" t="s">
        <v>14</v>
      </c>
      <c r="E1914" s="5" t="s">
        <v>15</v>
      </c>
      <c r="F1914" s="5">
        <v>81.83</v>
      </c>
    </row>
    <row r="1915" spans="1:6" ht="30.75" thickBot="1" x14ac:dyDescent="0.3">
      <c r="A1915" s="4" t="s">
        <v>133</v>
      </c>
      <c r="B1915" s="5" t="s">
        <v>17</v>
      </c>
      <c r="C1915" s="5" t="s">
        <v>23</v>
      </c>
      <c r="D1915" s="5" t="s">
        <v>9</v>
      </c>
      <c r="E1915" s="5" t="s">
        <v>24</v>
      </c>
      <c r="F1915" s="5">
        <v>2577.6</v>
      </c>
    </row>
    <row r="1916" spans="1:6" ht="15.75" thickBot="1" x14ac:dyDescent="0.3">
      <c r="A1916" s="4" t="s">
        <v>60</v>
      </c>
      <c r="B1916" s="5" t="s">
        <v>12</v>
      </c>
      <c r="C1916" s="5" t="s">
        <v>8</v>
      </c>
      <c r="D1916" s="5" t="s">
        <v>9</v>
      </c>
      <c r="E1916" s="5" t="s">
        <v>15</v>
      </c>
      <c r="F1916" s="5">
        <v>5027.8617039999999</v>
      </c>
    </row>
    <row r="1917" spans="1:6" ht="15.75" thickBot="1" x14ac:dyDescent="0.3">
      <c r="A1917" s="4" t="s">
        <v>124</v>
      </c>
      <c r="B1917" s="5" t="s">
        <v>12</v>
      </c>
      <c r="C1917" s="5" t="s">
        <v>23</v>
      </c>
      <c r="D1917" s="5" t="s">
        <v>28</v>
      </c>
      <c r="E1917" s="5" t="s">
        <v>15</v>
      </c>
      <c r="F1917" s="5">
        <v>3269.61</v>
      </c>
    </row>
    <row r="1918" spans="1:6" ht="15.75" thickBot="1" x14ac:dyDescent="0.3">
      <c r="A1918" s="4" t="s">
        <v>198</v>
      </c>
      <c r="B1918" s="5" t="s">
        <v>12</v>
      </c>
      <c r="C1918" s="5" t="s">
        <v>13</v>
      </c>
      <c r="D1918" s="5" t="s">
        <v>9</v>
      </c>
      <c r="E1918" s="5" t="s">
        <v>10</v>
      </c>
      <c r="F1918" s="5">
        <v>3769.6593710000002</v>
      </c>
    </row>
    <row r="1919" spans="1:6" ht="15.75" thickBot="1" x14ac:dyDescent="0.3">
      <c r="A1919" s="4" t="s">
        <v>180</v>
      </c>
      <c r="B1919" s="5" t="s">
        <v>30</v>
      </c>
      <c r="C1919" s="5" t="s">
        <v>23</v>
      </c>
      <c r="D1919" s="5" t="s">
        <v>14</v>
      </c>
      <c r="E1919" s="5" t="s">
        <v>10</v>
      </c>
      <c r="F1919" s="5">
        <v>3970.3</v>
      </c>
    </row>
    <row r="1920" spans="1:6" ht="30.75" thickBot="1" x14ac:dyDescent="0.3">
      <c r="A1920" s="4" t="s">
        <v>131</v>
      </c>
      <c r="B1920" s="5" t="s">
        <v>17</v>
      </c>
      <c r="C1920" s="5" t="s">
        <v>23</v>
      </c>
      <c r="D1920" s="5" t="s">
        <v>14</v>
      </c>
      <c r="E1920" s="5" t="s">
        <v>10</v>
      </c>
      <c r="F1920" s="5">
        <v>2665.16</v>
      </c>
    </row>
    <row r="1921" spans="1:6" ht="15.75" thickBot="1" x14ac:dyDescent="0.3">
      <c r="A1921" s="4" t="s">
        <v>182</v>
      </c>
      <c r="B1921" s="5" t="s">
        <v>12</v>
      </c>
      <c r="C1921" s="5" t="s">
        <v>23</v>
      </c>
      <c r="D1921" s="5" t="s">
        <v>14</v>
      </c>
      <c r="E1921" s="5" t="s">
        <v>24</v>
      </c>
      <c r="F1921" s="5">
        <v>374.88</v>
      </c>
    </row>
    <row r="1922" spans="1:6" ht="15.75" thickBot="1" x14ac:dyDescent="0.3">
      <c r="A1922" s="4" t="s">
        <v>214</v>
      </c>
      <c r="B1922" s="5" t="s">
        <v>30</v>
      </c>
      <c r="C1922" s="5" t="s">
        <v>13</v>
      </c>
      <c r="D1922" s="5" t="s">
        <v>9</v>
      </c>
      <c r="E1922" s="5" t="s">
        <v>10</v>
      </c>
      <c r="F1922" s="5">
        <v>1106.076894</v>
      </c>
    </row>
    <row r="1923" spans="1:6" ht="30.75" thickBot="1" x14ac:dyDescent="0.3">
      <c r="A1923" s="4" t="s">
        <v>207</v>
      </c>
      <c r="B1923" s="5" t="s">
        <v>17</v>
      </c>
      <c r="C1923" s="5" t="s">
        <v>8</v>
      </c>
      <c r="D1923" s="5" t="s">
        <v>9</v>
      </c>
      <c r="E1923" s="5" t="s">
        <v>15</v>
      </c>
      <c r="F1923" s="5">
        <v>2876.4781170000001</v>
      </c>
    </row>
    <row r="1924" spans="1:6" ht="15.75" thickBot="1" x14ac:dyDescent="0.3">
      <c r="A1924" s="4" t="s">
        <v>67</v>
      </c>
      <c r="B1924" s="5" t="s">
        <v>7</v>
      </c>
      <c r="C1924" s="5" t="s">
        <v>34</v>
      </c>
      <c r="D1924" s="5" t="s">
        <v>14</v>
      </c>
      <c r="E1924" s="5" t="s">
        <v>24</v>
      </c>
      <c r="F1924" s="5">
        <v>4394.3599999999997</v>
      </c>
    </row>
    <row r="1925" spans="1:6" ht="15.75" thickBot="1" x14ac:dyDescent="0.3">
      <c r="A1925" s="4" t="s">
        <v>191</v>
      </c>
      <c r="B1925" s="5" t="s">
        <v>12</v>
      </c>
      <c r="C1925" s="5" t="s">
        <v>34</v>
      </c>
      <c r="D1925" s="5" t="s">
        <v>28</v>
      </c>
      <c r="E1925" s="5" t="s">
        <v>10</v>
      </c>
      <c r="F1925" s="5">
        <v>3682.56</v>
      </c>
    </row>
    <row r="1926" spans="1:6" ht="15.75" thickBot="1" x14ac:dyDescent="0.3">
      <c r="A1926" s="4" t="s">
        <v>179</v>
      </c>
      <c r="B1926" s="5" t="s">
        <v>7</v>
      </c>
      <c r="C1926" s="5" t="s">
        <v>23</v>
      </c>
      <c r="D1926" s="5" t="s">
        <v>14</v>
      </c>
      <c r="E1926" s="5" t="s">
        <v>24</v>
      </c>
      <c r="F1926" s="5">
        <v>2576.87</v>
      </c>
    </row>
    <row r="1927" spans="1:6" ht="15.75" thickBot="1" x14ac:dyDescent="0.3">
      <c r="A1927" s="4" t="s">
        <v>217</v>
      </c>
      <c r="B1927" s="5" t="s">
        <v>19</v>
      </c>
      <c r="C1927" s="5" t="s">
        <v>23</v>
      </c>
      <c r="D1927" s="5" t="s">
        <v>14</v>
      </c>
      <c r="E1927" s="5" t="s">
        <v>15</v>
      </c>
      <c r="F1927" s="5">
        <v>4625.6000000000004</v>
      </c>
    </row>
    <row r="1928" spans="1:6" ht="15.75" thickBot="1" x14ac:dyDescent="0.3">
      <c r="A1928" s="4" t="s">
        <v>161</v>
      </c>
      <c r="B1928" s="5" t="s">
        <v>7</v>
      </c>
      <c r="C1928" s="5" t="s">
        <v>23</v>
      </c>
      <c r="D1928" s="5" t="s">
        <v>14</v>
      </c>
      <c r="E1928" s="5" t="s">
        <v>24</v>
      </c>
      <c r="F1928" s="5">
        <v>3554.21</v>
      </c>
    </row>
    <row r="1929" spans="1:6" ht="15.75" thickBot="1" x14ac:dyDescent="0.3">
      <c r="A1929" s="4" t="s">
        <v>209</v>
      </c>
      <c r="B1929" s="5" t="s">
        <v>7</v>
      </c>
      <c r="C1929" s="5" t="s">
        <v>34</v>
      </c>
      <c r="D1929" s="5" t="s">
        <v>14</v>
      </c>
      <c r="E1929" s="5" t="s">
        <v>24</v>
      </c>
      <c r="F1929" s="5">
        <v>2525.88</v>
      </c>
    </row>
    <row r="1930" spans="1:6" ht="30.75" thickBot="1" x14ac:dyDescent="0.3">
      <c r="A1930" s="4" t="s">
        <v>76</v>
      </c>
      <c r="B1930" s="5" t="s">
        <v>17</v>
      </c>
      <c r="C1930" s="5" t="s">
        <v>8</v>
      </c>
      <c r="D1930" s="5" t="s">
        <v>9</v>
      </c>
      <c r="E1930" s="5" t="s">
        <v>15</v>
      </c>
      <c r="F1930" s="5">
        <v>2134.7955550000001</v>
      </c>
    </row>
    <row r="1931" spans="1:6" ht="30.75" thickBot="1" x14ac:dyDescent="0.3">
      <c r="A1931" s="4" t="s">
        <v>80</v>
      </c>
      <c r="B1931" s="5" t="s">
        <v>17</v>
      </c>
      <c r="C1931" s="5" t="s">
        <v>34</v>
      </c>
      <c r="D1931" s="5" t="s">
        <v>28</v>
      </c>
      <c r="E1931" s="5" t="s">
        <v>10</v>
      </c>
      <c r="F1931" s="5">
        <v>798.55</v>
      </c>
    </row>
    <row r="1932" spans="1:6" ht="30.75" thickBot="1" x14ac:dyDescent="0.3">
      <c r="A1932" s="4" t="s">
        <v>207</v>
      </c>
      <c r="B1932" s="5" t="s">
        <v>17</v>
      </c>
      <c r="C1932" s="5" t="s">
        <v>8</v>
      </c>
      <c r="D1932" s="5" t="s">
        <v>28</v>
      </c>
      <c r="E1932" s="5" t="s">
        <v>24</v>
      </c>
      <c r="F1932" s="5">
        <v>4426.58</v>
      </c>
    </row>
    <row r="1933" spans="1:6" ht="15.75" thickBot="1" x14ac:dyDescent="0.3">
      <c r="A1933" s="4" t="s">
        <v>84</v>
      </c>
      <c r="B1933" s="5" t="s">
        <v>30</v>
      </c>
      <c r="C1933" s="5" t="s">
        <v>34</v>
      </c>
      <c r="D1933" s="5" t="s">
        <v>14</v>
      </c>
      <c r="E1933" s="5" t="s">
        <v>15</v>
      </c>
      <c r="F1933" s="5">
        <v>2921.55</v>
      </c>
    </row>
    <row r="1934" spans="1:6" ht="15.75" thickBot="1" x14ac:dyDescent="0.3">
      <c r="A1934" s="4" t="s">
        <v>176</v>
      </c>
      <c r="B1934" s="5" t="s">
        <v>19</v>
      </c>
      <c r="C1934" s="5" t="s">
        <v>34</v>
      </c>
      <c r="D1934" s="5" t="s">
        <v>14</v>
      </c>
      <c r="E1934" s="5" t="s">
        <v>24</v>
      </c>
      <c r="F1934" s="5">
        <v>1534.55</v>
      </c>
    </row>
    <row r="1935" spans="1:6" ht="15.75" thickBot="1" x14ac:dyDescent="0.3">
      <c r="A1935" s="4" t="s">
        <v>11</v>
      </c>
      <c r="B1935" s="5" t="s">
        <v>12</v>
      </c>
      <c r="C1935" s="5" t="s">
        <v>13</v>
      </c>
      <c r="D1935" s="5" t="s">
        <v>9</v>
      </c>
      <c r="E1935" s="5" t="s">
        <v>15</v>
      </c>
      <c r="F1935" s="5">
        <v>3062.3459630000002</v>
      </c>
    </row>
    <row r="1936" spans="1:6" ht="15.75" thickBot="1" x14ac:dyDescent="0.3">
      <c r="A1936" s="4" t="s">
        <v>185</v>
      </c>
      <c r="B1936" s="5" t="s">
        <v>30</v>
      </c>
      <c r="C1936" s="5" t="s">
        <v>8</v>
      </c>
      <c r="D1936" s="5" t="s">
        <v>9</v>
      </c>
      <c r="E1936" s="5" t="s">
        <v>15</v>
      </c>
      <c r="F1936" s="5">
        <v>1828.37</v>
      </c>
    </row>
    <row r="1937" spans="1:6" ht="15.75" thickBot="1" x14ac:dyDescent="0.3">
      <c r="A1937" s="4" t="s">
        <v>181</v>
      </c>
      <c r="B1937" s="5" t="s">
        <v>30</v>
      </c>
      <c r="C1937" s="5" t="s">
        <v>8</v>
      </c>
      <c r="D1937" s="5" t="s">
        <v>9</v>
      </c>
      <c r="E1937" s="5" t="s">
        <v>15</v>
      </c>
      <c r="F1937" s="5">
        <v>2945.0437750000001</v>
      </c>
    </row>
    <row r="1938" spans="1:6" ht="15.75" thickBot="1" x14ac:dyDescent="0.3">
      <c r="A1938" s="4" t="s">
        <v>29</v>
      </c>
      <c r="B1938" s="5" t="s">
        <v>30</v>
      </c>
      <c r="C1938" s="5" t="s">
        <v>34</v>
      </c>
      <c r="D1938" s="5" t="s">
        <v>28</v>
      </c>
      <c r="E1938" s="5" t="s">
        <v>10</v>
      </c>
      <c r="F1938" s="5">
        <v>2905.61</v>
      </c>
    </row>
    <row r="1939" spans="1:6" ht="30.75" thickBot="1" x14ac:dyDescent="0.3">
      <c r="A1939" s="4" t="s">
        <v>199</v>
      </c>
      <c r="B1939" s="5" t="s">
        <v>17</v>
      </c>
      <c r="C1939" s="5" t="s">
        <v>23</v>
      </c>
      <c r="D1939" s="5" t="s">
        <v>28</v>
      </c>
      <c r="E1939" s="5" t="s">
        <v>24</v>
      </c>
      <c r="F1939" s="5">
        <v>3354.34</v>
      </c>
    </row>
    <row r="1940" spans="1:6" ht="30.75" thickBot="1" x14ac:dyDescent="0.3">
      <c r="A1940" s="4" t="s">
        <v>168</v>
      </c>
      <c r="B1940" s="5" t="s">
        <v>17</v>
      </c>
      <c r="C1940" s="5" t="s">
        <v>23</v>
      </c>
      <c r="D1940" s="5" t="s">
        <v>14</v>
      </c>
      <c r="E1940" s="5" t="s">
        <v>10</v>
      </c>
      <c r="F1940" s="5">
        <v>4622.8599999999997</v>
      </c>
    </row>
    <row r="1941" spans="1:6" ht="15.75" thickBot="1" x14ac:dyDescent="0.3">
      <c r="A1941" s="4" t="s">
        <v>97</v>
      </c>
      <c r="B1941" s="5" t="s">
        <v>7</v>
      </c>
      <c r="C1941" s="5" t="s">
        <v>13</v>
      </c>
      <c r="D1941" s="5" t="s">
        <v>9</v>
      </c>
      <c r="E1941" s="5" t="s">
        <v>24</v>
      </c>
      <c r="F1941" s="5">
        <v>4374</v>
      </c>
    </row>
    <row r="1942" spans="1:6" ht="15.75" thickBot="1" x14ac:dyDescent="0.3">
      <c r="A1942" s="4" t="s">
        <v>95</v>
      </c>
      <c r="B1942" s="5" t="s">
        <v>30</v>
      </c>
      <c r="C1942" s="5" t="s">
        <v>34</v>
      </c>
      <c r="D1942" s="5" t="s">
        <v>28</v>
      </c>
      <c r="E1942" s="5" t="s">
        <v>10</v>
      </c>
      <c r="F1942" s="5">
        <v>1375.43</v>
      </c>
    </row>
    <row r="1943" spans="1:6" ht="30.75" thickBot="1" x14ac:dyDescent="0.3">
      <c r="A1943" s="4" t="s">
        <v>129</v>
      </c>
      <c r="B1943" s="5" t="s">
        <v>17</v>
      </c>
      <c r="C1943" s="5" t="s">
        <v>8</v>
      </c>
      <c r="D1943" s="5" t="s">
        <v>9</v>
      </c>
      <c r="E1943" s="5" t="s">
        <v>24</v>
      </c>
      <c r="F1943" s="5">
        <v>4136.8180979999997</v>
      </c>
    </row>
    <row r="1944" spans="1:6" ht="15.75" thickBot="1" x14ac:dyDescent="0.3">
      <c r="A1944" s="4" t="s">
        <v>100</v>
      </c>
      <c r="B1944" s="5" t="s">
        <v>7</v>
      </c>
      <c r="C1944" s="5" t="s">
        <v>13</v>
      </c>
      <c r="D1944" s="5" t="s">
        <v>9</v>
      </c>
      <c r="E1944" s="5" t="s">
        <v>10</v>
      </c>
      <c r="F1944" s="5">
        <v>2988.4606469999999</v>
      </c>
    </row>
    <row r="1945" spans="1:6" ht="15.75" thickBot="1" x14ac:dyDescent="0.3">
      <c r="A1945" s="4" t="s">
        <v>119</v>
      </c>
      <c r="B1945" s="5" t="s">
        <v>30</v>
      </c>
      <c r="C1945" s="5" t="s">
        <v>23</v>
      </c>
      <c r="D1945" s="5" t="s">
        <v>9</v>
      </c>
      <c r="E1945" s="5" t="s">
        <v>15</v>
      </c>
      <c r="F1945" s="5">
        <v>724.73842969999998</v>
      </c>
    </row>
    <row r="1946" spans="1:6" ht="15.75" thickBot="1" x14ac:dyDescent="0.3">
      <c r="A1946" s="4" t="s">
        <v>86</v>
      </c>
      <c r="B1946" s="5" t="s">
        <v>19</v>
      </c>
      <c r="C1946" s="5" t="s">
        <v>8</v>
      </c>
      <c r="D1946" s="5" t="s">
        <v>28</v>
      </c>
      <c r="E1946" s="5" t="s">
        <v>15</v>
      </c>
      <c r="F1946" s="5">
        <v>4727.37</v>
      </c>
    </row>
    <row r="1947" spans="1:6" ht="15.75" thickBot="1" x14ac:dyDescent="0.3">
      <c r="A1947" s="4" t="s">
        <v>202</v>
      </c>
      <c r="B1947" s="5" t="s">
        <v>12</v>
      </c>
      <c r="C1947" s="5" t="s">
        <v>13</v>
      </c>
      <c r="D1947" s="5" t="s">
        <v>28</v>
      </c>
      <c r="E1947" s="5" t="s">
        <v>24</v>
      </c>
      <c r="F1947" s="5">
        <v>78.44</v>
      </c>
    </row>
    <row r="1948" spans="1:6" ht="15.75" thickBot="1" x14ac:dyDescent="0.3">
      <c r="A1948" s="4" t="s">
        <v>213</v>
      </c>
      <c r="B1948" s="5" t="s">
        <v>12</v>
      </c>
      <c r="C1948" s="5" t="s">
        <v>8</v>
      </c>
      <c r="D1948" s="5" t="s">
        <v>14</v>
      </c>
      <c r="E1948" s="5" t="s">
        <v>24</v>
      </c>
      <c r="F1948" s="5">
        <v>4289.21</v>
      </c>
    </row>
    <row r="1949" spans="1:6" ht="15.75" thickBot="1" x14ac:dyDescent="0.3">
      <c r="A1949" s="4" t="s">
        <v>220</v>
      </c>
      <c r="B1949" s="5" t="s">
        <v>12</v>
      </c>
      <c r="C1949" s="5" t="s">
        <v>34</v>
      </c>
      <c r="D1949" s="5" t="s">
        <v>14</v>
      </c>
      <c r="E1949" s="5" t="s">
        <v>15</v>
      </c>
      <c r="F1949" s="5">
        <v>1666.98</v>
      </c>
    </row>
    <row r="1950" spans="1:6" ht="15.75" thickBot="1" x14ac:dyDescent="0.3">
      <c r="A1950" s="4" t="s">
        <v>35</v>
      </c>
      <c r="B1950" s="5" t="s">
        <v>19</v>
      </c>
      <c r="C1950" s="5" t="s">
        <v>13</v>
      </c>
      <c r="D1950" s="5" t="s">
        <v>14</v>
      </c>
      <c r="E1950" s="5" t="s">
        <v>15</v>
      </c>
      <c r="F1950" s="5">
        <v>1277.3399999999999</v>
      </c>
    </row>
    <row r="1951" spans="1:6" ht="15.75" thickBot="1" x14ac:dyDescent="0.3">
      <c r="A1951" s="4" t="s">
        <v>118</v>
      </c>
      <c r="B1951" s="5" t="s">
        <v>30</v>
      </c>
      <c r="C1951" s="5" t="s">
        <v>13</v>
      </c>
      <c r="D1951" s="5" t="s">
        <v>28</v>
      </c>
      <c r="E1951" s="5" t="s">
        <v>24</v>
      </c>
      <c r="F1951" s="5">
        <v>371.36</v>
      </c>
    </row>
    <row r="1952" spans="1:6" ht="30.75" thickBot="1" x14ac:dyDescent="0.3">
      <c r="A1952" s="4" t="s">
        <v>143</v>
      </c>
      <c r="B1952" s="5" t="s">
        <v>17</v>
      </c>
      <c r="C1952" s="5" t="s">
        <v>13</v>
      </c>
      <c r="D1952" s="5" t="s">
        <v>9</v>
      </c>
      <c r="E1952" s="5" t="s">
        <v>15</v>
      </c>
      <c r="F1952" s="5">
        <v>4247.1697489999997</v>
      </c>
    </row>
    <row r="1953" spans="1:6" ht="15.75" thickBot="1" x14ac:dyDescent="0.3">
      <c r="A1953" s="4" t="s">
        <v>125</v>
      </c>
      <c r="B1953" s="5" t="s">
        <v>7</v>
      </c>
      <c r="C1953" s="5" t="s">
        <v>13</v>
      </c>
      <c r="D1953" s="5" t="s">
        <v>14</v>
      </c>
      <c r="E1953" s="5" t="s">
        <v>15</v>
      </c>
      <c r="F1953" s="5">
        <v>3150.39</v>
      </c>
    </row>
    <row r="1954" spans="1:6" ht="30.75" thickBot="1" x14ac:dyDescent="0.3">
      <c r="A1954" s="4" t="s">
        <v>127</v>
      </c>
      <c r="B1954" s="5" t="s">
        <v>17</v>
      </c>
      <c r="C1954" s="5" t="s">
        <v>13</v>
      </c>
      <c r="D1954" s="5" t="s">
        <v>9</v>
      </c>
      <c r="E1954" s="5" t="s">
        <v>15</v>
      </c>
      <c r="F1954" s="5">
        <v>3071.4404570000002</v>
      </c>
    </row>
    <row r="1955" spans="1:6" ht="30.75" thickBot="1" x14ac:dyDescent="0.3">
      <c r="A1955" s="4" t="s">
        <v>58</v>
      </c>
      <c r="B1955" s="5" t="s">
        <v>17</v>
      </c>
      <c r="C1955" s="5" t="s">
        <v>13</v>
      </c>
      <c r="D1955" s="5" t="s">
        <v>14</v>
      </c>
      <c r="E1955" s="5" t="s">
        <v>15</v>
      </c>
      <c r="F1955" s="5">
        <v>341.64</v>
      </c>
    </row>
    <row r="1956" spans="1:6" ht="15.75" thickBot="1" x14ac:dyDescent="0.3">
      <c r="A1956" s="4" t="s">
        <v>69</v>
      </c>
      <c r="B1956" s="5" t="s">
        <v>7</v>
      </c>
      <c r="C1956" s="5" t="s">
        <v>13</v>
      </c>
      <c r="D1956" s="5" t="s">
        <v>28</v>
      </c>
      <c r="E1956" s="5" t="s">
        <v>24</v>
      </c>
      <c r="F1956" s="5">
        <v>4075.39</v>
      </c>
    </row>
    <row r="1957" spans="1:6" ht="30.75" thickBot="1" x14ac:dyDescent="0.3">
      <c r="A1957" s="4" t="s">
        <v>142</v>
      </c>
      <c r="B1957" s="5" t="s">
        <v>17</v>
      </c>
      <c r="C1957" s="5" t="s">
        <v>8</v>
      </c>
      <c r="D1957" s="5" t="s">
        <v>28</v>
      </c>
      <c r="E1957" s="5" t="s">
        <v>24</v>
      </c>
      <c r="F1957" s="5">
        <v>4062.72</v>
      </c>
    </row>
    <row r="1958" spans="1:6" ht="15.75" thickBot="1" x14ac:dyDescent="0.3">
      <c r="A1958" s="4" t="s">
        <v>64</v>
      </c>
      <c r="B1958" s="5" t="s">
        <v>30</v>
      </c>
      <c r="C1958" s="5" t="s">
        <v>13</v>
      </c>
      <c r="D1958" s="5" t="s">
        <v>28</v>
      </c>
      <c r="E1958" s="5" t="s">
        <v>15</v>
      </c>
      <c r="F1958" s="5">
        <v>3930.54</v>
      </c>
    </row>
    <row r="1959" spans="1:6" ht="15.75" thickBot="1" x14ac:dyDescent="0.3">
      <c r="A1959" s="4" t="s">
        <v>201</v>
      </c>
      <c r="B1959" s="5" t="s">
        <v>12</v>
      </c>
      <c r="C1959" s="5" t="s">
        <v>23</v>
      </c>
      <c r="D1959" s="5" t="s">
        <v>14</v>
      </c>
      <c r="E1959" s="5" t="s">
        <v>10</v>
      </c>
      <c r="F1959" s="5">
        <v>1919.26</v>
      </c>
    </row>
    <row r="1960" spans="1:6" ht="15.75" thickBot="1" x14ac:dyDescent="0.3">
      <c r="A1960" s="4" t="s">
        <v>210</v>
      </c>
      <c r="B1960" s="5" t="s">
        <v>7</v>
      </c>
      <c r="C1960" s="5" t="s">
        <v>13</v>
      </c>
      <c r="D1960" s="5" t="s">
        <v>14</v>
      </c>
      <c r="E1960" s="5" t="s">
        <v>10</v>
      </c>
      <c r="F1960" s="5">
        <v>3554.23</v>
      </c>
    </row>
    <row r="1961" spans="1:6" ht="15.75" thickBot="1" x14ac:dyDescent="0.3">
      <c r="A1961" s="4" t="s">
        <v>169</v>
      </c>
      <c r="B1961" s="5" t="s">
        <v>12</v>
      </c>
      <c r="C1961" s="5" t="s">
        <v>13</v>
      </c>
      <c r="D1961" s="5" t="s">
        <v>9</v>
      </c>
      <c r="E1961" s="5" t="s">
        <v>24</v>
      </c>
      <c r="F1961" s="5">
        <v>493.58</v>
      </c>
    </row>
    <row r="1962" spans="1:6" ht="15.75" thickBot="1" x14ac:dyDescent="0.3">
      <c r="A1962" s="4" t="s">
        <v>87</v>
      </c>
      <c r="B1962" s="5" t="s">
        <v>12</v>
      </c>
      <c r="C1962" s="5" t="s">
        <v>23</v>
      </c>
      <c r="D1962" s="5" t="s">
        <v>9</v>
      </c>
      <c r="E1962" s="5" t="s">
        <v>10</v>
      </c>
      <c r="F1962" s="5">
        <v>2362.1602800000001</v>
      </c>
    </row>
    <row r="1963" spans="1:6" ht="15.75" thickBot="1" x14ac:dyDescent="0.3">
      <c r="A1963" s="4" t="s">
        <v>203</v>
      </c>
      <c r="B1963" s="5" t="s">
        <v>12</v>
      </c>
      <c r="C1963" s="5" t="s">
        <v>13</v>
      </c>
      <c r="D1963" s="5" t="s">
        <v>14</v>
      </c>
      <c r="E1963" s="5" t="s">
        <v>15</v>
      </c>
      <c r="F1963" s="5">
        <v>984.26</v>
      </c>
    </row>
    <row r="1964" spans="1:6" ht="15.75" thickBot="1" x14ac:dyDescent="0.3">
      <c r="A1964" s="4" t="s">
        <v>163</v>
      </c>
      <c r="B1964" s="5" t="s">
        <v>19</v>
      </c>
      <c r="C1964" s="5" t="s">
        <v>23</v>
      </c>
      <c r="D1964" s="5" t="s">
        <v>28</v>
      </c>
      <c r="E1964" s="5" t="s">
        <v>24</v>
      </c>
      <c r="F1964" s="5">
        <v>2223.0500000000002</v>
      </c>
    </row>
    <row r="1965" spans="1:6" ht="15.75" thickBot="1" x14ac:dyDescent="0.3">
      <c r="A1965" s="4" t="s">
        <v>54</v>
      </c>
      <c r="B1965" s="5" t="s">
        <v>12</v>
      </c>
      <c r="C1965" s="5" t="s">
        <v>34</v>
      </c>
      <c r="D1965" s="5" t="s">
        <v>9</v>
      </c>
      <c r="E1965" s="5" t="s">
        <v>24</v>
      </c>
      <c r="F1965" s="5">
        <v>2498.8473060000001</v>
      </c>
    </row>
    <row r="1966" spans="1:6" ht="15.75" thickBot="1" x14ac:dyDescent="0.3">
      <c r="A1966" s="4" t="s">
        <v>21</v>
      </c>
      <c r="B1966" s="5" t="s">
        <v>19</v>
      </c>
      <c r="C1966" s="5" t="s">
        <v>8</v>
      </c>
      <c r="D1966" s="5" t="s">
        <v>9</v>
      </c>
      <c r="E1966" s="5" t="s">
        <v>10</v>
      </c>
      <c r="F1966" s="5">
        <v>857.66462850000005</v>
      </c>
    </row>
    <row r="1967" spans="1:6" ht="15.75" thickBot="1" x14ac:dyDescent="0.3">
      <c r="A1967" s="4" t="s">
        <v>53</v>
      </c>
      <c r="B1967" s="5" t="s">
        <v>7</v>
      </c>
      <c r="C1967" s="5" t="s">
        <v>8</v>
      </c>
      <c r="D1967" s="5" t="s">
        <v>14</v>
      </c>
      <c r="E1967" s="5" t="s">
        <v>15</v>
      </c>
      <c r="F1967" s="5">
        <v>2079.4</v>
      </c>
    </row>
    <row r="1968" spans="1:6" ht="15.75" thickBot="1" x14ac:dyDescent="0.3">
      <c r="A1968" s="4" t="s">
        <v>36</v>
      </c>
      <c r="B1968" s="5" t="s">
        <v>12</v>
      </c>
      <c r="C1968" s="5" t="s">
        <v>13</v>
      </c>
      <c r="D1968" s="5" t="s">
        <v>28</v>
      </c>
      <c r="E1968" s="5" t="s">
        <v>15</v>
      </c>
      <c r="F1968" s="5">
        <v>2644.71</v>
      </c>
    </row>
    <row r="1969" spans="1:6" ht="15.75" thickBot="1" x14ac:dyDescent="0.3">
      <c r="A1969" s="4" t="s">
        <v>110</v>
      </c>
      <c r="B1969" s="5" t="s">
        <v>12</v>
      </c>
      <c r="C1969" s="5" t="s">
        <v>8</v>
      </c>
      <c r="D1969" s="5" t="s">
        <v>14</v>
      </c>
      <c r="E1969" s="5" t="s">
        <v>15</v>
      </c>
      <c r="F1969" s="5">
        <v>813.42</v>
      </c>
    </row>
    <row r="1970" spans="1:6" ht="15.75" thickBot="1" x14ac:dyDescent="0.3">
      <c r="A1970" s="4" t="s">
        <v>77</v>
      </c>
      <c r="B1970" s="5" t="s">
        <v>30</v>
      </c>
      <c r="C1970" s="5" t="s">
        <v>23</v>
      </c>
      <c r="D1970" s="5" t="s">
        <v>9</v>
      </c>
      <c r="E1970" s="5" t="s">
        <v>15</v>
      </c>
      <c r="F1970" s="5">
        <v>1500.741311</v>
      </c>
    </row>
    <row r="1971" spans="1:6" ht="15.75" thickBot="1" x14ac:dyDescent="0.3">
      <c r="A1971" s="4" t="s">
        <v>117</v>
      </c>
      <c r="B1971" s="5" t="s">
        <v>7</v>
      </c>
      <c r="C1971" s="5" t="s">
        <v>34</v>
      </c>
      <c r="D1971" s="5" t="s">
        <v>14</v>
      </c>
      <c r="E1971" s="5" t="s">
        <v>24</v>
      </c>
      <c r="F1971" s="5">
        <v>2099.7800000000002</v>
      </c>
    </row>
    <row r="1972" spans="1:6" ht="15.75" thickBot="1" x14ac:dyDescent="0.3">
      <c r="A1972" s="4" t="s">
        <v>125</v>
      </c>
      <c r="B1972" s="5" t="s">
        <v>7</v>
      </c>
      <c r="C1972" s="5" t="s">
        <v>13</v>
      </c>
      <c r="D1972" s="5" t="s">
        <v>9</v>
      </c>
      <c r="E1972" s="5" t="s">
        <v>10</v>
      </c>
      <c r="F1972" s="5">
        <v>3573.184213</v>
      </c>
    </row>
    <row r="1973" spans="1:6" ht="30.75" thickBot="1" x14ac:dyDescent="0.3">
      <c r="A1973" s="4" t="s">
        <v>136</v>
      </c>
      <c r="B1973" s="5" t="s">
        <v>17</v>
      </c>
      <c r="C1973" s="5" t="s">
        <v>23</v>
      </c>
      <c r="D1973" s="5" t="s">
        <v>9</v>
      </c>
      <c r="E1973" s="5" t="s">
        <v>15</v>
      </c>
      <c r="F1973" s="5">
        <v>3666.976435</v>
      </c>
    </row>
    <row r="1974" spans="1:6" ht="15.75" thickBot="1" x14ac:dyDescent="0.3">
      <c r="A1974" s="4" t="s">
        <v>40</v>
      </c>
      <c r="B1974" s="5" t="s">
        <v>19</v>
      </c>
      <c r="C1974" s="5" t="s">
        <v>13</v>
      </c>
      <c r="D1974" s="5" t="s">
        <v>28</v>
      </c>
      <c r="E1974" s="5" t="s">
        <v>15</v>
      </c>
      <c r="F1974" s="5">
        <v>4772.12</v>
      </c>
    </row>
    <row r="1975" spans="1:6" ht="15.75" thickBot="1" x14ac:dyDescent="0.3">
      <c r="A1975" s="4" t="s">
        <v>98</v>
      </c>
      <c r="B1975" s="5" t="s">
        <v>19</v>
      </c>
      <c r="C1975" s="5" t="s">
        <v>23</v>
      </c>
      <c r="D1975" s="5" t="s">
        <v>9</v>
      </c>
      <c r="E1975" s="5" t="s">
        <v>24</v>
      </c>
      <c r="F1975" s="5">
        <v>4691.37</v>
      </c>
    </row>
    <row r="1976" spans="1:6" ht="15.75" thickBot="1" x14ac:dyDescent="0.3">
      <c r="A1976" s="4" t="s">
        <v>160</v>
      </c>
      <c r="B1976" s="5" t="s">
        <v>30</v>
      </c>
      <c r="C1976" s="5" t="s">
        <v>23</v>
      </c>
      <c r="D1976" s="5" t="s">
        <v>14</v>
      </c>
      <c r="E1976" s="5" t="s">
        <v>15</v>
      </c>
      <c r="F1976" s="5">
        <v>2731.04</v>
      </c>
    </row>
    <row r="1977" spans="1:6" ht="15.75" thickBot="1" x14ac:dyDescent="0.3">
      <c r="A1977" s="4" t="s">
        <v>42</v>
      </c>
      <c r="B1977" s="5" t="s">
        <v>30</v>
      </c>
      <c r="C1977" s="5" t="s">
        <v>8</v>
      </c>
      <c r="D1977" s="5" t="s">
        <v>14</v>
      </c>
      <c r="E1977" s="5" t="s">
        <v>24</v>
      </c>
      <c r="F1977" s="5">
        <v>3020.79</v>
      </c>
    </row>
    <row r="1978" spans="1:6" ht="15.75" thickBot="1" x14ac:dyDescent="0.3">
      <c r="A1978" s="4" t="s">
        <v>112</v>
      </c>
      <c r="B1978" s="5" t="s">
        <v>30</v>
      </c>
      <c r="C1978" s="5" t="s">
        <v>34</v>
      </c>
      <c r="D1978" s="5" t="s">
        <v>28</v>
      </c>
      <c r="E1978" s="5" t="s">
        <v>24</v>
      </c>
      <c r="F1978" s="5">
        <v>1086.79</v>
      </c>
    </row>
    <row r="1979" spans="1:6" ht="15.75" thickBot="1" x14ac:dyDescent="0.3">
      <c r="A1979" s="4" t="s">
        <v>130</v>
      </c>
      <c r="B1979" s="5" t="s">
        <v>12</v>
      </c>
      <c r="C1979" s="5" t="s">
        <v>23</v>
      </c>
      <c r="D1979" s="5" t="s">
        <v>9</v>
      </c>
      <c r="E1979" s="5" t="s">
        <v>24</v>
      </c>
      <c r="F1979" s="5">
        <v>5115.1311139999998</v>
      </c>
    </row>
    <row r="1980" spans="1:6" ht="30.75" thickBot="1" x14ac:dyDescent="0.3">
      <c r="A1980" s="4" t="s">
        <v>116</v>
      </c>
      <c r="B1980" s="5" t="s">
        <v>17</v>
      </c>
      <c r="C1980" s="5" t="s">
        <v>23</v>
      </c>
      <c r="D1980" s="5" t="s">
        <v>14</v>
      </c>
      <c r="E1980" s="5" t="s">
        <v>10</v>
      </c>
      <c r="F1980" s="5">
        <v>2958.7</v>
      </c>
    </row>
    <row r="1981" spans="1:6" ht="15.75" thickBot="1" x14ac:dyDescent="0.3">
      <c r="A1981" s="4" t="s">
        <v>93</v>
      </c>
      <c r="B1981" s="5" t="s">
        <v>30</v>
      </c>
      <c r="C1981" s="5" t="s">
        <v>23</v>
      </c>
      <c r="D1981" s="5" t="s">
        <v>9</v>
      </c>
      <c r="E1981" s="5" t="s">
        <v>10</v>
      </c>
      <c r="F1981" s="5">
        <v>1571.969407</v>
      </c>
    </row>
    <row r="1982" spans="1:6" ht="15.75" thickBot="1" x14ac:dyDescent="0.3">
      <c r="A1982" s="4" t="s">
        <v>141</v>
      </c>
      <c r="B1982" s="5" t="s">
        <v>7</v>
      </c>
      <c r="C1982" s="5" t="s">
        <v>13</v>
      </c>
      <c r="D1982" s="5" t="s">
        <v>28</v>
      </c>
      <c r="E1982" s="5" t="s">
        <v>15</v>
      </c>
      <c r="F1982" s="5">
        <v>2745.85</v>
      </c>
    </row>
    <row r="1983" spans="1:6" ht="30.75" thickBot="1" x14ac:dyDescent="0.3">
      <c r="A1983" s="4" t="s">
        <v>156</v>
      </c>
      <c r="B1983" s="5" t="s">
        <v>17</v>
      </c>
      <c r="C1983" s="5" t="s">
        <v>23</v>
      </c>
      <c r="D1983" s="5" t="s">
        <v>28</v>
      </c>
      <c r="E1983" s="5" t="s">
        <v>24</v>
      </c>
      <c r="F1983" s="5">
        <v>1531</v>
      </c>
    </row>
    <row r="1984" spans="1:6" ht="30.75" thickBot="1" x14ac:dyDescent="0.3">
      <c r="A1984" s="4" t="s">
        <v>207</v>
      </c>
      <c r="B1984" s="5" t="s">
        <v>17</v>
      </c>
      <c r="C1984" s="5" t="s">
        <v>8</v>
      </c>
      <c r="D1984" s="5" t="s">
        <v>9</v>
      </c>
      <c r="E1984" s="5" t="s">
        <v>10</v>
      </c>
      <c r="F1984" s="5">
        <v>4709.8048410000001</v>
      </c>
    </row>
    <row r="1985" spans="1:6" ht="30.75" thickBot="1" x14ac:dyDescent="0.3">
      <c r="A1985" s="4" t="s">
        <v>171</v>
      </c>
      <c r="B1985" s="5" t="s">
        <v>17</v>
      </c>
      <c r="C1985" s="5" t="s">
        <v>34</v>
      </c>
      <c r="D1985" s="5" t="s">
        <v>28</v>
      </c>
      <c r="E1985" s="5" t="s">
        <v>24</v>
      </c>
      <c r="F1985" s="5">
        <v>830.08</v>
      </c>
    </row>
    <row r="1986" spans="1:6" ht="15.75" thickBot="1" x14ac:dyDescent="0.3">
      <c r="A1986" s="4" t="s">
        <v>203</v>
      </c>
      <c r="B1986" s="5" t="s">
        <v>12</v>
      </c>
      <c r="C1986" s="5" t="s">
        <v>8</v>
      </c>
      <c r="D1986" s="5" t="s">
        <v>28</v>
      </c>
      <c r="E1986" s="5" t="s">
        <v>15</v>
      </c>
      <c r="F1986" s="5">
        <v>4453.8999999999996</v>
      </c>
    </row>
    <row r="1987" spans="1:6" ht="15.75" thickBot="1" x14ac:dyDescent="0.3">
      <c r="A1987" s="4" t="s">
        <v>70</v>
      </c>
      <c r="B1987" s="5" t="s">
        <v>19</v>
      </c>
      <c r="C1987" s="5" t="s">
        <v>13</v>
      </c>
      <c r="D1987" s="5" t="s">
        <v>28</v>
      </c>
      <c r="E1987" s="5" t="s">
        <v>24</v>
      </c>
      <c r="F1987" s="5">
        <v>4791.93</v>
      </c>
    </row>
    <row r="1988" spans="1:6" ht="30.75" thickBot="1" x14ac:dyDescent="0.3">
      <c r="A1988" s="4" t="s">
        <v>137</v>
      </c>
      <c r="B1988" s="5" t="s">
        <v>17</v>
      </c>
      <c r="C1988" s="5" t="s">
        <v>13</v>
      </c>
      <c r="D1988" s="5" t="s">
        <v>9</v>
      </c>
      <c r="E1988" s="5" t="s">
        <v>10</v>
      </c>
      <c r="F1988" s="5">
        <v>2280.109602</v>
      </c>
    </row>
    <row r="1989" spans="1:6" ht="15.75" thickBot="1" x14ac:dyDescent="0.3">
      <c r="A1989" s="4" t="s">
        <v>101</v>
      </c>
      <c r="B1989" s="5" t="s">
        <v>19</v>
      </c>
      <c r="C1989" s="5" t="s">
        <v>34</v>
      </c>
      <c r="D1989" s="5" t="s">
        <v>9</v>
      </c>
      <c r="E1989" s="5" t="s">
        <v>24</v>
      </c>
      <c r="F1989" s="5">
        <v>4839.8084959999996</v>
      </c>
    </row>
    <row r="1990" spans="1:6" ht="15.75" thickBot="1" x14ac:dyDescent="0.3">
      <c r="A1990" s="4" t="s">
        <v>84</v>
      </c>
      <c r="B1990" s="5" t="s">
        <v>30</v>
      </c>
      <c r="C1990" s="5" t="s">
        <v>13</v>
      </c>
      <c r="D1990" s="5" t="s">
        <v>14</v>
      </c>
      <c r="E1990" s="5" t="s">
        <v>24</v>
      </c>
      <c r="F1990" s="5">
        <v>506.81</v>
      </c>
    </row>
    <row r="1991" spans="1:6" ht="15.75" thickBot="1" x14ac:dyDescent="0.3">
      <c r="A1991" s="4" t="s">
        <v>35</v>
      </c>
      <c r="B1991" s="5" t="s">
        <v>19</v>
      </c>
      <c r="C1991" s="5" t="s">
        <v>13</v>
      </c>
      <c r="D1991" s="5" t="s">
        <v>9</v>
      </c>
      <c r="E1991" s="5" t="s">
        <v>15</v>
      </c>
      <c r="F1991" s="5">
        <v>3907.2413280000001</v>
      </c>
    </row>
    <row r="1992" spans="1:6" ht="30.75" thickBot="1" x14ac:dyDescent="0.3">
      <c r="A1992" s="4" t="s">
        <v>216</v>
      </c>
      <c r="B1992" s="5" t="s">
        <v>17</v>
      </c>
      <c r="C1992" s="5" t="s">
        <v>13</v>
      </c>
      <c r="D1992" s="5" t="s">
        <v>9</v>
      </c>
      <c r="E1992" s="5" t="s">
        <v>15</v>
      </c>
      <c r="F1992" s="5">
        <v>2483.820612</v>
      </c>
    </row>
    <row r="1993" spans="1:6" ht="30.75" thickBot="1" x14ac:dyDescent="0.3">
      <c r="A1993" s="4" t="s">
        <v>133</v>
      </c>
      <c r="B1993" s="5" t="s">
        <v>17</v>
      </c>
      <c r="C1993" s="5" t="s">
        <v>23</v>
      </c>
      <c r="D1993" s="5" t="s">
        <v>28</v>
      </c>
      <c r="E1993" s="5" t="s">
        <v>10</v>
      </c>
      <c r="F1993" s="5">
        <v>139.57</v>
      </c>
    </row>
    <row r="1994" spans="1:6" ht="15.75" thickBot="1" x14ac:dyDescent="0.3">
      <c r="A1994" s="4" t="s">
        <v>184</v>
      </c>
      <c r="B1994" s="5" t="s">
        <v>30</v>
      </c>
      <c r="C1994" s="5" t="s">
        <v>13</v>
      </c>
      <c r="D1994" s="5" t="s">
        <v>9</v>
      </c>
      <c r="E1994" s="5" t="s">
        <v>15</v>
      </c>
      <c r="F1994" s="5">
        <v>2912.6626670000001</v>
      </c>
    </row>
    <row r="1995" spans="1:6" ht="15.75" thickBot="1" x14ac:dyDescent="0.3">
      <c r="A1995" s="4" t="s">
        <v>106</v>
      </c>
      <c r="B1995" s="5" t="s">
        <v>12</v>
      </c>
      <c r="C1995" s="5" t="s">
        <v>34</v>
      </c>
      <c r="D1995" s="5" t="s">
        <v>14</v>
      </c>
      <c r="E1995" s="5" t="s">
        <v>15</v>
      </c>
      <c r="F1995" s="5">
        <v>479.83</v>
      </c>
    </row>
    <row r="1996" spans="1:6" ht="15.75" thickBot="1" x14ac:dyDescent="0.3">
      <c r="A1996" s="4" t="s">
        <v>118</v>
      </c>
      <c r="B1996" s="5" t="s">
        <v>30</v>
      </c>
      <c r="C1996" s="5" t="s">
        <v>34</v>
      </c>
      <c r="D1996" s="5" t="s">
        <v>9</v>
      </c>
      <c r="E1996" s="5" t="s">
        <v>15</v>
      </c>
      <c r="F1996" s="5">
        <v>5275.2422539999998</v>
      </c>
    </row>
    <row r="1997" spans="1:6" ht="30.75" thickBot="1" x14ac:dyDescent="0.3">
      <c r="A1997" s="4" t="s">
        <v>116</v>
      </c>
      <c r="B1997" s="5" t="s">
        <v>17</v>
      </c>
      <c r="C1997" s="5" t="s">
        <v>8</v>
      </c>
      <c r="D1997" s="5" t="s">
        <v>14</v>
      </c>
      <c r="E1997" s="5" t="s">
        <v>15</v>
      </c>
      <c r="F1997" s="5">
        <v>3515.66</v>
      </c>
    </row>
    <row r="1998" spans="1:6" ht="15.75" thickBot="1" x14ac:dyDescent="0.3">
      <c r="A1998" s="4" t="s">
        <v>110</v>
      </c>
      <c r="B1998" s="5" t="s">
        <v>12</v>
      </c>
      <c r="C1998" s="5" t="s">
        <v>34</v>
      </c>
      <c r="D1998" s="5" t="s">
        <v>9</v>
      </c>
      <c r="E1998" s="5" t="s">
        <v>15</v>
      </c>
      <c r="F1998" s="5">
        <v>771.45</v>
      </c>
    </row>
    <row r="1999" spans="1:6" ht="15.75" thickBot="1" x14ac:dyDescent="0.3">
      <c r="A1999" s="4" t="s">
        <v>172</v>
      </c>
      <c r="B1999" s="5" t="s">
        <v>7</v>
      </c>
      <c r="C1999" s="5" t="s">
        <v>34</v>
      </c>
      <c r="D1999" s="5" t="s">
        <v>28</v>
      </c>
      <c r="E1999" s="5" t="s">
        <v>15</v>
      </c>
      <c r="F1999" s="5">
        <v>705.84</v>
      </c>
    </row>
    <row r="2000" spans="1:6" ht="15.75" thickBot="1" x14ac:dyDescent="0.3">
      <c r="A2000" s="4" t="s">
        <v>126</v>
      </c>
      <c r="B2000" s="5" t="s">
        <v>30</v>
      </c>
      <c r="C2000" s="5" t="s">
        <v>23</v>
      </c>
      <c r="D2000" s="5" t="s">
        <v>9</v>
      </c>
      <c r="E2000" s="5" t="s">
        <v>10</v>
      </c>
      <c r="F2000" s="5">
        <v>3398.71</v>
      </c>
    </row>
    <row r="2001" spans="1:6" ht="15.75" thickBot="1" x14ac:dyDescent="0.3">
      <c r="A2001" s="4" t="s">
        <v>107</v>
      </c>
      <c r="B2001" s="5" t="s">
        <v>30</v>
      </c>
      <c r="C2001" s="5" t="s">
        <v>34</v>
      </c>
      <c r="D2001" s="5" t="s">
        <v>28</v>
      </c>
      <c r="E2001" s="5" t="s">
        <v>24</v>
      </c>
      <c r="F2001" s="5">
        <v>2433.04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14648-E2BB-458A-A6A1-0EB5D71D438C}">
  <dimension ref="A1:E201"/>
  <sheetViews>
    <sheetView workbookViewId="0">
      <selection activeCell="G6" sqref="G6"/>
    </sheetView>
  </sheetViews>
  <sheetFormatPr defaultColWidth="13.140625" defaultRowHeight="15" x14ac:dyDescent="0.25"/>
  <cols>
    <col min="1" max="1" width="9.5703125" style="3" bestFit="1" customWidth="1"/>
    <col min="2" max="2" width="13.140625" style="3"/>
    <col min="3" max="3" width="18.42578125" style="3" bestFit="1" customWidth="1"/>
    <col min="4" max="4" width="12.85546875" style="3" bestFit="1" customWidth="1"/>
    <col min="5" max="5" width="12.42578125" style="3" bestFit="1" customWidth="1"/>
    <col min="6" max="16384" width="13.140625" style="3"/>
  </cols>
  <sheetData>
    <row r="1" spans="1:5" ht="60.75" thickBot="1" x14ac:dyDescent="0.3">
      <c r="A1" s="1" t="s">
        <v>0</v>
      </c>
      <c r="B1" s="2" t="s">
        <v>1</v>
      </c>
      <c r="C1" s="2" t="s">
        <v>221</v>
      </c>
      <c r="D1" s="2" t="s">
        <v>222</v>
      </c>
      <c r="E1" s="2" t="s">
        <v>223</v>
      </c>
    </row>
    <row r="2" spans="1:5" ht="15.75" thickBot="1" x14ac:dyDescent="0.3">
      <c r="A2" s="4" t="s">
        <v>170</v>
      </c>
      <c r="B2" s="5" t="s">
        <v>12</v>
      </c>
      <c r="C2" s="5">
        <v>54133</v>
      </c>
      <c r="D2" s="5">
        <v>8543.68</v>
      </c>
      <c r="E2" s="5">
        <v>24</v>
      </c>
    </row>
    <row r="3" spans="1:5" ht="30.75" thickBot="1" x14ac:dyDescent="0.3">
      <c r="A3" s="4" t="s">
        <v>47</v>
      </c>
      <c r="B3" s="5" t="s">
        <v>30</v>
      </c>
      <c r="C3" s="5">
        <v>53661</v>
      </c>
      <c r="D3" s="5">
        <v>6965.81</v>
      </c>
      <c r="E3" s="5">
        <v>69.400000000000006</v>
      </c>
    </row>
    <row r="4" spans="1:5" ht="30.75" thickBot="1" x14ac:dyDescent="0.3">
      <c r="A4" s="4" t="s">
        <v>189</v>
      </c>
      <c r="B4" s="5" t="s">
        <v>19</v>
      </c>
      <c r="C4" s="5">
        <v>27681</v>
      </c>
      <c r="D4" s="5">
        <v>928.26</v>
      </c>
      <c r="E4" s="5">
        <v>44.97</v>
      </c>
    </row>
    <row r="5" spans="1:5" ht="30.75" thickBot="1" x14ac:dyDescent="0.3">
      <c r="A5" s="4" t="s">
        <v>175</v>
      </c>
      <c r="B5" s="5" t="s">
        <v>7</v>
      </c>
      <c r="C5" s="5">
        <v>83923</v>
      </c>
      <c r="D5" s="5">
        <v>8768.7999999999993</v>
      </c>
      <c r="E5" s="5">
        <v>65.290000000000006</v>
      </c>
    </row>
    <row r="6" spans="1:5" ht="30.75" thickBot="1" x14ac:dyDescent="0.3">
      <c r="A6" s="4" t="s">
        <v>41</v>
      </c>
      <c r="B6" s="5" t="s">
        <v>30</v>
      </c>
      <c r="C6" s="5">
        <v>61743</v>
      </c>
      <c r="D6" s="5">
        <v>7426.75</v>
      </c>
      <c r="E6" s="5">
        <v>26.39</v>
      </c>
    </row>
    <row r="7" spans="1:5" ht="30.75" thickBot="1" x14ac:dyDescent="0.3">
      <c r="A7" s="4" t="s">
        <v>144</v>
      </c>
      <c r="B7" s="5" t="s">
        <v>30</v>
      </c>
      <c r="C7" s="5">
        <v>11426</v>
      </c>
      <c r="D7" s="5">
        <v>4439.5600000000004</v>
      </c>
      <c r="E7" s="5">
        <v>52.71</v>
      </c>
    </row>
    <row r="8" spans="1:5" ht="30.75" thickBot="1" x14ac:dyDescent="0.3">
      <c r="A8" s="4" t="s">
        <v>126</v>
      </c>
      <c r="B8" s="5" t="s">
        <v>30</v>
      </c>
      <c r="C8" s="5">
        <v>35506</v>
      </c>
      <c r="D8" s="5">
        <v>1892.04</v>
      </c>
      <c r="E8" s="5">
        <v>61.53</v>
      </c>
    </row>
    <row r="9" spans="1:5" ht="30.75" thickBot="1" x14ac:dyDescent="0.3">
      <c r="A9" s="4" t="s">
        <v>49</v>
      </c>
      <c r="B9" s="5" t="s">
        <v>19</v>
      </c>
      <c r="C9" s="5">
        <v>50306</v>
      </c>
      <c r="D9" s="5">
        <v>7031.37</v>
      </c>
      <c r="E9" s="5">
        <v>13.27</v>
      </c>
    </row>
    <row r="10" spans="1:5" ht="30.75" thickBot="1" x14ac:dyDescent="0.3">
      <c r="A10" s="4" t="s">
        <v>141</v>
      </c>
      <c r="B10" s="5" t="s">
        <v>7</v>
      </c>
      <c r="C10" s="5">
        <v>45644</v>
      </c>
      <c r="D10" s="5">
        <v>7724.73</v>
      </c>
      <c r="E10" s="5">
        <v>31</v>
      </c>
    </row>
    <row r="11" spans="1:5" ht="30.75" thickBot="1" x14ac:dyDescent="0.3">
      <c r="A11" s="4" t="s">
        <v>165</v>
      </c>
      <c r="B11" s="5" t="s">
        <v>7</v>
      </c>
      <c r="C11" s="5">
        <v>32991</v>
      </c>
      <c r="D11" s="5">
        <v>8540.14</v>
      </c>
      <c r="E11" s="5">
        <v>37.75</v>
      </c>
    </row>
    <row r="12" spans="1:5" ht="15.75" thickBot="1" x14ac:dyDescent="0.3">
      <c r="A12" s="4" t="s">
        <v>180</v>
      </c>
      <c r="B12" s="5" t="s">
        <v>30</v>
      </c>
      <c r="C12" s="5">
        <v>72846</v>
      </c>
      <c r="D12" s="5">
        <v>5169.53</v>
      </c>
      <c r="E12" s="5">
        <v>76.709999999999994</v>
      </c>
    </row>
    <row r="13" spans="1:5" ht="15.75" thickBot="1" x14ac:dyDescent="0.3">
      <c r="A13" s="4" t="s">
        <v>56</v>
      </c>
      <c r="B13" s="5" t="s">
        <v>19</v>
      </c>
      <c r="C13" s="5">
        <v>43747</v>
      </c>
      <c r="D13" s="5">
        <v>3453.48</v>
      </c>
      <c r="E13" s="5">
        <v>98.78</v>
      </c>
    </row>
    <row r="14" spans="1:5" ht="30.75" thickBot="1" x14ac:dyDescent="0.3">
      <c r="A14" s="4" t="s">
        <v>215</v>
      </c>
      <c r="B14" s="5" t="s">
        <v>17</v>
      </c>
      <c r="C14" s="5">
        <v>72813</v>
      </c>
      <c r="D14" s="5">
        <v>8818.16</v>
      </c>
      <c r="E14" s="5">
        <v>54.12</v>
      </c>
    </row>
    <row r="15" spans="1:5" ht="30.75" thickBot="1" x14ac:dyDescent="0.3">
      <c r="A15" s="4" t="s">
        <v>127</v>
      </c>
      <c r="B15" s="5" t="s">
        <v>17</v>
      </c>
      <c r="C15" s="5">
        <v>17416</v>
      </c>
      <c r="D15" s="5">
        <v>812.06</v>
      </c>
      <c r="E15" s="5">
        <v>5.7</v>
      </c>
    </row>
    <row r="16" spans="1:5" ht="15.75" thickBot="1" x14ac:dyDescent="0.3">
      <c r="A16" s="4" t="s">
        <v>119</v>
      </c>
      <c r="B16" s="5" t="s">
        <v>30</v>
      </c>
      <c r="C16" s="5">
        <v>80488</v>
      </c>
      <c r="D16" s="5">
        <v>7629.95</v>
      </c>
      <c r="E16" s="5">
        <v>63.83</v>
      </c>
    </row>
    <row r="17" spans="1:5" ht="30.75" thickBot="1" x14ac:dyDescent="0.3">
      <c r="A17" s="4" t="s">
        <v>82</v>
      </c>
      <c r="B17" s="5" t="s">
        <v>17</v>
      </c>
      <c r="C17" s="5">
        <v>93409</v>
      </c>
      <c r="D17" s="5">
        <v>2375.83</v>
      </c>
      <c r="E17" s="5">
        <v>5.83</v>
      </c>
    </row>
    <row r="18" spans="1:5" ht="30.75" thickBot="1" x14ac:dyDescent="0.3">
      <c r="A18" s="4" t="s">
        <v>37</v>
      </c>
      <c r="B18" s="5" t="s">
        <v>17</v>
      </c>
      <c r="C18" s="5">
        <v>71747</v>
      </c>
      <c r="D18" s="5">
        <v>9838.66</v>
      </c>
      <c r="E18" s="5">
        <v>7.25</v>
      </c>
    </row>
    <row r="19" spans="1:5" ht="15.75" thickBot="1" x14ac:dyDescent="0.3">
      <c r="A19" s="4" t="s">
        <v>107</v>
      </c>
      <c r="B19" s="5" t="s">
        <v>30</v>
      </c>
      <c r="C19" s="5">
        <v>69305</v>
      </c>
      <c r="D19" s="5">
        <v>3203.67</v>
      </c>
      <c r="E19" s="5">
        <v>83.65</v>
      </c>
    </row>
    <row r="20" spans="1:5" ht="15.75" thickBot="1" x14ac:dyDescent="0.3">
      <c r="A20" s="4" t="s">
        <v>71</v>
      </c>
      <c r="B20" s="5" t="s">
        <v>7</v>
      </c>
      <c r="C20" s="5">
        <v>68018</v>
      </c>
      <c r="D20" s="5">
        <v>3523.4</v>
      </c>
      <c r="E20" s="5">
        <v>92.26</v>
      </c>
    </row>
    <row r="21" spans="1:5" ht="30.75" thickBot="1" x14ac:dyDescent="0.3">
      <c r="A21" s="4" t="s">
        <v>194</v>
      </c>
      <c r="B21" s="5" t="s">
        <v>17</v>
      </c>
      <c r="C21" s="5">
        <v>95165</v>
      </c>
      <c r="D21" s="5">
        <v>8562.76</v>
      </c>
      <c r="E21" s="5">
        <v>37.54</v>
      </c>
    </row>
    <row r="22" spans="1:5" ht="15.75" thickBot="1" x14ac:dyDescent="0.3">
      <c r="A22" s="4" t="s">
        <v>11</v>
      </c>
      <c r="B22" s="5" t="s">
        <v>12</v>
      </c>
      <c r="C22" s="5">
        <v>44657</v>
      </c>
      <c r="D22" s="5">
        <v>7867.98</v>
      </c>
      <c r="E22" s="5">
        <v>96.01</v>
      </c>
    </row>
    <row r="23" spans="1:5" ht="15.75" thickBot="1" x14ac:dyDescent="0.3">
      <c r="A23" s="4" t="s">
        <v>91</v>
      </c>
      <c r="B23" s="5" t="s">
        <v>30</v>
      </c>
      <c r="C23" s="5">
        <v>20207</v>
      </c>
      <c r="D23" s="5">
        <v>5369.46</v>
      </c>
      <c r="E23" s="5">
        <v>57.51</v>
      </c>
    </row>
    <row r="24" spans="1:5" ht="15.75" thickBot="1" x14ac:dyDescent="0.3">
      <c r="A24" s="4" t="s">
        <v>22</v>
      </c>
      <c r="B24" s="5" t="s">
        <v>12</v>
      </c>
      <c r="C24" s="5">
        <v>47484</v>
      </c>
      <c r="D24" s="5">
        <v>3396.39</v>
      </c>
      <c r="E24" s="5">
        <v>19.510000000000002</v>
      </c>
    </row>
    <row r="25" spans="1:5" ht="15.75" thickBot="1" x14ac:dyDescent="0.3">
      <c r="A25" s="4" t="s">
        <v>61</v>
      </c>
      <c r="B25" s="5" t="s">
        <v>30</v>
      </c>
      <c r="C25" s="5">
        <v>95718</v>
      </c>
      <c r="D25" s="5">
        <v>2443.12</v>
      </c>
      <c r="E25" s="5">
        <v>35.49</v>
      </c>
    </row>
    <row r="26" spans="1:5" ht="15.75" thickBot="1" x14ac:dyDescent="0.3">
      <c r="A26" s="4" t="s">
        <v>29</v>
      </c>
      <c r="B26" s="5" t="s">
        <v>30</v>
      </c>
      <c r="C26" s="5">
        <v>32131</v>
      </c>
      <c r="D26" s="5">
        <v>1474.23</v>
      </c>
      <c r="E26" s="5">
        <v>45.47</v>
      </c>
    </row>
    <row r="27" spans="1:5" ht="30.75" thickBot="1" x14ac:dyDescent="0.3">
      <c r="A27" s="4" t="s">
        <v>58</v>
      </c>
      <c r="B27" s="5" t="s">
        <v>17</v>
      </c>
      <c r="C27" s="5">
        <v>32246</v>
      </c>
      <c r="D27" s="5">
        <v>7903.93</v>
      </c>
      <c r="E27" s="5">
        <v>42.12</v>
      </c>
    </row>
    <row r="28" spans="1:5" ht="15.75" thickBot="1" x14ac:dyDescent="0.3">
      <c r="A28" s="4" t="s">
        <v>95</v>
      </c>
      <c r="B28" s="5" t="s">
        <v>30</v>
      </c>
      <c r="C28" s="5">
        <v>51800</v>
      </c>
      <c r="D28" s="5">
        <v>3042.95</v>
      </c>
      <c r="E28" s="5">
        <v>71.87</v>
      </c>
    </row>
    <row r="29" spans="1:5" ht="15.75" thickBot="1" x14ac:dyDescent="0.3">
      <c r="A29" s="4" t="s">
        <v>123</v>
      </c>
      <c r="B29" s="5" t="s">
        <v>30</v>
      </c>
      <c r="C29" s="5">
        <v>73977</v>
      </c>
      <c r="D29" s="5">
        <v>1646.75</v>
      </c>
      <c r="E29" s="5">
        <v>43.77</v>
      </c>
    </row>
    <row r="30" spans="1:5" ht="15.75" thickBot="1" x14ac:dyDescent="0.3">
      <c r="A30" s="4" t="s">
        <v>196</v>
      </c>
      <c r="B30" s="5" t="s">
        <v>30</v>
      </c>
      <c r="C30" s="5">
        <v>12262</v>
      </c>
      <c r="D30" s="5">
        <v>7106.18</v>
      </c>
      <c r="E30" s="5">
        <v>45.69</v>
      </c>
    </row>
    <row r="31" spans="1:5" ht="15.75" thickBot="1" x14ac:dyDescent="0.3">
      <c r="A31" s="4" t="s">
        <v>45</v>
      </c>
      <c r="B31" s="5" t="s">
        <v>7</v>
      </c>
      <c r="C31" s="5">
        <v>49924</v>
      </c>
      <c r="D31" s="5">
        <v>2199.16</v>
      </c>
      <c r="E31" s="5">
        <v>75.48</v>
      </c>
    </row>
    <row r="32" spans="1:5" ht="15.75" thickBot="1" x14ac:dyDescent="0.3">
      <c r="A32" s="4" t="s">
        <v>102</v>
      </c>
      <c r="B32" s="5" t="s">
        <v>19</v>
      </c>
      <c r="C32" s="5">
        <v>86263</v>
      </c>
      <c r="D32" s="5">
        <v>3213.71</v>
      </c>
      <c r="E32" s="5">
        <v>98.39</v>
      </c>
    </row>
    <row r="33" spans="1:5" ht="15.75" thickBot="1" x14ac:dyDescent="0.3">
      <c r="A33" s="4" t="s">
        <v>63</v>
      </c>
      <c r="B33" s="5" t="s">
        <v>12</v>
      </c>
      <c r="C33" s="5">
        <v>33688</v>
      </c>
      <c r="D33" s="5">
        <v>9495.48</v>
      </c>
      <c r="E33" s="5">
        <v>55.55</v>
      </c>
    </row>
    <row r="34" spans="1:5" ht="15.75" thickBot="1" x14ac:dyDescent="0.3">
      <c r="A34" s="4" t="s">
        <v>159</v>
      </c>
      <c r="B34" s="5" t="s">
        <v>7</v>
      </c>
      <c r="C34" s="5">
        <v>47727</v>
      </c>
      <c r="D34" s="5">
        <v>8907.33</v>
      </c>
      <c r="E34" s="5">
        <v>47.4</v>
      </c>
    </row>
    <row r="35" spans="1:5" ht="15.75" thickBot="1" x14ac:dyDescent="0.3">
      <c r="A35" s="4" t="s">
        <v>167</v>
      </c>
      <c r="B35" s="5" t="s">
        <v>30</v>
      </c>
      <c r="C35" s="5">
        <v>67213</v>
      </c>
      <c r="D35" s="5">
        <v>5533.81</v>
      </c>
      <c r="E35" s="5">
        <v>90.88</v>
      </c>
    </row>
    <row r="36" spans="1:5" ht="15.75" thickBot="1" x14ac:dyDescent="0.3">
      <c r="A36" s="4" t="s">
        <v>185</v>
      </c>
      <c r="B36" s="5" t="s">
        <v>30</v>
      </c>
      <c r="C36" s="5">
        <v>24913</v>
      </c>
      <c r="D36" s="5">
        <v>5727.27</v>
      </c>
      <c r="E36" s="5">
        <v>78.849999999999994</v>
      </c>
    </row>
    <row r="37" spans="1:5" ht="15.75" thickBot="1" x14ac:dyDescent="0.3">
      <c r="A37" s="4" t="s">
        <v>96</v>
      </c>
      <c r="B37" s="5" t="s">
        <v>19</v>
      </c>
      <c r="C37" s="5">
        <v>53942</v>
      </c>
      <c r="D37" s="5">
        <v>5904.31</v>
      </c>
      <c r="E37" s="5">
        <v>32.78</v>
      </c>
    </row>
    <row r="38" spans="1:5" ht="15.75" thickBot="1" x14ac:dyDescent="0.3">
      <c r="A38" s="4" t="s">
        <v>90</v>
      </c>
      <c r="B38" s="5" t="s">
        <v>19</v>
      </c>
      <c r="C38" s="5">
        <v>97337</v>
      </c>
      <c r="D38" s="5">
        <v>3362.06</v>
      </c>
      <c r="E38" s="5">
        <v>55.46</v>
      </c>
    </row>
    <row r="39" spans="1:5" ht="15.75" thickBot="1" x14ac:dyDescent="0.3">
      <c r="A39" s="4" t="s">
        <v>160</v>
      </c>
      <c r="B39" s="5" t="s">
        <v>30</v>
      </c>
      <c r="C39" s="5">
        <v>18341</v>
      </c>
      <c r="D39" s="5">
        <v>8465.57</v>
      </c>
      <c r="E39" s="5">
        <v>38.39</v>
      </c>
    </row>
    <row r="40" spans="1:5" ht="30.75" thickBot="1" x14ac:dyDescent="0.3">
      <c r="A40" s="4" t="s">
        <v>79</v>
      </c>
      <c r="B40" s="5" t="s">
        <v>17</v>
      </c>
      <c r="C40" s="5">
        <v>40503</v>
      </c>
      <c r="D40" s="5">
        <v>7447.46</v>
      </c>
      <c r="E40" s="5">
        <v>98.27</v>
      </c>
    </row>
    <row r="41" spans="1:5" ht="15.75" thickBot="1" x14ac:dyDescent="0.3">
      <c r="A41" s="4" t="s">
        <v>209</v>
      </c>
      <c r="B41" s="5" t="s">
        <v>7</v>
      </c>
      <c r="C41" s="5">
        <v>52357</v>
      </c>
      <c r="D41" s="5">
        <v>5643.16</v>
      </c>
      <c r="E41" s="5">
        <v>37.130000000000003</v>
      </c>
    </row>
    <row r="42" spans="1:5" ht="15.75" thickBot="1" x14ac:dyDescent="0.3">
      <c r="A42" s="4" t="s">
        <v>109</v>
      </c>
      <c r="B42" s="5" t="s">
        <v>12</v>
      </c>
      <c r="C42" s="5">
        <v>84721</v>
      </c>
      <c r="D42" s="5">
        <v>2278.9699999999998</v>
      </c>
      <c r="E42" s="5">
        <v>68.53</v>
      </c>
    </row>
    <row r="43" spans="1:5" ht="15.75" thickBot="1" x14ac:dyDescent="0.3">
      <c r="A43" s="4" t="s">
        <v>54</v>
      </c>
      <c r="B43" s="5" t="s">
        <v>12</v>
      </c>
      <c r="C43" s="5">
        <v>58111</v>
      </c>
      <c r="D43" s="5">
        <v>4610.8999999999996</v>
      </c>
      <c r="E43" s="5">
        <v>21.53</v>
      </c>
    </row>
    <row r="44" spans="1:5" ht="15.75" thickBot="1" x14ac:dyDescent="0.3">
      <c r="A44" s="4" t="s">
        <v>183</v>
      </c>
      <c r="B44" s="5" t="s">
        <v>7</v>
      </c>
      <c r="C44" s="5">
        <v>14009</v>
      </c>
      <c r="D44" s="5">
        <v>7528.98</v>
      </c>
      <c r="E44" s="5">
        <v>77.62</v>
      </c>
    </row>
    <row r="45" spans="1:5" ht="15.75" thickBot="1" x14ac:dyDescent="0.3">
      <c r="A45" s="4" t="s">
        <v>81</v>
      </c>
      <c r="B45" s="5" t="s">
        <v>12</v>
      </c>
      <c r="C45" s="5">
        <v>93661</v>
      </c>
      <c r="D45" s="5">
        <v>7324.58</v>
      </c>
      <c r="E45" s="5">
        <v>23.55</v>
      </c>
    </row>
    <row r="46" spans="1:5" ht="15.75" thickBot="1" x14ac:dyDescent="0.3">
      <c r="A46" s="4" t="s">
        <v>69</v>
      </c>
      <c r="B46" s="5" t="s">
        <v>7</v>
      </c>
      <c r="C46" s="5">
        <v>34725</v>
      </c>
      <c r="D46" s="5">
        <v>3269.89</v>
      </c>
      <c r="E46" s="5">
        <v>78.86</v>
      </c>
    </row>
    <row r="47" spans="1:5" ht="15.75" thickBot="1" x14ac:dyDescent="0.3">
      <c r="A47" s="4" t="s">
        <v>105</v>
      </c>
      <c r="B47" s="5" t="s">
        <v>30</v>
      </c>
      <c r="C47" s="5">
        <v>87337</v>
      </c>
      <c r="D47" s="5">
        <v>3603.06</v>
      </c>
      <c r="E47" s="5">
        <v>67.13</v>
      </c>
    </row>
    <row r="48" spans="1:5" ht="15.75" thickBot="1" x14ac:dyDescent="0.3">
      <c r="A48" s="4" t="s">
        <v>134</v>
      </c>
      <c r="B48" s="5" t="s">
        <v>7</v>
      </c>
      <c r="C48" s="5">
        <v>39568</v>
      </c>
      <c r="D48" s="5">
        <v>3580.54</v>
      </c>
      <c r="E48" s="5">
        <v>78.08</v>
      </c>
    </row>
    <row r="49" spans="1:5" ht="15.75" thickBot="1" x14ac:dyDescent="0.3">
      <c r="A49" s="4" t="s">
        <v>94</v>
      </c>
      <c r="B49" s="5" t="s">
        <v>7</v>
      </c>
      <c r="C49" s="5">
        <v>26338</v>
      </c>
      <c r="D49" s="5">
        <v>578.73</v>
      </c>
      <c r="E49" s="5">
        <v>72.52</v>
      </c>
    </row>
    <row r="50" spans="1:5" ht="15.75" thickBot="1" x14ac:dyDescent="0.3">
      <c r="A50" s="4" t="s">
        <v>210</v>
      </c>
      <c r="B50" s="5" t="s">
        <v>7</v>
      </c>
      <c r="C50" s="5">
        <v>65666</v>
      </c>
      <c r="D50" s="5">
        <v>7269.98</v>
      </c>
      <c r="E50" s="5">
        <v>75.62</v>
      </c>
    </row>
    <row r="51" spans="1:5" ht="15.75" thickBot="1" x14ac:dyDescent="0.3">
      <c r="A51" s="4" t="s">
        <v>139</v>
      </c>
      <c r="B51" s="5" t="s">
        <v>7</v>
      </c>
      <c r="C51" s="5">
        <v>10067</v>
      </c>
      <c r="D51" s="5">
        <v>1953.33</v>
      </c>
      <c r="E51" s="5">
        <v>25.15</v>
      </c>
    </row>
    <row r="52" spans="1:5" ht="15.75" thickBot="1" x14ac:dyDescent="0.3">
      <c r="A52" s="4" t="s">
        <v>197</v>
      </c>
      <c r="B52" s="5" t="s">
        <v>30</v>
      </c>
      <c r="C52" s="5">
        <v>56752</v>
      </c>
      <c r="D52" s="5">
        <v>4177.68</v>
      </c>
      <c r="E52" s="5">
        <v>10.96</v>
      </c>
    </row>
    <row r="53" spans="1:5" ht="15.75" thickBot="1" x14ac:dyDescent="0.3">
      <c r="A53" s="4" t="s">
        <v>174</v>
      </c>
      <c r="B53" s="5" t="s">
        <v>19</v>
      </c>
      <c r="C53" s="5">
        <v>66163</v>
      </c>
      <c r="D53" s="5">
        <v>1416.57</v>
      </c>
      <c r="E53" s="5">
        <v>68.73</v>
      </c>
    </row>
    <row r="54" spans="1:5" ht="15.75" thickBot="1" x14ac:dyDescent="0.3">
      <c r="A54" s="4" t="s">
        <v>125</v>
      </c>
      <c r="B54" s="5" t="s">
        <v>7</v>
      </c>
      <c r="C54" s="5">
        <v>56392</v>
      </c>
      <c r="D54" s="5">
        <v>5703.76</v>
      </c>
      <c r="E54" s="5">
        <v>23.04</v>
      </c>
    </row>
    <row r="55" spans="1:5" ht="15.75" thickBot="1" x14ac:dyDescent="0.3">
      <c r="A55" s="4" t="s">
        <v>103</v>
      </c>
      <c r="B55" s="5" t="s">
        <v>19</v>
      </c>
      <c r="C55" s="5">
        <v>38869</v>
      </c>
      <c r="D55" s="5">
        <v>5109.76</v>
      </c>
      <c r="E55" s="5">
        <v>35.270000000000003</v>
      </c>
    </row>
    <row r="56" spans="1:5" ht="30.75" thickBot="1" x14ac:dyDescent="0.3">
      <c r="A56" s="4" t="s">
        <v>168</v>
      </c>
      <c r="B56" s="5" t="s">
        <v>17</v>
      </c>
      <c r="C56" s="5">
        <v>41050</v>
      </c>
      <c r="D56" s="5">
        <v>6025.84</v>
      </c>
      <c r="E56" s="5">
        <v>53.53</v>
      </c>
    </row>
    <row r="57" spans="1:5" ht="15.75" thickBot="1" x14ac:dyDescent="0.3">
      <c r="A57" s="4" t="s">
        <v>65</v>
      </c>
      <c r="B57" s="5" t="s">
        <v>30</v>
      </c>
      <c r="C57" s="5">
        <v>99026</v>
      </c>
      <c r="D57" s="5">
        <v>5453.2</v>
      </c>
      <c r="E57" s="5">
        <v>57.49</v>
      </c>
    </row>
    <row r="58" spans="1:5" ht="15.75" thickBot="1" x14ac:dyDescent="0.3">
      <c r="A58" s="4" t="s">
        <v>36</v>
      </c>
      <c r="B58" s="5" t="s">
        <v>12</v>
      </c>
      <c r="C58" s="5">
        <v>40226</v>
      </c>
      <c r="D58" s="5">
        <v>7868.86</v>
      </c>
      <c r="E58" s="5">
        <v>80.53</v>
      </c>
    </row>
    <row r="59" spans="1:5" ht="15.75" thickBot="1" x14ac:dyDescent="0.3">
      <c r="A59" s="4" t="s">
        <v>203</v>
      </c>
      <c r="B59" s="5" t="s">
        <v>12</v>
      </c>
      <c r="C59" s="5">
        <v>66398</v>
      </c>
      <c r="D59" s="5">
        <v>8713.61</v>
      </c>
      <c r="E59" s="5">
        <v>83.44</v>
      </c>
    </row>
    <row r="60" spans="1:5" ht="30.75" thickBot="1" x14ac:dyDescent="0.3">
      <c r="A60" s="4" t="s">
        <v>83</v>
      </c>
      <c r="B60" s="5" t="s">
        <v>17</v>
      </c>
      <c r="C60" s="5">
        <v>30934</v>
      </c>
      <c r="D60" s="5">
        <v>4175.6499999999996</v>
      </c>
      <c r="E60" s="5">
        <v>77.290000000000006</v>
      </c>
    </row>
    <row r="61" spans="1:5" ht="15.75" thickBot="1" x14ac:dyDescent="0.3">
      <c r="A61" s="4" t="s">
        <v>42</v>
      </c>
      <c r="B61" s="5" t="s">
        <v>30</v>
      </c>
      <c r="C61" s="5">
        <v>41539</v>
      </c>
      <c r="D61" s="5">
        <v>982.8</v>
      </c>
      <c r="E61" s="5">
        <v>79.7</v>
      </c>
    </row>
    <row r="62" spans="1:5" ht="15.75" thickBot="1" x14ac:dyDescent="0.3">
      <c r="A62" s="4" t="s">
        <v>106</v>
      </c>
      <c r="B62" s="5" t="s">
        <v>12</v>
      </c>
      <c r="C62" s="5">
        <v>21386</v>
      </c>
      <c r="D62" s="5">
        <v>2271.92</v>
      </c>
      <c r="E62" s="5">
        <v>49.67</v>
      </c>
    </row>
    <row r="63" spans="1:5" ht="30.75" thickBot="1" x14ac:dyDescent="0.3">
      <c r="A63" s="4" t="s">
        <v>137</v>
      </c>
      <c r="B63" s="5" t="s">
        <v>17</v>
      </c>
      <c r="C63" s="5">
        <v>19265</v>
      </c>
      <c r="D63" s="5">
        <v>776.6</v>
      </c>
      <c r="E63" s="5">
        <v>39.75</v>
      </c>
    </row>
    <row r="64" spans="1:5" ht="15.75" thickBot="1" x14ac:dyDescent="0.3">
      <c r="A64" s="4" t="s">
        <v>85</v>
      </c>
      <c r="B64" s="5" t="s">
        <v>30</v>
      </c>
      <c r="C64" s="5">
        <v>45519</v>
      </c>
      <c r="D64" s="5">
        <v>7987.69</v>
      </c>
      <c r="E64" s="5">
        <v>10.86</v>
      </c>
    </row>
    <row r="65" spans="1:5" ht="15.75" thickBot="1" x14ac:dyDescent="0.3">
      <c r="A65" s="4" t="s">
        <v>110</v>
      </c>
      <c r="B65" s="5" t="s">
        <v>12</v>
      </c>
      <c r="C65" s="5">
        <v>70481</v>
      </c>
      <c r="D65" s="5">
        <v>4452.83</v>
      </c>
      <c r="E65" s="5">
        <v>91.26</v>
      </c>
    </row>
    <row r="66" spans="1:5" ht="15.75" thickBot="1" x14ac:dyDescent="0.3">
      <c r="A66" s="4" t="s">
        <v>27</v>
      </c>
      <c r="B66" s="5" t="s">
        <v>12</v>
      </c>
      <c r="C66" s="5">
        <v>91031</v>
      </c>
      <c r="D66" s="5">
        <v>1783.57</v>
      </c>
      <c r="E66" s="5">
        <v>32.049999999999997</v>
      </c>
    </row>
    <row r="67" spans="1:5" ht="15.75" thickBot="1" x14ac:dyDescent="0.3">
      <c r="A67" s="4" t="s">
        <v>184</v>
      </c>
      <c r="B67" s="5" t="s">
        <v>30</v>
      </c>
      <c r="C67" s="5">
        <v>13543</v>
      </c>
      <c r="D67" s="5">
        <v>7854.96</v>
      </c>
      <c r="E67" s="5">
        <v>85.57</v>
      </c>
    </row>
    <row r="68" spans="1:5" ht="15.75" thickBot="1" x14ac:dyDescent="0.3">
      <c r="A68" s="4" t="s">
        <v>202</v>
      </c>
      <c r="B68" s="5" t="s">
        <v>12</v>
      </c>
      <c r="C68" s="5">
        <v>28400</v>
      </c>
      <c r="D68" s="5">
        <v>3056.67</v>
      </c>
      <c r="E68" s="5">
        <v>52.68</v>
      </c>
    </row>
    <row r="69" spans="1:5" ht="15.75" thickBot="1" x14ac:dyDescent="0.3">
      <c r="A69" s="4" t="s">
        <v>88</v>
      </c>
      <c r="B69" s="5" t="s">
        <v>7</v>
      </c>
      <c r="C69" s="5">
        <v>44825</v>
      </c>
      <c r="D69" s="5">
        <v>6023.03</v>
      </c>
      <c r="E69" s="5">
        <v>27.2</v>
      </c>
    </row>
    <row r="70" spans="1:5" ht="15.75" thickBot="1" x14ac:dyDescent="0.3">
      <c r="A70" s="4" t="s">
        <v>158</v>
      </c>
      <c r="B70" s="5" t="s">
        <v>30</v>
      </c>
      <c r="C70" s="5">
        <v>85488</v>
      </c>
      <c r="D70" s="5">
        <v>9691.57</v>
      </c>
      <c r="E70" s="5">
        <v>96.98</v>
      </c>
    </row>
    <row r="71" spans="1:5" ht="30.75" thickBot="1" x14ac:dyDescent="0.3">
      <c r="A71" s="4" t="s">
        <v>136</v>
      </c>
      <c r="B71" s="5" t="s">
        <v>17</v>
      </c>
      <c r="C71" s="5">
        <v>15128</v>
      </c>
      <c r="D71" s="5">
        <v>8847.09</v>
      </c>
      <c r="E71" s="5">
        <v>5.25</v>
      </c>
    </row>
    <row r="72" spans="1:5" ht="15.75" thickBot="1" x14ac:dyDescent="0.3">
      <c r="A72" s="4" t="s">
        <v>93</v>
      </c>
      <c r="B72" s="5" t="s">
        <v>30</v>
      </c>
      <c r="C72" s="5">
        <v>26378</v>
      </c>
      <c r="D72" s="5">
        <v>2915.44</v>
      </c>
      <c r="E72" s="5">
        <v>29.84</v>
      </c>
    </row>
    <row r="73" spans="1:5" ht="30.75" thickBot="1" x14ac:dyDescent="0.3">
      <c r="A73" s="4" t="s">
        <v>129</v>
      </c>
      <c r="B73" s="5" t="s">
        <v>17</v>
      </c>
      <c r="C73" s="5">
        <v>95292</v>
      </c>
      <c r="D73" s="5">
        <v>697.47</v>
      </c>
      <c r="E73" s="5">
        <v>88.35</v>
      </c>
    </row>
    <row r="74" spans="1:5" ht="15.75" thickBot="1" x14ac:dyDescent="0.3">
      <c r="A74" s="4" t="s">
        <v>98</v>
      </c>
      <c r="B74" s="5" t="s">
        <v>19</v>
      </c>
      <c r="C74" s="5">
        <v>26170</v>
      </c>
      <c r="D74" s="5">
        <v>8057.54</v>
      </c>
      <c r="E74" s="5">
        <v>63.71</v>
      </c>
    </row>
    <row r="75" spans="1:5" ht="15.75" thickBot="1" x14ac:dyDescent="0.3">
      <c r="A75" s="4" t="s">
        <v>60</v>
      </c>
      <c r="B75" s="5" t="s">
        <v>12</v>
      </c>
      <c r="C75" s="5">
        <v>25148</v>
      </c>
      <c r="D75" s="5">
        <v>9604.5499999999993</v>
      </c>
      <c r="E75" s="5">
        <v>63.47</v>
      </c>
    </row>
    <row r="76" spans="1:5" ht="15.75" thickBot="1" x14ac:dyDescent="0.3">
      <c r="A76" s="4" t="s">
        <v>188</v>
      </c>
      <c r="B76" s="5" t="s">
        <v>19</v>
      </c>
      <c r="C76" s="5">
        <v>60513</v>
      </c>
      <c r="D76" s="5">
        <v>4578.16</v>
      </c>
      <c r="E76" s="5">
        <v>65.53</v>
      </c>
    </row>
    <row r="77" spans="1:5" ht="30.75" thickBot="1" x14ac:dyDescent="0.3">
      <c r="A77" s="4" t="s">
        <v>190</v>
      </c>
      <c r="B77" s="5" t="s">
        <v>17</v>
      </c>
      <c r="C77" s="5">
        <v>41953</v>
      </c>
      <c r="D77" s="5">
        <v>2379.14</v>
      </c>
      <c r="E77" s="5">
        <v>65.67</v>
      </c>
    </row>
    <row r="78" spans="1:5" ht="15.75" thickBot="1" x14ac:dyDescent="0.3">
      <c r="A78" s="4" t="s">
        <v>64</v>
      </c>
      <c r="B78" s="5" t="s">
        <v>30</v>
      </c>
      <c r="C78" s="5">
        <v>52836</v>
      </c>
      <c r="D78" s="5">
        <v>9330.2999999999993</v>
      </c>
      <c r="E78" s="5">
        <v>87.27</v>
      </c>
    </row>
    <row r="79" spans="1:5" ht="15.75" thickBot="1" x14ac:dyDescent="0.3">
      <c r="A79" s="4" t="s">
        <v>97</v>
      </c>
      <c r="B79" s="5" t="s">
        <v>7</v>
      </c>
      <c r="C79" s="5">
        <v>78624</v>
      </c>
      <c r="D79" s="5">
        <v>2373.27</v>
      </c>
      <c r="E79" s="5">
        <v>25.07</v>
      </c>
    </row>
    <row r="80" spans="1:5" ht="30.75" thickBot="1" x14ac:dyDescent="0.3">
      <c r="A80" s="4" t="s">
        <v>26</v>
      </c>
      <c r="B80" s="5" t="s">
        <v>17</v>
      </c>
      <c r="C80" s="5">
        <v>17311</v>
      </c>
      <c r="D80" s="5">
        <v>2257.38</v>
      </c>
      <c r="E80" s="5">
        <v>91.07</v>
      </c>
    </row>
    <row r="81" spans="1:5" ht="15.75" thickBot="1" x14ac:dyDescent="0.3">
      <c r="A81" s="4" t="s">
        <v>206</v>
      </c>
      <c r="B81" s="5" t="s">
        <v>19</v>
      </c>
      <c r="C81" s="5">
        <v>10250</v>
      </c>
      <c r="D81" s="5">
        <v>4717</v>
      </c>
      <c r="E81" s="5">
        <v>16.600000000000001</v>
      </c>
    </row>
    <row r="82" spans="1:5" ht="15.75" thickBot="1" x14ac:dyDescent="0.3">
      <c r="A82" s="4" t="s">
        <v>135</v>
      </c>
      <c r="B82" s="5" t="s">
        <v>12</v>
      </c>
      <c r="C82" s="5">
        <v>39560</v>
      </c>
      <c r="D82" s="5">
        <v>8380.77</v>
      </c>
      <c r="E82" s="5">
        <v>94.01</v>
      </c>
    </row>
    <row r="83" spans="1:5" ht="15.75" thickBot="1" x14ac:dyDescent="0.3">
      <c r="A83" s="4" t="s">
        <v>100</v>
      </c>
      <c r="B83" s="5" t="s">
        <v>7</v>
      </c>
      <c r="C83" s="5">
        <v>17468</v>
      </c>
      <c r="D83" s="5">
        <v>6359.73</v>
      </c>
      <c r="E83" s="5">
        <v>5.22</v>
      </c>
    </row>
    <row r="84" spans="1:5" ht="30.75" thickBot="1" x14ac:dyDescent="0.3">
      <c r="A84" s="4" t="s">
        <v>143</v>
      </c>
      <c r="B84" s="5" t="s">
        <v>17</v>
      </c>
      <c r="C84" s="5">
        <v>94704</v>
      </c>
      <c r="D84" s="5">
        <v>6632.95</v>
      </c>
      <c r="E84" s="5">
        <v>14.76</v>
      </c>
    </row>
    <row r="85" spans="1:5" ht="15.75" thickBot="1" x14ac:dyDescent="0.3">
      <c r="A85" s="4" t="s">
        <v>75</v>
      </c>
      <c r="B85" s="5" t="s">
        <v>19</v>
      </c>
      <c r="C85" s="5">
        <v>54136</v>
      </c>
      <c r="D85" s="5">
        <v>2775.38</v>
      </c>
      <c r="E85" s="5">
        <v>75.459999999999994</v>
      </c>
    </row>
    <row r="86" spans="1:5" ht="15.75" thickBot="1" x14ac:dyDescent="0.3">
      <c r="A86" s="4" t="s">
        <v>114</v>
      </c>
      <c r="B86" s="5" t="s">
        <v>30</v>
      </c>
      <c r="C86" s="5">
        <v>29264</v>
      </c>
      <c r="D86" s="5">
        <v>8362.7199999999993</v>
      </c>
      <c r="E86" s="5">
        <v>61.93</v>
      </c>
    </row>
    <row r="87" spans="1:5" ht="15.75" thickBot="1" x14ac:dyDescent="0.3">
      <c r="A87" s="4" t="s">
        <v>73</v>
      </c>
      <c r="B87" s="5" t="s">
        <v>30</v>
      </c>
      <c r="C87" s="5">
        <v>55974</v>
      </c>
      <c r="D87" s="5">
        <v>7542.28</v>
      </c>
      <c r="E87" s="5">
        <v>72.430000000000007</v>
      </c>
    </row>
    <row r="88" spans="1:5" ht="15.75" thickBot="1" x14ac:dyDescent="0.3">
      <c r="A88" s="4" t="s">
        <v>51</v>
      </c>
      <c r="B88" s="5" t="s">
        <v>30</v>
      </c>
      <c r="C88" s="5">
        <v>44164</v>
      </c>
      <c r="D88" s="5">
        <v>3869.32</v>
      </c>
      <c r="E88" s="5">
        <v>13.81</v>
      </c>
    </row>
    <row r="89" spans="1:5" ht="15.75" thickBot="1" x14ac:dyDescent="0.3">
      <c r="A89" s="4" t="s">
        <v>6</v>
      </c>
      <c r="B89" s="5" t="s">
        <v>7</v>
      </c>
      <c r="C89" s="5">
        <v>77330</v>
      </c>
      <c r="D89" s="5">
        <v>6936.58</v>
      </c>
      <c r="E89" s="5">
        <v>82.3</v>
      </c>
    </row>
    <row r="90" spans="1:5" ht="15.75" thickBot="1" x14ac:dyDescent="0.3">
      <c r="A90" s="4" t="s">
        <v>121</v>
      </c>
      <c r="B90" s="5" t="s">
        <v>30</v>
      </c>
      <c r="C90" s="5">
        <v>58895</v>
      </c>
      <c r="D90" s="5">
        <v>3039.17</v>
      </c>
      <c r="E90" s="5">
        <v>59.82</v>
      </c>
    </row>
    <row r="91" spans="1:5" ht="30.75" thickBot="1" x14ac:dyDescent="0.3">
      <c r="A91" s="4" t="s">
        <v>20</v>
      </c>
      <c r="B91" s="5" t="s">
        <v>17</v>
      </c>
      <c r="C91" s="5">
        <v>29895</v>
      </c>
      <c r="D91" s="5">
        <v>1631.08</v>
      </c>
      <c r="E91" s="5">
        <v>39.93</v>
      </c>
    </row>
    <row r="92" spans="1:5" ht="15.75" thickBot="1" x14ac:dyDescent="0.3">
      <c r="A92" s="4" t="s">
        <v>46</v>
      </c>
      <c r="B92" s="5" t="s">
        <v>30</v>
      </c>
      <c r="C92" s="5">
        <v>43490</v>
      </c>
      <c r="D92" s="5">
        <v>9300.8799999999992</v>
      </c>
      <c r="E92" s="5">
        <v>58.43</v>
      </c>
    </row>
    <row r="93" spans="1:5" ht="15.75" thickBot="1" x14ac:dyDescent="0.3">
      <c r="A93" s="4" t="s">
        <v>120</v>
      </c>
      <c r="B93" s="5" t="s">
        <v>30</v>
      </c>
      <c r="C93" s="5">
        <v>79495</v>
      </c>
      <c r="D93" s="5">
        <v>7157.48</v>
      </c>
      <c r="E93" s="5">
        <v>26.84</v>
      </c>
    </row>
    <row r="94" spans="1:5" ht="30.75" thickBot="1" x14ac:dyDescent="0.3">
      <c r="A94" s="4" t="s">
        <v>59</v>
      </c>
      <c r="B94" s="5" t="s">
        <v>17</v>
      </c>
      <c r="C94" s="5">
        <v>15553</v>
      </c>
      <c r="D94" s="5">
        <v>3909.51</v>
      </c>
      <c r="E94" s="5">
        <v>46.44</v>
      </c>
    </row>
    <row r="95" spans="1:5" ht="15.75" thickBot="1" x14ac:dyDescent="0.3">
      <c r="A95" s="4" t="s">
        <v>208</v>
      </c>
      <c r="B95" s="5" t="s">
        <v>19</v>
      </c>
      <c r="C95" s="5">
        <v>40553</v>
      </c>
      <c r="D95" s="5">
        <v>4875.2299999999996</v>
      </c>
      <c r="E95" s="5">
        <v>23.33</v>
      </c>
    </row>
    <row r="96" spans="1:5" ht="30.75" thickBot="1" x14ac:dyDescent="0.3">
      <c r="A96" s="4" t="s">
        <v>149</v>
      </c>
      <c r="B96" s="5" t="s">
        <v>17</v>
      </c>
      <c r="C96" s="5">
        <v>49885</v>
      </c>
      <c r="D96" s="5">
        <v>6845.46</v>
      </c>
      <c r="E96" s="5">
        <v>58.4</v>
      </c>
    </row>
    <row r="97" spans="1:5" ht="15.75" thickBot="1" x14ac:dyDescent="0.3">
      <c r="A97" s="4" t="s">
        <v>153</v>
      </c>
      <c r="B97" s="5" t="s">
        <v>7</v>
      </c>
      <c r="C97" s="5">
        <v>21388</v>
      </c>
      <c r="D97" s="5">
        <v>5249.39</v>
      </c>
      <c r="E97" s="5">
        <v>64.2</v>
      </c>
    </row>
    <row r="98" spans="1:5" ht="15.75" thickBot="1" x14ac:dyDescent="0.3">
      <c r="A98" s="4" t="s">
        <v>68</v>
      </c>
      <c r="B98" s="5" t="s">
        <v>12</v>
      </c>
      <c r="C98" s="5">
        <v>69100</v>
      </c>
      <c r="D98" s="5">
        <v>9356.02</v>
      </c>
      <c r="E98" s="5">
        <v>16.5</v>
      </c>
    </row>
    <row r="99" spans="1:5" ht="15.75" thickBot="1" x14ac:dyDescent="0.3">
      <c r="A99" s="4" t="s">
        <v>181</v>
      </c>
      <c r="B99" s="5" t="s">
        <v>30</v>
      </c>
      <c r="C99" s="5">
        <v>28704</v>
      </c>
      <c r="D99" s="5">
        <v>6009.24</v>
      </c>
      <c r="E99" s="5">
        <v>39.31</v>
      </c>
    </row>
    <row r="100" spans="1:5" ht="15.75" thickBot="1" x14ac:dyDescent="0.3">
      <c r="A100" s="4" t="s">
        <v>115</v>
      </c>
      <c r="B100" s="5" t="s">
        <v>19</v>
      </c>
      <c r="C100" s="5">
        <v>17162</v>
      </c>
      <c r="D100" s="5">
        <v>5079.95</v>
      </c>
      <c r="E100" s="5">
        <v>19.239999999999998</v>
      </c>
    </row>
    <row r="101" spans="1:5" ht="15.75" thickBot="1" x14ac:dyDescent="0.3">
      <c r="A101" s="4" t="s">
        <v>53</v>
      </c>
      <c r="B101" s="5" t="s">
        <v>7</v>
      </c>
      <c r="C101" s="5">
        <v>90632</v>
      </c>
      <c r="D101" s="5">
        <v>5292.17</v>
      </c>
      <c r="E101" s="5">
        <v>78.45</v>
      </c>
    </row>
    <row r="102" spans="1:5" ht="15.75" thickBot="1" x14ac:dyDescent="0.3">
      <c r="A102" s="4" t="s">
        <v>33</v>
      </c>
      <c r="B102" s="5" t="s">
        <v>19</v>
      </c>
      <c r="C102" s="5">
        <v>65719</v>
      </c>
      <c r="D102" s="5">
        <v>9362.41</v>
      </c>
      <c r="E102" s="5">
        <v>86.55</v>
      </c>
    </row>
    <row r="103" spans="1:5" ht="15.75" thickBot="1" x14ac:dyDescent="0.3">
      <c r="A103" s="4" t="s">
        <v>169</v>
      </c>
      <c r="B103" s="5" t="s">
        <v>12</v>
      </c>
      <c r="C103" s="5">
        <v>82377</v>
      </c>
      <c r="D103" s="5">
        <v>7974.74</v>
      </c>
      <c r="E103" s="5">
        <v>9.17</v>
      </c>
    </row>
    <row r="104" spans="1:5" ht="15.75" thickBot="1" x14ac:dyDescent="0.3">
      <c r="A104" s="4" t="s">
        <v>62</v>
      </c>
      <c r="B104" s="5" t="s">
        <v>30</v>
      </c>
      <c r="C104" s="5">
        <v>22309</v>
      </c>
      <c r="D104" s="5">
        <v>3656.29</v>
      </c>
      <c r="E104" s="5">
        <v>75.25</v>
      </c>
    </row>
    <row r="105" spans="1:5" ht="15.75" thickBot="1" x14ac:dyDescent="0.3">
      <c r="A105" s="4" t="s">
        <v>31</v>
      </c>
      <c r="B105" s="5" t="s">
        <v>30</v>
      </c>
      <c r="C105" s="5">
        <v>84851</v>
      </c>
      <c r="D105" s="5">
        <v>560.75</v>
      </c>
      <c r="E105" s="5">
        <v>80.23</v>
      </c>
    </row>
    <row r="106" spans="1:5" ht="15.75" thickBot="1" x14ac:dyDescent="0.3">
      <c r="A106" s="4" t="s">
        <v>211</v>
      </c>
      <c r="B106" s="5" t="s">
        <v>7</v>
      </c>
      <c r="C106" s="5">
        <v>27028</v>
      </c>
      <c r="D106" s="5">
        <v>4617.92</v>
      </c>
      <c r="E106" s="5">
        <v>57.62</v>
      </c>
    </row>
    <row r="107" spans="1:5" ht="15.75" thickBot="1" x14ac:dyDescent="0.3">
      <c r="A107" s="4" t="s">
        <v>18</v>
      </c>
      <c r="B107" s="5" t="s">
        <v>19</v>
      </c>
      <c r="C107" s="5">
        <v>98682</v>
      </c>
      <c r="D107" s="5">
        <v>6220.56</v>
      </c>
      <c r="E107" s="5">
        <v>70.099999999999994</v>
      </c>
    </row>
    <row r="108" spans="1:5" ht="30.75" thickBot="1" x14ac:dyDescent="0.3">
      <c r="A108" s="4" t="s">
        <v>16</v>
      </c>
      <c r="B108" s="5" t="s">
        <v>17</v>
      </c>
      <c r="C108" s="5">
        <v>43512</v>
      </c>
      <c r="D108" s="5">
        <v>5352.18</v>
      </c>
      <c r="E108" s="5">
        <v>6.17</v>
      </c>
    </row>
    <row r="109" spans="1:5" ht="15.75" thickBot="1" x14ac:dyDescent="0.3">
      <c r="A109" s="4" t="s">
        <v>101</v>
      </c>
      <c r="B109" s="5" t="s">
        <v>19</v>
      </c>
      <c r="C109" s="5">
        <v>39050</v>
      </c>
      <c r="D109" s="5">
        <v>5885.73</v>
      </c>
      <c r="E109" s="5">
        <v>93.04</v>
      </c>
    </row>
    <row r="110" spans="1:5" ht="15.75" thickBot="1" x14ac:dyDescent="0.3">
      <c r="A110" s="4" t="s">
        <v>166</v>
      </c>
      <c r="B110" s="5" t="s">
        <v>7</v>
      </c>
      <c r="C110" s="5">
        <v>34318</v>
      </c>
      <c r="D110" s="5">
        <v>675.67</v>
      </c>
      <c r="E110" s="5">
        <v>41.05</v>
      </c>
    </row>
    <row r="111" spans="1:5" ht="15.75" thickBot="1" x14ac:dyDescent="0.3">
      <c r="A111" s="4" t="s">
        <v>186</v>
      </c>
      <c r="B111" s="5" t="s">
        <v>30</v>
      </c>
      <c r="C111" s="5">
        <v>85868</v>
      </c>
      <c r="D111" s="5">
        <v>907.72</v>
      </c>
      <c r="E111" s="5">
        <v>90.36</v>
      </c>
    </row>
    <row r="112" spans="1:5" ht="15.75" thickBot="1" x14ac:dyDescent="0.3">
      <c r="A112" s="4" t="s">
        <v>176</v>
      </c>
      <c r="B112" s="5" t="s">
        <v>19</v>
      </c>
      <c r="C112" s="5">
        <v>10907</v>
      </c>
      <c r="D112" s="5">
        <v>4748.66</v>
      </c>
      <c r="E112" s="5">
        <v>39.36</v>
      </c>
    </row>
    <row r="113" spans="1:5" ht="15.75" thickBot="1" x14ac:dyDescent="0.3">
      <c r="A113" s="4" t="s">
        <v>178</v>
      </c>
      <c r="B113" s="5" t="s">
        <v>30</v>
      </c>
      <c r="C113" s="5">
        <v>88188</v>
      </c>
      <c r="D113" s="5">
        <v>815.86</v>
      </c>
      <c r="E113" s="5">
        <v>57.53</v>
      </c>
    </row>
    <row r="114" spans="1:5" ht="15.75" thickBot="1" x14ac:dyDescent="0.3">
      <c r="A114" s="4" t="s">
        <v>164</v>
      </c>
      <c r="B114" s="5" t="s">
        <v>19</v>
      </c>
      <c r="C114" s="5">
        <v>69636</v>
      </c>
      <c r="D114" s="5">
        <v>4246.55</v>
      </c>
      <c r="E114" s="5">
        <v>69.290000000000006</v>
      </c>
    </row>
    <row r="115" spans="1:5" ht="15.75" thickBot="1" x14ac:dyDescent="0.3">
      <c r="A115" s="4" t="s">
        <v>138</v>
      </c>
      <c r="B115" s="5" t="s">
        <v>12</v>
      </c>
      <c r="C115" s="5">
        <v>57353</v>
      </c>
      <c r="D115" s="5">
        <v>2274.71</v>
      </c>
      <c r="E115" s="5">
        <v>65.34</v>
      </c>
    </row>
    <row r="116" spans="1:5" ht="15.75" thickBot="1" x14ac:dyDescent="0.3">
      <c r="A116" s="4" t="s">
        <v>72</v>
      </c>
      <c r="B116" s="5" t="s">
        <v>19</v>
      </c>
      <c r="C116" s="5">
        <v>29318</v>
      </c>
      <c r="D116" s="5">
        <v>9860.6200000000008</v>
      </c>
      <c r="E116" s="5">
        <v>14.58</v>
      </c>
    </row>
    <row r="117" spans="1:5" ht="30.75" thickBot="1" x14ac:dyDescent="0.3">
      <c r="A117" s="4" t="s">
        <v>133</v>
      </c>
      <c r="B117" s="5" t="s">
        <v>17</v>
      </c>
      <c r="C117" s="5">
        <v>48501</v>
      </c>
      <c r="D117" s="5">
        <v>7209.77</v>
      </c>
      <c r="E117" s="5">
        <v>92.51</v>
      </c>
    </row>
    <row r="118" spans="1:5" ht="30.75" thickBot="1" x14ac:dyDescent="0.3">
      <c r="A118" s="4" t="s">
        <v>205</v>
      </c>
      <c r="B118" s="5" t="s">
        <v>17</v>
      </c>
      <c r="C118" s="5">
        <v>52594</v>
      </c>
      <c r="D118" s="5">
        <v>8715.0400000000009</v>
      </c>
      <c r="E118" s="5">
        <v>90.54</v>
      </c>
    </row>
    <row r="119" spans="1:5" ht="15.75" thickBot="1" x14ac:dyDescent="0.3">
      <c r="A119" s="4" t="s">
        <v>146</v>
      </c>
      <c r="B119" s="5" t="s">
        <v>7</v>
      </c>
      <c r="C119" s="5">
        <v>14170</v>
      </c>
      <c r="D119" s="5">
        <v>5455.23</v>
      </c>
      <c r="E119" s="5">
        <v>25.46</v>
      </c>
    </row>
    <row r="120" spans="1:5" ht="30.75" thickBot="1" x14ac:dyDescent="0.3">
      <c r="A120" s="4" t="s">
        <v>218</v>
      </c>
      <c r="B120" s="5" t="s">
        <v>17</v>
      </c>
      <c r="C120" s="5">
        <v>22525</v>
      </c>
      <c r="D120" s="5">
        <v>9465.65</v>
      </c>
      <c r="E120" s="5">
        <v>37.79</v>
      </c>
    </row>
    <row r="121" spans="1:5" ht="15.75" thickBot="1" x14ac:dyDescent="0.3">
      <c r="A121" s="4" t="s">
        <v>38</v>
      </c>
      <c r="B121" s="5" t="s">
        <v>30</v>
      </c>
      <c r="C121" s="5">
        <v>57215</v>
      </c>
      <c r="D121" s="5">
        <v>3227.1</v>
      </c>
      <c r="E121" s="5">
        <v>32.909999999999997</v>
      </c>
    </row>
    <row r="122" spans="1:5" ht="15.75" thickBot="1" x14ac:dyDescent="0.3">
      <c r="A122" s="4" t="s">
        <v>48</v>
      </c>
      <c r="B122" s="5" t="s">
        <v>19</v>
      </c>
      <c r="C122" s="5">
        <v>11952</v>
      </c>
      <c r="D122" s="5">
        <v>4637.74</v>
      </c>
      <c r="E122" s="5">
        <v>63.78</v>
      </c>
    </row>
    <row r="123" spans="1:5" ht="15.75" thickBot="1" x14ac:dyDescent="0.3">
      <c r="A123" s="4" t="s">
        <v>173</v>
      </c>
      <c r="B123" s="5" t="s">
        <v>30</v>
      </c>
      <c r="C123" s="5">
        <v>49620</v>
      </c>
      <c r="D123" s="5">
        <v>2424.31</v>
      </c>
      <c r="E123" s="5">
        <v>62.09</v>
      </c>
    </row>
    <row r="124" spans="1:5" ht="15.75" thickBot="1" x14ac:dyDescent="0.3">
      <c r="A124" s="4" t="s">
        <v>198</v>
      </c>
      <c r="B124" s="5" t="s">
        <v>12</v>
      </c>
      <c r="C124" s="5">
        <v>58113</v>
      </c>
      <c r="D124" s="5">
        <v>6382.12</v>
      </c>
      <c r="E124" s="5">
        <v>56.66</v>
      </c>
    </row>
    <row r="125" spans="1:5" ht="15.75" thickBot="1" x14ac:dyDescent="0.3">
      <c r="A125" s="4" t="s">
        <v>111</v>
      </c>
      <c r="B125" s="5" t="s">
        <v>19</v>
      </c>
      <c r="C125" s="5">
        <v>37309</v>
      </c>
      <c r="D125" s="5">
        <v>4508.54</v>
      </c>
      <c r="E125" s="5">
        <v>47.15</v>
      </c>
    </row>
    <row r="126" spans="1:5" ht="15.75" thickBot="1" x14ac:dyDescent="0.3">
      <c r="A126" s="4" t="s">
        <v>130</v>
      </c>
      <c r="B126" s="5" t="s">
        <v>12</v>
      </c>
      <c r="C126" s="5">
        <v>82332</v>
      </c>
      <c r="D126" s="5">
        <v>7134.86</v>
      </c>
      <c r="E126" s="5">
        <v>22.44</v>
      </c>
    </row>
    <row r="127" spans="1:5" ht="30.75" thickBot="1" x14ac:dyDescent="0.3">
      <c r="A127" s="4" t="s">
        <v>80</v>
      </c>
      <c r="B127" s="5" t="s">
        <v>17</v>
      </c>
      <c r="C127" s="5">
        <v>75508</v>
      </c>
      <c r="D127" s="5">
        <v>6856.22</v>
      </c>
      <c r="E127" s="5">
        <v>18.2</v>
      </c>
    </row>
    <row r="128" spans="1:5" ht="15.75" thickBot="1" x14ac:dyDescent="0.3">
      <c r="A128" s="4" t="s">
        <v>99</v>
      </c>
      <c r="B128" s="5" t="s">
        <v>19</v>
      </c>
      <c r="C128" s="5">
        <v>77400</v>
      </c>
      <c r="D128" s="5">
        <v>7504.8</v>
      </c>
      <c r="E128" s="5">
        <v>68.819999999999993</v>
      </c>
    </row>
    <row r="129" spans="1:5" ht="30.75" thickBot="1" x14ac:dyDescent="0.3">
      <c r="A129" s="4" t="s">
        <v>116</v>
      </c>
      <c r="B129" s="5" t="s">
        <v>17</v>
      </c>
      <c r="C129" s="5">
        <v>68216</v>
      </c>
      <c r="D129" s="5">
        <v>9562.33</v>
      </c>
      <c r="E129" s="5">
        <v>63.59</v>
      </c>
    </row>
    <row r="130" spans="1:5" ht="15.75" thickBot="1" x14ac:dyDescent="0.3">
      <c r="A130" s="4" t="s">
        <v>201</v>
      </c>
      <c r="B130" s="5" t="s">
        <v>12</v>
      </c>
      <c r="C130" s="5">
        <v>58439</v>
      </c>
      <c r="D130" s="5">
        <v>5817.93</v>
      </c>
      <c r="E130" s="5">
        <v>63.77</v>
      </c>
    </row>
    <row r="131" spans="1:5" ht="15.75" thickBot="1" x14ac:dyDescent="0.3">
      <c r="A131" s="4" t="s">
        <v>192</v>
      </c>
      <c r="B131" s="5" t="s">
        <v>19</v>
      </c>
      <c r="C131" s="5">
        <v>43227</v>
      </c>
      <c r="D131" s="5">
        <v>5199.53</v>
      </c>
      <c r="E131" s="5">
        <v>44.09</v>
      </c>
    </row>
    <row r="132" spans="1:5" ht="15.75" thickBot="1" x14ac:dyDescent="0.3">
      <c r="A132" s="4" t="s">
        <v>112</v>
      </c>
      <c r="B132" s="5" t="s">
        <v>30</v>
      </c>
      <c r="C132" s="5">
        <v>43294</v>
      </c>
      <c r="D132" s="5">
        <v>3802.13</v>
      </c>
      <c r="E132" s="5">
        <v>45.84</v>
      </c>
    </row>
    <row r="133" spans="1:5" ht="15.75" thickBot="1" x14ac:dyDescent="0.3">
      <c r="A133" s="4" t="s">
        <v>157</v>
      </c>
      <c r="B133" s="5" t="s">
        <v>30</v>
      </c>
      <c r="C133" s="5">
        <v>76544</v>
      </c>
      <c r="D133" s="5">
        <v>8632.77</v>
      </c>
      <c r="E133" s="5">
        <v>12.87</v>
      </c>
    </row>
    <row r="134" spans="1:5" ht="30.75" thickBot="1" x14ac:dyDescent="0.3">
      <c r="A134" s="4" t="s">
        <v>43</v>
      </c>
      <c r="B134" s="5" t="s">
        <v>17</v>
      </c>
      <c r="C134" s="5">
        <v>41168</v>
      </c>
      <c r="D134" s="5">
        <v>8226.77</v>
      </c>
      <c r="E134" s="5">
        <v>42.55</v>
      </c>
    </row>
    <row r="135" spans="1:5" ht="15.75" thickBot="1" x14ac:dyDescent="0.3">
      <c r="A135" s="4" t="s">
        <v>44</v>
      </c>
      <c r="B135" s="5" t="s">
        <v>19</v>
      </c>
      <c r="C135" s="5">
        <v>16256</v>
      </c>
      <c r="D135" s="5">
        <v>2127.1799999999998</v>
      </c>
      <c r="E135" s="5">
        <v>38.94</v>
      </c>
    </row>
    <row r="136" spans="1:5" ht="15.75" thickBot="1" x14ac:dyDescent="0.3">
      <c r="A136" s="4" t="s">
        <v>86</v>
      </c>
      <c r="B136" s="5" t="s">
        <v>19</v>
      </c>
      <c r="C136" s="5">
        <v>56531</v>
      </c>
      <c r="D136" s="5">
        <v>8958.07</v>
      </c>
      <c r="E136" s="5">
        <v>83.44</v>
      </c>
    </row>
    <row r="137" spans="1:5" ht="15.75" thickBot="1" x14ac:dyDescent="0.3">
      <c r="A137" s="4" t="s">
        <v>191</v>
      </c>
      <c r="B137" s="5" t="s">
        <v>12</v>
      </c>
      <c r="C137" s="5">
        <v>43346</v>
      </c>
      <c r="D137" s="5">
        <v>5559.12</v>
      </c>
      <c r="E137" s="5">
        <v>39.4</v>
      </c>
    </row>
    <row r="138" spans="1:5" ht="15.75" thickBot="1" x14ac:dyDescent="0.3">
      <c r="A138" s="4" t="s">
        <v>32</v>
      </c>
      <c r="B138" s="5" t="s">
        <v>7</v>
      </c>
      <c r="C138" s="5">
        <v>10933</v>
      </c>
      <c r="D138" s="5">
        <v>9004.3700000000008</v>
      </c>
      <c r="E138" s="5">
        <v>26.84</v>
      </c>
    </row>
    <row r="139" spans="1:5" ht="15.75" thickBot="1" x14ac:dyDescent="0.3">
      <c r="A139" s="4" t="s">
        <v>179</v>
      </c>
      <c r="B139" s="5" t="s">
        <v>7</v>
      </c>
      <c r="C139" s="5">
        <v>94393</v>
      </c>
      <c r="D139" s="5">
        <v>6691.7</v>
      </c>
      <c r="E139" s="5">
        <v>74.790000000000006</v>
      </c>
    </row>
    <row r="140" spans="1:5" ht="15.75" thickBot="1" x14ac:dyDescent="0.3">
      <c r="A140" s="4" t="s">
        <v>39</v>
      </c>
      <c r="B140" s="5" t="s">
        <v>7</v>
      </c>
      <c r="C140" s="5">
        <v>80904</v>
      </c>
      <c r="D140" s="5">
        <v>3263.09</v>
      </c>
      <c r="E140" s="5">
        <v>58.37</v>
      </c>
    </row>
    <row r="141" spans="1:5" ht="15.75" thickBot="1" x14ac:dyDescent="0.3">
      <c r="A141" s="4" t="s">
        <v>162</v>
      </c>
      <c r="B141" s="5" t="s">
        <v>30</v>
      </c>
      <c r="C141" s="5">
        <v>94347</v>
      </c>
      <c r="D141" s="5">
        <v>2272.58</v>
      </c>
      <c r="E141" s="5">
        <v>34.75</v>
      </c>
    </row>
    <row r="142" spans="1:5" ht="15.75" thickBot="1" x14ac:dyDescent="0.3">
      <c r="A142" s="4" t="s">
        <v>213</v>
      </c>
      <c r="B142" s="5" t="s">
        <v>12</v>
      </c>
      <c r="C142" s="5">
        <v>58622</v>
      </c>
      <c r="D142" s="5">
        <v>7795.36</v>
      </c>
      <c r="E142" s="5">
        <v>59.81</v>
      </c>
    </row>
    <row r="143" spans="1:5" ht="15.75" thickBot="1" x14ac:dyDescent="0.3">
      <c r="A143" s="4" t="s">
        <v>195</v>
      </c>
      <c r="B143" s="5" t="s">
        <v>7</v>
      </c>
      <c r="C143" s="5">
        <v>68278</v>
      </c>
      <c r="D143" s="5">
        <v>3272.65</v>
      </c>
      <c r="E143" s="5">
        <v>30.47</v>
      </c>
    </row>
    <row r="144" spans="1:5" ht="15.75" thickBot="1" x14ac:dyDescent="0.3">
      <c r="A144" s="4" t="s">
        <v>128</v>
      </c>
      <c r="B144" s="5" t="s">
        <v>12</v>
      </c>
      <c r="C144" s="5">
        <v>29406</v>
      </c>
      <c r="D144" s="5">
        <v>5281.69</v>
      </c>
      <c r="E144" s="5">
        <v>27.01</v>
      </c>
    </row>
    <row r="145" spans="1:5" ht="30.75" thickBot="1" x14ac:dyDescent="0.3">
      <c r="A145" s="4" t="s">
        <v>104</v>
      </c>
      <c r="B145" s="5" t="s">
        <v>17</v>
      </c>
      <c r="C145" s="5">
        <v>16868</v>
      </c>
      <c r="D145" s="5">
        <v>1378.01</v>
      </c>
      <c r="E145" s="5">
        <v>47.52</v>
      </c>
    </row>
    <row r="146" spans="1:5" ht="15.75" thickBot="1" x14ac:dyDescent="0.3">
      <c r="A146" s="4" t="s">
        <v>118</v>
      </c>
      <c r="B146" s="5" t="s">
        <v>30</v>
      </c>
      <c r="C146" s="5">
        <v>68492</v>
      </c>
      <c r="D146" s="5">
        <v>3533.88</v>
      </c>
      <c r="E146" s="5">
        <v>52.99</v>
      </c>
    </row>
    <row r="147" spans="1:5" ht="30.75" thickBot="1" x14ac:dyDescent="0.3">
      <c r="A147" s="4" t="s">
        <v>207</v>
      </c>
      <c r="B147" s="5" t="s">
        <v>17</v>
      </c>
      <c r="C147" s="5">
        <v>99115</v>
      </c>
      <c r="D147" s="5">
        <v>827.26</v>
      </c>
      <c r="E147" s="5">
        <v>28.88</v>
      </c>
    </row>
    <row r="148" spans="1:5" ht="15.75" thickBot="1" x14ac:dyDescent="0.3">
      <c r="A148" s="4" t="s">
        <v>193</v>
      </c>
      <c r="B148" s="5" t="s">
        <v>12</v>
      </c>
      <c r="C148" s="5">
        <v>13333</v>
      </c>
      <c r="D148" s="5">
        <v>6102.15</v>
      </c>
      <c r="E148" s="5">
        <v>17.670000000000002</v>
      </c>
    </row>
    <row r="149" spans="1:5" ht="15.75" thickBot="1" x14ac:dyDescent="0.3">
      <c r="A149" s="4" t="s">
        <v>124</v>
      </c>
      <c r="B149" s="5" t="s">
        <v>12</v>
      </c>
      <c r="C149" s="5">
        <v>47491</v>
      </c>
      <c r="D149" s="5">
        <v>5781.05</v>
      </c>
      <c r="E149" s="5">
        <v>92.18</v>
      </c>
    </row>
    <row r="150" spans="1:5" ht="15.75" thickBot="1" x14ac:dyDescent="0.3">
      <c r="A150" s="4" t="s">
        <v>151</v>
      </c>
      <c r="B150" s="5" t="s">
        <v>12</v>
      </c>
      <c r="C150" s="5">
        <v>61207</v>
      </c>
      <c r="D150" s="5">
        <v>6922.33</v>
      </c>
      <c r="E150" s="5">
        <v>9.1999999999999993</v>
      </c>
    </row>
    <row r="151" spans="1:5" ht="15.75" thickBot="1" x14ac:dyDescent="0.3">
      <c r="A151" s="4" t="s">
        <v>200</v>
      </c>
      <c r="B151" s="5" t="s">
        <v>30</v>
      </c>
      <c r="C151" s="5">
        <v>46863</v>
      </c>
      <c r="D151" s="5">
        <v>6762.98</v>
      </c>
      <c r="E151" s="5">
        <v>23.45</v>
      </c>
    </row>
    <row r="152" spans="1:5" ht="30.75" thickBot="1" x14ac:dyDescent="0.3">
      <c r="A152" s="4" t="s">
        <v>156</v>
      </c>
      <c r="B152" s="5" t="s">
        <v>17</v>
      </c>
      <c r="C152" s="5">
        <v>81057</v>
      </c>
      <c r="D152" s="5">
        <v>675.41</v>
      </c>
      <c r="E152" s="5">
        <v>55.44</v>
      </c>
    </row>
    <row r="153" spans="1:5" ht="15.75" thickBot="1" x14ac:dyDescent="0.3">
      <c r="A153" s="4" t="s">
        <v>113</v>
      </c>
      <c r="B153" s="5" t="s">
        <v>30</v>
      </c>
      <c r="C153" s="5">
        <v>90679</v>
      </c>
      <c r="D153" s="5">
        <v>7266.82</v>
      </c>
      <c r="E153" s="5">
        <v>23.3</v>
      </c>
    </row>
    <row r="154" spans="1:5" ht="15.75" thickBot="1" x14ac:dyDescent="0.3">
      <c r="A154" s="4" t="s">
        <v>25</v>
      </c>
      <c r="B154" s="5" t="s">
        <v>19</v>
      </c>
      <c r="C154" s="5">
        <v>95306</v>
      </c>
      <c r="D154" s="5">
        <v>9037.76</v>
      </c>
      <c r="E154" s="5">
        <v>13.35</v>
      </c>
    </row>
    <row r="155" spans="1:5" ht="15.75" thickBot="1" x14ac:dyDescent="0.3">
      <c r="A155" s="4" t="s">
        <v>177</v>
      </c>
      <c r="B155" s="5" t="s">
        <v>7</v>
      </c>
      <c r="C155" s="5">
        <v>17097</v>
      </c>
      <c r="D155" s="5">
        <v>9061.7800000000007</v>
      </c>
      <c r="E155" s="5">
        <v>95.92</v>
      </c>
    </row>
    <row r="156" spans="1:5" ht="30.75" thickBot="1" x14ac:dyDescent="0.3">
      <c r="A156" s="4" t="s">
        <v>142</v>
      </c>
      <c r="B156" s="5" t="s">
        <v>17</v>
      </c>
      <c r="C156" s="5">
        <v>75736</v>
      </c>
      <c r="D156" s="5">
        <v>6287.07</v>
      </c>
      <c r="E156" s="5">
        <v>63.11</v>
      </c>
    </row>
    <row r="157" spans="1:5" ht="30.75" thickBot="1" x14ac:dyDescent="0.3">
      <c r="A157" s="4" t="s">
        <v>140</v>
      </c>
      <c r="B157" s="5" t="s">
        <v>17</v>
      </c>
      <c r="C157" s="5">
        <v>88308</v>
      </c>
      <c r="D157" s="5">
        <v>7802.07</v>
      </c>
      <c r="E157" s="5">
        <v>36.130000000000003</v>
      </c>
    </row>
    <row r="158" spans="1:5" ht="15.75" thickBot="1" x14ac:dyDescent="0.3">
      <c r="A158" s="4" t="s">
        <v>161</v>
      </c>
      <c r="B158" s="5" t="s">
        <v>7</v>
      </c>
      <c r="C158" s="5">
        <v>15788</v>
      </c>
      <c r="D158" s="5">
        <v>1824.14</v>
      </c>
      <c r="E158" s="5">
        <v>52.78</v>
      </c>
    </row>
    <row r="159" spans="1:5" ht="15.75" thickBot="1" x14ac:dyDescent="0.3">
      <c r="A159" s="4" t="s">
        <v>21</v>
      </c>
      <c r="B159" s="5" t="s">
        <v>19</v>
      </c>
      <c r="C159" s="5">
        <v>61157</v>
      </c>
      <c r="D159" s="5">
        <v>7331.54</v>
      </c>
      <c r="E159" s="5">
        <v>55.52</v>
      </c>
    </row>
    <row r="160" spans="1:5" ht="15.75" thickBot="1" x14ac:dyDescent="0.3">
      <c r="A160" s="4" t="s">
        <v>155</v>
      </c>
      <c r="B160" s="5" t="s">
        <v>7</v>
      </c>
      <c r="C160" s="5">
        <v>72224</v>
      </c>
      <c r="D160" s="5">
        <v>1613.32</v>
      </c>
      <c r="E160" s="5">
        <v>39.21</v>
      </c>
    </row>
    <row r="161" spans="1:5" ht="15.75" thickBot="1" x14ac:dyDescent="0.3">
      <c r="A161" s="4" t="s">
        <v>204</v>
      </c>
      <c r="B161" s="5" t="s">
        <v>30</v>
      </c>
      <c r="C161" s="5">
        <v>36423</v>
      </c>
      <c r="D161" s="5">
        <v>589.96</v>
      </c>
      <c r="E161" s="5">
        <v>30.9</v>
      </c>
    </row>
    <row r="162" spans="1:5" ht="30.75" thickBot="1" x14ac:dyDescent="0.3">
      <c r="A162" s="4" t="s">
        <v>89</v>
      </c>
      <c r="B162" s="5" t="s">
        <v>17</v>
      </c>
      <c r="C162" s="5">
        <v>36171</v>
      </c>
      <c r="D162" s="5">
        <v>6864.38</v>
      </c>
      <c r="E162" s="5">
        <v>37.03</v>
      </c>
    </row>
    <row r="163" spans="1:5" ht="15.75" thickBot="1" x14ac:dyDescent="0.3">
      <c r="A163" s="4" t="s">
        <v>74</v>
      </c>
      <c r="B163" s="5" t="s">
        <v>19</v>
      </c>
      <c r="C163" s="5">
        <v>18175</v>
      </c>
      <c r="D163" s="5">
        <v>8349.49</v>
      </c>
      <c r="E163" s="5">
        <v>39.97</v>
      </c>
    </row>
    <row r="164" spans="1:5" ht="15.75" thickBot="1" x14ac:dyDescent="0.3">
      <c r="A164" s="4" t="s">
        <v>220</v>
      </c>
      <c r="B164" s="5" t="s">
        <v>12</v>
      </c>
      <c r="C164" s="5">
        <v>97040</v>
      </c>
      <c r="D164" s="5">
        <v>5727.14</v>
      </c>
      <c r="E164" s="5">
        <v>38.19</v>
      </c>
    </row>
    <row r="165" spans="1:5" ht="15.75" thickBot="1" x14ac:dyDescent="0.3">
      <c r="A165" s="4" t="s">
        <v>145</v>
      </c>
      <c r="B165" s="5" t="s">
        <v>7</v>
      </c>
      <c r="C165" s="5">
        <v>60710</v>
      </c>
      <c r="D165" s="5">
        <v>2726.26</v>
      </c>
      <c r="E165" s="5">
        <v>83.02</v>
      </c>
    </row>
    <row r="166" spans="1:5" ht="15.75" thickBot="1" x14ac:dyDescent="0.3">
      <c r="A166" s="4" t="s">
        <v>214</v>
      </c>
      <c r="B166" s="5" t="s">
        <v>30</v>
      </c>
      <c r="C166" s="5">
        <v>79330</v>
      </c>
      <c r="D166" s="5">
        <v>6075.23</v>
      </c>
      <c r="E166" s="5">
        <v>83.97</v>
      </c>
    </row>
    <row r="167" spans="1:5" ht="15.75" thickBot="1" x14ac:dyDescent="0.3">
      <c r="A167" s="4" t="s">
        <v>40</v>
      </c>
      <c r="B167" s="5" t="s">
        <v>19</v>
      </c>
      <c r="C167" s="5">
        <v>96474</v>
      </c>
      <c r="D167" s="5">
        <v>7574.39</v>
      </c>
      <c r="E167" s="5">
        <v>95.54</v>
      </c>
    </row>
    <row r="168" spans="1:5" ht="30.75" thickBot="1" x14ac:dyDescent="0.3">
      <c r="A168" s="4" t="s">
        <v>131</v>
      </c>
      <c r="B168" s="5" t="s">
        <v>17</v>
      </c>
      <c r="C168" s="5">
        <v>94128</v>
      </c>
      <c r="D168" s="5">
        <v>8117.82</v>
      </c>
      <c r="E168" s="5">
        <v>73.83</v>
      </c>
    </row>
    <row r="169" spans="1:5" ht="30.75" thickBot="1" x14ac:dyDescent="0.3">
      <c r="A169" s="4" t="s">
        <v>147</v>
      </c>
      <c r="B169" s="5" t="s">
        <v>17</v>
      </c>
      <c r="C169" s="5">
        <v>24095</v>
      </c>
      <c r="D169" s="5">
        <v>3167.52</v>
      </c>
      <c r="E169" s="5">
        <v>31.02</v>
      </c>
    </row>
    <row r="170" spans="1:5" ht="30.75" thickBot="1" x14ac:dyDescent="0.3">
      <c r="A170" s="4" t="s">
        <v>148</v>
      </c>
      <c r="B170" s="5" t="s">
        <v>17</v>
      </c>
      <c r="C170" s="5">
        <v>44994</v>
      </c>
      <c r="D170" s="5">
        <v>7305.59</v>
      </c>
      <c r="E170" s="5">
        <v>91.53</v>
      </c>
    </row>
    <row r="171" spans="1:5" ht="30.75" thickBot="1" x14ac:dyDescent="0.3">
      <c r="A171" s="4" t="s">
        <v>171</v>
      </c>
      <c r="B171" s="5" t="s">
        <v>17</v>
      </c>
      <c r="C171" s="5">
        <v>24502</v>
      </c>
      <c r="D171" s="5">
        <v>7466.86</v>
      </c>
      <c r="E171" s="5">
        <v>88.83</v>
      </c>
    </row>
    <row r="172" spans="1:5" ht="15.75" thickBot="1" x14ac:dyDescent="0.3">
      <c r="A172" s="4" t="s">
        <v>150</v>
      </c>
      <c r="B172" s="5" t="s">
        <v>30</v>
      </c>
      <c r="C172" s="5">
        <v>98356</v>
      </c>
      <c r="D172" s="5">
        <v>6968.69</v>
      </c>
      <c r="E172" s="5">
        <v>81.72</v>
      </c>
    </row>
    <row r="173" spans="1:5" ht="15.75" thickBot="1" x14ac:dyDescent="0.3">
      <c r="A173" s="4" t="s">
        <v>66</v>
      </c>
      <c r="B173" s="5" t="s">
        <v>30</v>
      </c>
      <c r="C173" s="5">
        <v>98396</v>
      </c>
      <c r="D173" s="5">
        <v>5174.07</v>
      </c>
      <c r="E173" s="5">
        <v>63.38</v>
      </c>
    </row>
    <row r="174" spans="1:5" ht="15.75" thickBot="1" x14ac:dyDescent="0.3">
      <c r="A174" s="4" t="s">
        <v>55</v>
      </c>
      <c r="B174" s="5" t="s">
        <v>12</v>
      </c>
      <c r="C174" s="5">
        <v>38181</v>
      </c>
      <c r="D174" s="5">
        <v>691.84</v>
      </c>
      <c r="E174" s="5">
        <v>33.53</v>
      </c>
    </row>
    <row r="175" spans="1:5" ht="15.75" thickBot="1" x14ac:dyDescent="0.3">
      <c r="A175" s="4" t="s">
        <v>122</v>
      </c>
      <c r="B175" s="5" t="s">
        <v>19</v>
      </c>
      <c r="C175" s="5">
        <v>95962</v>
      </c>
      <c r="D175" s="5">
        <v>524.72</v>
      </c>
      <c r="E175" s="5">
        <v>49.55</v>
      </c>
    </row>
    <row r="176" spans="1:5" ht="15.75" thickBot="1" x14ac:dyDescent="0.3">
      <c r="A176" s="4" t="s">
        <v>52</v>
      </c>
      <c r="B176" s="5" t="s">
        <v>19</v>
      </c>
      <c r="C176" s="5">
        <v>94949</v>
      </c>
      <c r="D176" s="5">
        <v>9714.76</v>
      </c>
      <c r="E176" s="5">
        <v>64.900000000000006</v>
      </c>
    </row>
    <row r="177" spans="1:5" ht="15.75" thickBot="1" x14ac:dyDescent="0.3">
      <c r="A177" s="4" t="s">
        <v>92</v>
      </c>
      <c r="B177" s="5" t="s">
        <v>30</v>
      </c>
      <c r="C177" s="5">
        <v>18726</v>
      </c>
      <c r="D177" s="5">
        <v>5099.54</v>
      </c>
      <c r="E177" s="5">
        <v>71.05</v>
      </c>
    </row>
    <row r="178" spans="1:5" ht="15.75" thickBot="1" x14ac:dyDescent="0.3">
      <c r="A178" s="4" t="s">
        <v>163</v>
      </c>
      <c r="B178" s="5" t="s">
        <v>19</v>
      </c>
      <c r="C178" s="5">
        <v>87482</v>
      </c>
      <c r="D178" s="5">
        <v>2231.7399999999998</v>
      </c>
      <c r="E178" s="5">
        <v>45.43</v>
      </c>
    </row>
    <row r="179" spans="1:5" ht="15.75" thickBot="1" x14ac:dyDescent="0.3">
      <c r="A179" s="4" t="s">
        <v>187</v>
      </c>
      <c r="B179" s="5" t="s">
        <v>19</v>
      </c>
      <c r="C179" s="5">
        <v>94861</v>
      </c>
      <c r="D179" s="5">
        <v>8363.57</v>
      </c>
      <c r="E179" s="5">
        <v>90.29</v>
      </c>
    </row>
    <row r="180" spans="1:5" ht="15.75" thickBot="1" x14ac:dyDescent="0.3">
      <c r="A180" s="4" t="s">
        <v>219</v>
      </c>
      <c r="B180" s="5" t="s">
        <v>12</v>
      </c>
      <c r="C180" s="5">
        <v>84524</v>
      </c>
      <c r="D180" s="5">
        <v>9350.11</v>
      </c>
      <c r="E180" s="5">
        <v>27.53</v>
      </c>
    </row>
    <row r="181" spans="1:5" ht="30.75" thickBot="1" x14ac:dyDescent="0.3">
      <c r="A181" s="4" t="s">
        <v>216</v>
      </c>
      <c r="B181" s="5" t="s">
        <v>17</v>
      </c>
      <c r="C181" s="5">
        <v>13302</v>
      </c>
      <c r="D181" s="5">
        <v>821.51</v>
      </c>
      <c r="E181" s="5">
        <v>69.599999999999994</v>
      </c>
    </row>
    <row r="182" spans="1:5" ht="15.75" thickBot="1" x14ac:dyDescent="0.3">
      <c r="A182" s="4" t="s">
        <v>70</v>
      </c>
      <c r="B182" s="5" t="s">
        <v>19</v>
      </c>
      <c r="C182" s="5">
        <v>42485</v>
      </c>
      <c r="D182" s="5">
        <v>4755.75</v>
      </c>
      <c r="E182" s="5">
        <v>10.19</v>
      </c>
    </row>
    <row r="183" spans="1:5" ht="15.75" thickBot="1" x14ac:dyDescent="0.3">
      <c r="A183" s="4" t="s">
        <v>57</v>
      </c>
      <c r="B183" s="5" t="s">
        <v>19</v>
      </c>
      <c r="C183" s="5">
        <v>41027</v>
      </c>
      <c r="D183" s="5">
        <v>7285.85</v>
      </c>
      <c r="E183" s="5">
        <v>59.87</v>
      </c>
    </row>
    <row r="184" spans="1:5" ht="15.75" thickBot="1" x14ac:dyDescent="0.3">
      <c r="A184" s="4" t="s">
        <v>132</v>
      </c>
      <c r="B184" s="5" t="s">
        <v>19</v>
      </c>
      <c r="C184" s="5">
        <v>29860</v>
      </c>
      <c r="D184" s="5">
        <v>3956.23</v>
      </c>
      <c r="E184" s="5">
        <v>57.5</v>
      </c>
    </row>
    <row r="185" spans="1:5" ht="15.75" thickBot="1" x14ac:dyDescent="0.3">
      <c r="A185" s="4" t="s">
        <v>108</v>
      </c>
      <c r="B185" s="5" t="s">
        <v>7</v>
      </c>
      <c r="C185" s="5">
        <v>22201</v>
      </c>
      <c r="D185" s="5">
        <v>2853.66</v>
      </c>
      <c r="E185" s="5">
        <v>71.94</v>
      </c>
    </row>
    <row r="186" spans="1:5" ht="15.75" thickBot="1" x14ac:dyDescent="0.3">
      <c r="A186" s="4" t="s">
        <v>172</v>
      </c>
      <c r="B186" s="5" t="s">
        <v>7</v>
      </c>
      <c r="C186" s="5">
        <v>68820</v>
      </c>
      <c r="D186" s="5">
        <v>9612.25</v>
      </c>
      <c r="E186" s="5">
        <v>83.51</v>
      </c>
    </row>
    <row r="187" spans="1:5" ht="15.75" thickBot="1" x14ac:dyDescent="0.3">
      <c r="A187" s="4" t="s">
        <v>77</v>
      </c>
      <c r="B187" s="5" t="s">
        <v>30</v>
      </c>
      <c r="C187" s="5">
        <v>61942</v>
      </c>
      <c r="D187" s="5">
        <v>4891.32</v>
      </c>
      <c r="E187" s="5">
        <v>91.59</v>
      </c>
    </row>
    <row r="188" spans="1:5" ht="30.75" thickBot="1" x14ac:dyDescent="0.3">
      <c r="A188" s="4" t="s">
        <v>199</v>
      </c>
      <c r="B188" s="5" t="s">
        <v>17</v>
      </c>
      <c r="C188" s="5">
        <v>77317</v>
      </c>
      <c r="D188" s="5">
        <v>4862.95</v>
      </c>
      <c r="E188" s="5">
        <v>89.78</v>
      </c>
    </row>
    <row r="189" spans="1:5" ht="15.75" thickBot="1" x14ac:dyDescent="0.3">
      <c r="A189" s="4" t="s">
        <v>217</v>
      </c>
      <c r="B189" s="5" t="s">
        <v>19</v>
      </c>
      <c r="C189" s="5">
        <v>80824</v>
      </c>
      <c r="D189" s="5">
        <v>2858.92</v>
      </c>
      <c r="E189" s="5">
        <v>13.97</v>
      </c>
    </row>
    <row r="190" spans="1:5" ht="15.75" thickBot="1" x14ac:dyDescent="0.3">
      <c r="A190" s="4" t="s">
        <v>212</v>
      </c>
      <c r="B190" s="5" t="s">
        <v>7</v>
      </c>
      <c r="C190" s="5">
        <v>67820</v>
      </c>
      <c r="D190" s="5">
        <v>8177.95</v>
      </c>
      <c r="E190" s="5">
        <v>40.69</v>
      </c>
    </row>
    <row r="191" spans="1:5" ht="15.75" thickBot="1" x14ac:dyDescent="0.3">
      <c r="A191" s="4" t="s">
        <v>67</v>
      </c>
      <c r="B191" s="5" t="s">
        <v>7</v>
      </c>
      <c r="C191" s="5">
        <v>70582</v>
      </c>
      <c r="D191" s="5">
        <v>7517.59</v>
      </c>
      <c r="E191" s="5">
        <v>95.71</v>
      </c>
    </row>
    <row r="192" spans="1:5" ht="15.75" thickBot="1" x14ac:dyDescent="0.3">
      <c r="A192" s="4" t="s">
        <v>78</v>
      </c>
      <c r="B192" s="5" t="s">
        <v>7</v>
      </c>
      <c r="C192" s="5">
        <v>86557</v>
      </c>
      <c r="D192" s="5">
        <v>8631.2800000000007</v>
      </c>
      <c r="E192" s="5">
        <v>69.53</v>
      </c>
    </row>
    <row r="193" spans="1:5" ht="15.75" thickBot="1" x14ac:dyDescent="0.3">
      <c r="A193" s="4" t="s">
        <v>152</v>
      </c>
      <c r="B193" s="5" t="s">
        <v>30</v>
      </c>
      <c r="C193" s="5">
        <v>21914</v>
      </c>
      <c r="D193" s="5">
        <v>5897.27</v>
      </c>
      <c r="E193" s="5">
        <v>49.41</v>
      </c>
    </row>
    <row r="194" spans="1:5" ht="15.75" thickBot="1" x14ac:dyDescent="0.3">
      <c r="A194" s="4" t="s">
        <v>87</v>
      </c>
      <c r="B194" s="5" t="s">
        <v>12</v>
      </c>
      <c r="C194" s="5">
        <v>15333</v>
      </c>
      <c r="D194" s="5">
        <v>2570.54</v>
      </c>
      <c r="E194" s="5">
        <v>41.07</v>
      </c>
    </row>
    <row r="195" spans="1:5" ht="15.75" thickBot="1" x14ac:dyDescent="0.3">
      <c r="A195" s="4" t="s">
        <v>35</v>
      </c>
      <c r="B195" s="5" t="s">
        <v>19</v>
      </c>
      <c r="C195" s="5">
        <v>42382</v>
      </c>
      <c r="D195" s="5">
        <v>5116.6899999999996</v>
      </c>
      <c r="E195" s="5">
        <v>80.42</v>
      </c>
    </row>
    <row r="196" spans="1:5" ht="15.75" thickBot="1" x14ac:dyDescent="0.3">
      <c r="A196" s="4" t="s">
        <v>154</v>
      </c>
      <c r="B196" s="5" t="s">
        <v>12</v>
      </c>
      <c r="C196" s="5">
        <v>87012</v>
      </c>
      <c r="D196" s="5">
        <v>7478.13</v>
      </c>
      <c r="E196" s="5">
        <v>27.22</v>
      </c>
    </row>
    <row r="197" spans="1:5" ht="15.75" thickBot="1" x14ac:dyDescent="0.3">
      <c r="A197" s="4" t="s">
        <v>84</v>
      </c>
      <c r="B197" s="5" t="s">
        <v>30</v>
      </c>
      <c r="C197" s="5">
        <v>85444</v>
      </c>
      <c r="D197" s="5">
        <v>852.57</v>
      </c>
      <c r="E197" s="5">
        <v>72.650000000000006</v>
      </c>
    </row>
    <row r="198" spans="1:5" ht="30.75" thickBot="1" x14ac:dyDescent="0.3">
      <c r="A198" s="4" t="s">
        <v>76</v>
      </c>
      <c r="B198" s="5" t="s">
        <v>17</v>
      </c>
      <c r="C198" s="5">
        <v>59617</v>
      </c>
      <c r="D198" s="5">
        <v>5000.95</v>
      </c>
      <c r="E198" s="5">
        <v>80.36</v>
      </c>
    </row>
    <row r="199" spans="1:5" ht="15.75" thickBot="1" x14ac:dyDescent="0.3">
      <c r="A199" s="4" t="s">
        <v>50</v>
      </c>
      <c r="B199" s="5" t="s">
        <v>19</v>
      </c>
      <c r="C199" s="5">
        <v>40577</v>
      </c>
      <c r="D199" s="5">
        <v>4280.82</v>
      </c>
      <c r="E199" s="5">
        <v>79.88</v>
      </c>
    </row>
    <row r="200" spans="1:5" ht="15.75" thickBot="1" x14ac:dyDescent="0.3">
      <c r="A200" s="4" t="s">
        <v>117</v>
      </c>
      <c r="B200" s="5" t="s">
        <v>7</v>
      </c>
      <c r="C200" s="5">
        <v>89321</v>
      </c>
      <c r="D200" s="5">
        <v>9836.34</v>
      </c>
      <c r="E200" s="5">
        <v>16.989999999999998</v>
      </c>
    </row>
    <row r="201" spans="1:5" ht="15.75" thickBot="1" x14ac:dyDescent="0.3">
      <c r="A201" s="4" t="s">
        <v>182</v>
      </c>
      <c r="B201" s="5" t="s">
        <v>12</v>
      </c>
      <c r="C201" s="5">
        <v>21081</v>
      </c>
      <c r="D201" s="5">
        <v>9001.77</v>
      </c>
      <c r="E201" s="5">
        <v>49.27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53884-E23A-4D55-8C24-1F032D011E97}">
  <dimension ref="A1:C101"/>
  <sheetViews>
    <sheetView workbookViewId="0">
      <selection activeCell="E6" sqref="E6"/>
    </sheetView>
  </sheetViews>
  <sheetFormatPr defaultRowHeight="15" x14ac:dyDescent="0.25"/>
  <cols>
    <col min="1" max="1" width="8.42578125" style="3" bestFit="1" customWidth="1"/>
    <col min="2" max="2" width="20.140625" style="3" bestFit="1" customWidth="1"/>
    <col min="3" max="3" width="60.28515625" style="3" bestFit="1" customWidth="1"/>
    <col min="4" max="16384" width="9.140625" style="3"/>
  </cols>
  <sheetData>
    <row r="1" spans="1:3" ht="30.75" thickBot="1" x14ac:dyDescent="0.3">
      <c r="A1" s="1" t="s">
        <v>224</v>
      </c>
      <c r="B1" s="2" t="s">
        <v>225</v>
      </c>
      <c r="C1" s="2" t="s">
        <v>226</v>
      </c>
    </row>
    <row r="2" spans="1:3" ht="30.75" thickBot="1" x14ac:dyDescent="0.3">
      <c r="A2" s="4" t="s">
        <v>227</v>
      </c>
      <c r="B2" s="5">
        <v>959.2</v>
      </c>
      <c r="C2" s="5" t="s">
        <v>228</v>
      </c>
    </row>
    <row r="3" spans="1:3" ht="30.75" thickBot="1" x14ac:dyDescent="0.3">
      <c r="A3" s="4" t="s">
        <v>229</v>
      </c>
      <c r="B3" s="5">
        <v>231.68</v>
      </c>
      <c r="C3" s="5" t="s">
        <v>230</v>
      </c>
    </row>
    <row r="4" spans="1:3" ht="30.75" thickBot="1" x14ac:dyDescent="0.3">
      <c r="A4" s="4" t="s">
        <v>231</v>
      </c>
      <c r="B4" s="5">
        <v>714.03</v>
      </c>
      <c r="C4" s="5" t="s">
        <v>232</v>
      </c>
    </row>
    <row r="5" spans="1:3" ht="30.75" thickBot="1" x14ac:dyDescent="0.3">
      <c r="A5" s="4" t="s">
        <v>233</v>
      </c>
      <c r="B5" s="5">
        <v>571.88</v>
      </c>
      <c r="C5" s="5" t="s">
        <v>234</v>
      </c>
    </row>
    <row r="6" spans="1:3" ht="30.75" thickBot="1" x14ac:dyDescent="0.3">
      <c r="A6" s="4" t="s">
        <v>235</v>
      </c>
      <c r="B6" s="5">
        <v>114.57</v>
      </c>
      <c r="C6" s="5" t="s">
        <v>236</v>
      </c>
    </row>
    <row r="7" spans="1:3" ht="30.75" thickBot="1" x14ac:dyDescent="0.3">
      <c r="A7" s="4" t="s">
        <v>237</v>
      </c>
      <c r="B7" s="5">
        <v>790.74</v>
      </c>
      <c r="C7" s="5" t="s">
        <v>238</v>
      </c>
    </row>
    <row r="8" spans="1:3" ht="30.75" thickBot="1" x14ac:dyDescent="0.3">
      <c r="A8" s="4" t="s">
        <v>239</v>
      </c>
      <c r="B8" s="5">
        <v>847.51</v>
      </c>
      <c r="C8" s="5" t="s">
        <v>240</v>
      </c>
    </row>
    <row r="9" spans="1:3" ht="30.75" thickBot="1" x14ac:dyDescent="0.3">
      <c r="A9" s="4" t="s">
        <v>241</v>
      </c>
      <c r="B9" s="5">
        <v>610.79999999999995</v>
      </c>
      <c r="C9" s="5" t="s">
        <v>242</v>
      </c>
    </row>
    <row r="10" spans="1:3" ht="30.75" thickBot="1" x14ac:dyDescent="0.3">
      <c r="A10" s="4" t="s">
        <v>243</v>
      </c>
      <c r="B10" s="5">
        <v>390.06</v>
      </c>
      <c r="C10" s="5" t="s">
        <v>244</v>
      </c>
    </row>
    <row r="11" spans="1:3" ht="15.75" thickBot="1" x14ac:dyDescent="0.3">
      <c r="A11" s="4" t="s">
        <v>245</v>
      </c>
      <c r="B11" s="5">
        <v>932.3</v>
      </c>
      <c r="C11" s="5" t="s">
        <v>246</v>
      </c>
    </row>
    <row r="12" spans="1:3" ht="15.75" thickBot="1" x14ac:dyDescent="0.3">
      <c r="A12" s="4" t="s">
        <v>247</v>
      </c>
      <c r="B12" s="5">
        <v>795.74</v>
      </c>
      <c r="C12" s="5" t="s">
        <v>248</v>
      </c>
    </row>
    <row r="13" spans="1:3" ht="15.75" thickBot="1" x14ac:dyDescent="0.3">
      <c r="A13" s="4" t="s">
        <v>249</v>
      </c>
      <c r="B13" s="5">
        <v>986.62</v>
      </c>
      <c r="C13" s="5" t="s">
        <v>250</v>
      </c>
    </row>
    <row r="14" spans="1:3" ht="15.75" thickBot="1" x14ac:dyDescent="0.3">
      <c r="A14" s="4" t="s">
        <v>251</v>
      </c>
      <c r="B14" s="5">
        <v>467.3</v>
      </c>
      <c r="C14" s="5" t="s">
        <v>252</v>
      </c>
    </row>
    <row r="15" spans="1:3" ht="15.75" thickBot="1" x14ac:dyDescent="0.3">
      <c r="A15" s="4" t="s">
        <v>253</v>
      </c>
      <c r="B15" s="5">
        <v>807.86</v>
      </c>
      <c r="C15" s="5" t="s">
        <v>254</v>
      </c>
    </row>
    <row r="16" spans="1:3" ht="15.75" thickBot="1" x14ac:dyDescent="0.3">
      <c r="A16" s="4" t="s">
        <v>255</v>
      </c>
      <c r="B16" s="5">
        <v>264.23</v>
      </c>
      <c r="C16" s="5" t="s">
        <v>256</v>
      </c>
    </row>
    <row r="17" spans="1:3" ht="15.75" thickBot="1" x14ac:dyDescent="0.3">
      <c r="A17" s="4" t="s">
        <v>257</v>
      </c>
      <c r="B17" s="5">
        <v>724.63</v>
      </c>
      <c r="C17" s="5" t="s">
        <v>258</v>
      </c>
    </row>
    <row r="18" spans="1:3" ht="15.75" thickBot="1" x14ac:dyDescent="0.3">
      <c r="A18" s="4" t="s">
        <v>259</v>
      </c>
      <c r="B18" s="5">
        <v>341.24</v>
      </c>
      <c r="C18" s="5" t="s">
        <v>260</v>
      </c>
    </row>
    <row r="19" spans="1:3" ht="15.75" thickBot="1" x14ac:dyDescent="0.3">
      <c r="A19" s="4" t="s">
        <v>261</v>
      </c>
      <c r="B19" s="5">
        <v>763.97</v>
      </c>
      <c r="C19" s="5" t="s">
        <v>262</v>
      </c>
    </row>
    <row r="20" spans="1:3" ht="15.75" thickBot="1" x14ac:dyDescent="0.3">
      <c r="A20" s="4" t="s">
        <v>263</v>
      </c>
      <c r="B20" s="5">
        <v>459.56</v>
      </c>
      <c r="C20" s="5" t="s">
        <v>264</v>
      </c>
    </row>
    <row r="21" spans="1:3" ht="15.75" thickBot="1" x14ac:dyDescent="0.3">
      <c r="A21" s="4" t="s">
        <v>265</v>
      </c>
      <c r="B21" s="5">
        <v>181.54</v>
      </c>
      <c r="C21" s="5" t="s">
        <v>266</v>
      </c>
    </row>
    <row r="22" spans="1:3" ht="15.75" thickBot="1" x14ac:dyDescent="0.3">
      <c r="A22" s="4" t="s">
        <v>267</v>
      </c>
      <c r="B22" s="5">
        <v>553.44000000000005</v>
      </c>
      <c r="C22" s="5" t="s">
        <v>268</v>
      </c>
    </row>
    <row r="23" spans="1:3" ht="15.75" thickBot="1" x14ac:dyDescent="0.3">
      <c r="A23" s="4" t="s">
        <v>269</v>
      </c>
      <c r="B23" s="5">
        <v>275.77</v>
      </c>
      <c r="C23" s="5" t="s">
        <v>270</v>
      </c>
    </row>
    <row r="24" spans="1:3" ht="15.75" thickBot="1" x14ac:dyDescent="0.3">
      <c r="A24" s="4" t="s">
        <v>271</v>
      </c>
      <c r="B24" s="5">
        <v>991.03</v>
      </c>
      <c r="C24" s="5" t="s">
        <v>272</v>
      </c>
    </row>
    <row r="25" spans="1:3" ht="15.75" thickBot="1" x14ac:dyDescent="0.3">
      <c r="A25" s="4" t="s">
        <v>273</v>
      </c>
      <c r="B25" s="5">
        <v>818.45</v>
      </c>
      <c r="C25" s="5" t="s">
        <v>274</v>
      </c>
    </row>
    <row r="26" spans="1:3" ht="15.75" thickBot="1" x14ac:dyDescent="0.3">
      <c r="A26" s="4" t="s">
        <v>275</v>
      </c>
      <c r="B26" s="5">
        <v>289.77</v>
      </c>
      <c r="C26" s="5" t="s">
        <v>276</v>
      </c>
    </row>
    <row r="27" spans="1:3" ht="15.75" thickBot="1" x14ac:dyDescent="0.3">
      <c r="A27" s="4" t="s">
        <v>277</v>
      </c>
      <c r="B27" s="5">
        <v>557.72</v>
      </c>
      <c r="C27" s="5" t="s">
        <v>278</v>
      </c>
    </row>
    <row r="28" spans="1:3" ht="15.75" thickBot="1" x14ac:dyDescent="0.3">
      <c r="A28" s="4" t="s">
        <v>279</v>
      </c>
      <c r="B28" s="5">
        <v>714.81</v>
      </c>
      <c r="C28" s="5" t="s">
        <v>280</v>
      </c>
    </row>
    <row r="29" spans="1:3" ht="15.75" thickBot="1" x14ac:dyDescent="0.3">
      <c r="A29" s="4" t="s">
        <v>281</v>
      </c>
      <c r="B29" s="5">
        <v>318.55</v>
      </c>
      <c r="C29" s="5" t="s">
        <v>282</v>
      </c>
    </row>
    <row r="30" spans="1:3" ht="15.75" thickBot="1" x14ac:dyDescent="0.3">
      <c r="A30" s="4" t="s">
        <v>283</v>
      </c>
      <c r="B30" s="5">
        <v>649.76</v>
      </c>
      <c r="C30" s="5" t="s">
        <v>284</v>
      </c>
    </row>
    <row r="31" spans="1:3" ht="15.75" thickBot="1" x14ac:dyDescent="0.3">
      <c r="A31" s="4" t="s">
        <v>285</v>
      </c>
      <c r="B31" s="5">
        <v>830.73</v>
      </c>
      <c r="C31" s="5" t="s">
        <v>286</v>
      </c>
    </row>
    <row r="32" spans="1:3" ht="15.75" thickBot="1" x14ac:dyDescent="0.3">
      <c r="A32" s="4" t="s">
        <v>287</v>
      </c>
      <c r="B32" s="5">
        <v>526.54999999999995</v>
      </c>
      <c r="C32" s="5" t="s">
        <v>288</v>
      </c>
    </row>
    <row r="33" spans="1:3" ht="15.75" thickBot="1" x14ac:dyDescent="0.3">
      <c r="A33" s="4" t="s">
        <v>289</v>
      </c>
      <c r="B33" s="5">
        <v>344.93</v>
      </c>
      <c r="C33" s="5" t="s">
        <v>290</v>
      </c>
    </row>
    <row r="34" spans="1:3" ht="15.75" thickBot="1" x14ac:dyDescent="0.3">
      <c r="A34" s="4" t="s">
        <v>291</v>
      </c>
      <c r="B34" s="5">
        <v>571.66</v>
      </c>
      <c r="C34" s="5" t="s">
        <v>292</v>
      </c>
    </row>
    <row r="35" spans="1:3" ht="15.75" thickBot="1" x14ac:dyDescent="0.3">
      <c r="A35" s="4" t="s">
        <v>293</v>
      </c>
      <c r="B35" s="5">
        <v>867.66</v>
      </c>
      <c r="C35" s="5" t="s">
        <v>294</v>
      </c>
    </row>
    <row r="36" spans="1:3" ht="15.75" thickBot="1" x14ac:dyDescent="0.3">
      <c r="A36" s="4" t="s">
        <v>295</v>
      </c>
      <c r="B36" s="5">
        <v>479.41</v>
      </c>
      <c r="C36" s="5" t="s">
        <v>296</v>
      </c>
    </row>
    <row r="37" spans="1:3" ht="15.75" thickBot="1" x14ac:dyDescent="0.3">
      <c r="A37" s="4" t="s">
        <v>297</v>
      </c>
      <c r="B37" s="5">
        <v>173.67</v>
      </c>
      <c r="C37" s="5" t="s">
        <v>298</v>
      </c>
    </row>
    <row r="38" spans="1:3" ht="15.75" thickBot="1" x14ac:dyDescent="0.3">
      <c r="A38" s="4" t="s">
        <v>299</v>
      </c>
      <c r="B38" s="5">
        <v>694.92</v>
      </c>
      <c r="C38" s="5" t="s">
        <v>300</v>
      </c>
    </row>
    <row r="39" spans="1:3" ht="15.75" thickBot="1" x14ac:dyDescent="0.3">
      <c r="A39" s="4" t="s">
        <v>301</v>
      </c>
      <c r="B39" s="5">
        <v>230.57</v>
      </c>
      <c r="C39" s="5" t="s">
        <v>302</v>
      </c>
    </row>
    <row r="40" spans="1:3" ht="15.75" thickBot="1" x14ac:dyDescent="0.3">
      <c r="A40" s="4" t="s">
        <v>303</v>
      </c>
      <c r="B40" s="5">
        <v>796.34</v>
      </c>
      <c r="C40" s="5" t="s">
        <v>304</v>
      </c>
    </row>
    <row r="41" spans="1:3" ht="15.75" thickBot="1" x14ac:dyDescent="0.3">
      <c r="A41" s="4" t="s">
        <v>305</v>
      </c>
      <c r="B41" s="5">
        <v>532.27</v>
      </c>
      <c r="C41" s="5" t="s">
        <v>306</v>
      </c>
    </row>
    <row r="42" spans="1:3" ht="15.75" thickBot="1" x14ac:dyDescent="0.3">
      <c r="A42" s="4" t="s">
        <v>307</v>
      </c>
      <c r="B42" s="5">
        <v>184.92</v>
      </c>
      <c r="C42" s="5" t="s">
        <v>308</v>
      </c>
    </row>
    <row r="43" spans="1:3" ht="15.75" thickBot="1" x14ac:dyDescent="0.3">
      <c r="A43" s="4" t="s">
        <v>309</v>
      </c>
      <c r="B43" s="5">
        <v>249.3</v>
      </c>
      <c r="C43" s="5" t="s">
        <v>310</v>
      </c>
    </row>
    <row r="44" spans="1:3" ht="15.75" thickBot="1" x14ac:dyDescent="0.3">
      <c r="A44" s="4" t="s">
        <v>311</v>
      </c>
      <c r="B44" s="5">
        <v>783.77</v>
      </c>
      <c r="C44" s="5" t="s">
        <v>312</v>
      </c>
    </row>
    <row r="45" spans="1:3" ht="15.75" thickBot="1" x14ac:dyDescent="0.3">
      <c r="A45" s="4" t="s">
        <v>313</v>
      </c>
      <c r="B45" s="5">
        <v>785.8</v>
      </c>
      <c r="C45" s="5" t="s">
        <v>314</v>
      </c>
    </row>
    <row r="46" spans="1:3" ht="15.75" thickBot="1" x14ac:dyDescent="0.3">
      <c r="A46" s="4" t="s">
        <v>315</v>
      </c>
      <c r="B46" s="5">
        <v>105.67</v>
      </c>
      <c r="C46" s="5" t="s">
        <v>316</v>
      </c>
    </row>
    <row r="47" spans="1:3" ht="15.75" thickBot="1" x14ac:dyDescent="0.3">
      <c r="A47" s="4" t="s">
        <v>317</v>
      </c>
      <c r="B47" s="5">
        <v>579.80999999999995</v>
      </c>
      <c r="C47" s="5" t="s">
        <v>318</v>
      </c>
    </row>
    <row r="48" spans="1:3" ht="15.75" thickBot="1" x14ac:dyDescent="0.3">
      <c r="A48" s="4" t="s">
        <v>319</v>
      </c>
      <c r="B48" s="5">
        <v>851.48</v>
      </c>
      <c r="C48" s="5" t="s">
        <v>320</v>
      </c>
    </row>
    <row r="49" spans="1:3" ht="15.75" thickBot="1" x14ac:dyDescent="0.3">
      <c r="A49" s="4" t="s">
        <v>321</v>
      </c>
      <c r="B49" s="5">
        <v>209.33</v>
      </c>
      <c r="C49" s="5" t="s">
        <v>322</v>
      </c>
    </row>
    <row r="50" spans="1:3" ht="15.75" thickBot="1" x14ac:dyDescent="0.3">
      <c r="A50" s="4" t="s">
        <v>323</v>
      </c>
      <c r="B50" s="5">
        <v>548.4</v>
      </c>
      <c r="C50" s="5" t="s">
        <v>324</v>
      </c>
    </row>
    <row r="51" spans="1:3" ht="15.75" thickBot="1" x14ac:dyDescent="0.3">
      <c r="A51" s="4" t="s">
        <v>325</v>
      </c>
      <c r="B51" s="5">
        <v>432.23</v>
      </c>
      <c r="C51" s="5" t="s">
        <v>326</v>
      </c>
    </row>
    <row r="52" spans="1:3" ht="15.75" thickBot="1" x14ac:dyDescent="0.3">
      <c r="A52" s="4" t="s">
        <v>327</v>
      </c>
      <c r="B52" s="5">
        <v>472.66</v>
      </c>
      <c r="C52" s="5" t="s">
        <v>328</v>
      </c>
    </row>
    <row r="53" spans="1:3" ht="15.75" thickBot="1" x14ac:dyDescent="0.3">
      <c r="A53" s="4" t="s">
        <v>329</v>
      </c>
      <c r="B53" s="5">
        <v>773.96</v>
      </c>
      <c r="C53" s="5" t="s">
        <v>330</v>
      </c>
    </row>
    <row r="54" spans="1:3" ht="15.75" thickBot="1" x14ac:dyDescent="0.3">
      <c r="A54" s="4" t="s">
        <v>331</v>
      </c>
      <c r="B54" s="5">
        <v>951.35</v>
      </c>
      <c r="C54" s="5" t="s">
        <v>332</v>
      </c>
    </row>
    <row r="55" spans="1:3" ht="15.75" thickBot="1" x14ac:dyDescent="0.3">
      <c r="A55" s="4" t="s">
        <v>333</v>
      </c>
      <c r="B55" s="5">
        <v>568.27</v>
      </c>
      <c r="C55" s="5" t="s">
        <v>334</v>
      </c>
    </row>
    <row r="56" spans="1:3" ht="15.75" thickBot="1" x14ac:dyDescent="0.3">
      <c r="A56" s="4" t="s">
        <v>335</v>
      </c>
      <c r="B56" s="5">
        <v>880.2</v>
      </c>
      <c r="C56" s="5" t="s">
        <v>336</v>
      </c>
    </row>
    <row r="57" spans="1:3" ht="15.75" thickBot="1" x14ac:dyDescent="0.3">
      <c r="A57" s="4" t="s">
        <v>337</v>
      </c>
      <c r="B57" s="5">
        <v>780.4</v>
      </c>
      <c r="C57" s="5" t="s">
        <v>338</v>
      </c>
    </row>
    <row r="58" spans="1:3" ht="15.75" thickBot="1" x14ac:dyDescent="0.3">
      <c r="A58" s="4" t="s">
        <v>339</v>
      </c>
      <c r="B58" s="5">
        <v>769.39</v>
      </c>
      <c r="C58" s="5" t="s">
        <v>340</v>
      </c>
    </row>
    <row r="59" spans="1:3" ht="15.75" thickBot="1" x14ac:dyDescent="0.3">
      <c r="A59" s="4" t="s">
        <v>341</v>
      </c>
      <c r="B59" s="5">
        <v>436.04</v>
      </c>
      <c r="C59" s="5" t="s">
        <v>342</v>
      </c>
    </row>
    <row r="60" spans="1:3" ht="15.75" thickBot="1" x14ac:dyDescent="0.3">
      <c r="A60" s="4" t="s">
        <v>343</v>
      </c>
      <c r="B60" s="5">
        <v>241.41</v>
      </c>
      <c r="C60" s="5" t="s">
        <v>344</v>
      </c>
    </row>
    <row r="61" spans="1:3" ht="15.75" thickBot="1" x14ac:dyDescent="0.3">
      <c r="A61" s="4" t="s">
        <v>345</v>
      </c>
      <c r="B61" s="5">
        <v>311.36</v>
      </c>
      <c r="C61" s="5" t="s">
        <v>346</v>
      </c>
    </row>
    <row r="62" spans="1:3" ht="15.75" thickBot="1" x14ac:dyDescent="0.3">
      <c r="A62" s="4" t="s">
        <v>347</v>
      </c>
      <c r="B62" s="5">
        <v>638.89</v>
      </c>
      <c r="C62" s="5" t="s">
        <v>348</v>
      </c>
    </row>
    <row r="63" spans="1:3" ht="15.75" thickBot="1" x14ac:dyDescent="0.3">
      <c r="A63" s="4" t="s">
        <v>349</v>
      </c>
      <c r="B63" s="5">
        <v>850.09</v>
      </c>
      <c r="C63" s="5" t="s">
        <v>350</v>
      </c>
    </row>
    <row r="64" spans="1:3" ht="15.75" thickBot="1" x14ac:dyDescent="0.3">
      <c r="A64" s="4" t="s">
        <v>351</v>
      </c>
      <c r="B64" s="5">
        <v>891.15</v>
      </c>
      <c r="C64" s="5" t="s">
        <v>352</v>
      </c>
    </row>
    <row r="65" spans="1:3" ht="15.75" thickBot="1" x14ac:dyDescent="0.3">
      <c r="A65" s="4" t="s">
        <v>353</v>
      </c>
      <c r="B65" s="5">
        <v>662.74</v>
      </c>
      <c r="C65" s="5" t="s">
        <v>354</v>
      </c>
    </row>
    <row r="66" spans="1:3" ht="15.75" thickBot="1" x14ac:dyDescent="0.3">
      <c r="A66" s="4" t="s">
        <v>355</v>
      </c>
      <c r="B66" s="5">
        <v>527.37</v>
      </c>
      <c r="C66" s="5" t="s">
        <v>356</v>
      </c>
    </row>
    <row r="67" spans="1:3" ht="15.75" thickBot="1" x14ac:dyDescent="0.3">
      <c r="A67" s="4" t="s">
        <v>357</v>
      </c>
      <c r="B67" s="5">
        <v>886.71</v>
      </c>
      <c r="C67" s="5" t="s">
        <v>358</v>
      </c>
    </row>
    <row r="68" spans="1:3" ht="15.75" thickBot="1" x14ac:dyDescent="0.3">
      <c r="A68" s="4" t="s">
        <v>359</v>
      </c>
      <c r="B68" s="5">
        <v>764.33</v>
      </c>
      <c r="C68" s="5" t="s">
        <v>360</v>
      </c>
    </row>
    <row r="69" spans="1:3" ht="15.75" thickBot="1" x14ac:dyDescent="0.3">
      <c r="A69" s="4" t="s">
        <v>361</v>
      </c>
      <c r="B69" s="5">
        <v>319.93</v>
      </c>
      <c r="C69" s="5" t="s">
        <v>362</v>
      </c>
    </row>
    <row r="70" spans="1:3" ht="15.75" thickBot="1" x14ac:dyDescent="0.3">
      <c r="A70" s="4" t="s">
        <v>363</v>
      </c>
      <c r="B70" s="5">
        <v>798.96</v>
      </c>
      <c r="C70" s="5" t="s">
        <v>364</v>
      </c>
    </row>
    <row r="71" spans="1:3" ht="15.75" thickBot="1" x14ac:dyDescent="0.3">
      <c r="A71" s="4" t="s">
        <v>365</v>
      </c>
      <c r="B71" s="5">
        <v>360.75</v>
      </c>
      <c r="C71" s="5" t="s">
        <v>366</v>
      </c>
    </row>
    <row r="72" spans="1:3" ht="15.75" thickBot="1" x14ac:dyDescent="0.3">
      <c r="A72" s="4" t="s">
        <v>367</v>
      </c>
      <c r="B72" s="5">
        <v>268.16000000000003</v>
      </c>
      <c r="C72" s="5" t="s">
        <v>368</v>
      </c>
    </row>
    <row r="73" spans="1:3" ht="15.75" thickBot="1" x14ac:dyDescent="0.3">
      <c r="A73" s="4" t="s">
        <v>369</v>
      </c>
      <c r="B73" s="5">
        <v>931.73</v>
      </c>
      <c r="C73" s="5" t="s">
        <v>370</v>
      </c>
    </row>
    <row r="74" spans="1:3" ht="15.75" thickBot="1" x14ac:dyDescent="0.3">
      <c r="A74" s="4" t="s">
        <v>371</v>
      </c>
      <c r="B74" s="5">
        <v>626.54</v>
      </c>
      <c r="C74" s="5" t="s">
        <v>372</v>
      </c>
    </row>
    <row r="75" spans="1:3" ht="15.75" thickBot="1" x14ac:dyDescent="0.3">
      <c r="A75" s="4" t="s">
        <v>373</v>
      </c>
      <c r="B75" s="5">
        <v>673.97</v>
      </c>
      <c r="C75" s="5" t="s">
        <v>374</v>
      </c>
    </row>
    <row r="76" spans="1:3" ht="15.75" thickBot="1" x14ac:dyDescent="0.3">
      <c r="A76" s="4" t="s">
        <v>375</v>
      </c>
      <c r="B76" s="5">
        <v>362.43</v>
      </c>
      <c r="C76" s="5" t="s">
        <v>376</v>
      </c>
    </row>
    <row r="77" spans="1:3" ht="15.75" thickBot="1" x14ac:dyDescent="0.3">
      <c r="A77" s="4" t="s">
        <v>377</v>
      </c>
      <c r="B77" s="5">
        <v>111.84</v>
      </c>
      <c r="C77" s="5" t="s">
        <v>378</v>
      </c>
    </row>
    <row r="78" spans="1:3" ht="15.75" thickBot="1" x14ac:dyDescent="0.3">
      <c r="A78" s="4" t="s">
        <v>379</v>
      </c>
      <c r="B78" s="5">
        <v>669.59</v>
      </c>
      <c r="C78" s="5" t="s">
        <v>380</v>
      </c>
    </row>
    <row r="79" spans="1:3" ht="15.75" thickBot="1" x14ac:dyDescent="0.3">
      <c r="A79" s="4" t="s">
        <v>381</v>
      </c>
      <c r="B79" s="5">
        <v>431.16</v>
      </c>
      <c r="C79" s="5" t="s">
        <v>382</v>
      </c>
    </row>
    <row r="80" spans="1:3" ht="15.75" thickBot="1" x14ac:dyDescent="0.3">
      <c r="A80" s="4" t="s">
        <v>383</v>
      </c>
      <c r="B80" s="5">
        <v>616.03</v>
      </c>
      <c r="C80" s="5" t="s">
        <v>384</v>
      </c>
    </row>
    <row r="81" spans="1:3" ht="15.75" thickBot="1" x14ac:dyDescent="0.3">
      <c r="A81" s="4" t="s">
        <v>385</v>
      </c>
      <c r="B81" s="5">
        <v>285.99</v>
      </c>
      <c r="C81" s="5" t="s">
        <v>386</v>
      </c>
    </row>
    <row r="82" spans="1:3" ht="15.75" thickBot="1" x14ac:dyDescent="0.3">
      <c r="A82" s="4" t="s">
        <v>387</v>
      </c>
      <c r="B82" s="5">
        <v>466.93</v>
      </c>
      <c r="C82" s="5" t="s">
        <v>388</v>
      </c>
    </row>
    <row r="83" spans="1:3" ht="15.75" thickBot="1" x14ac:dyDescent="0.3">
      <c r="A83" s="4" t="s">
        <v>389</v>
      </c>
      <c r="B83" s="5">
        <v>224.5</v>
      </c>
      <c r="C83" s="5" t="s">
        <v>390</v>
      </c>
    </row>
    <row r="84" spans="1:3" ht="15.75" thickBot="1" x14ac:dyDescent="0.3">
      <c r="A84" s="4" t="s">
        <v>391</v>
      </c>
      <c r="B84" s="5">
        <v>143.16999999999999</v>
      </c>
      <c r="C84" s="5" t="s">
        <v>392</v>
      </c>
    </row>
    <row r="85" spans="1:3" ht="15.75" thickBot="1" x14ac:dyDescent="0.3">
      <c r="A85" s="4" t="s">
        <v>393</v>
      </c>
      <c r="B85" s="5">
        <v>958.01</v>
      </c>
      <c r="C85" s="5" t="s">
        <v>394</v>
      </c>
    </row>
    <row r="86" spans="1:3" ht="15.75" thickBot="1" x14ac:dyDescent="0.3">
      <c r="A86" s="4" t="s">
        <v>395</v>
      </c>
      <c r="B86" s="5">
        <v>960.4</v>
      </c>
      <c r="C86" s="5" t="s">
        <v>396</v>
      </c>
    </row>
    <row r="87" spans="1:3" ht="15.75" thickBot="1" x14ac:dyDescent="0.3">
      <c r="A87" s="4" t="s">
        <v>397</v>
      </c>
      <c r="B87" s="5">
        <v>685.27</v>
      </c>
      <c r="C87" s="5" t="s">
        <v>398</v>
      </c>
    </row>
    <row r="88" spans="1:3" ht="15.75" thickBot="1" x14ac:dyDescent="0.3">
      <c r="A88" s="4" t="s">
        <v>399</v>
      </c>
      <c r="B88" s="5">
        <v>923.3</v>
      </c>
      <c r="C88" s="5" t="s">
        <v>400</v>
      </c>
    </row>
    <row r="89" spans="1:3" ht="15.75" thickBot="1" x14ac:dyDescent="0.3">
      <c r="A89" s="4" t="s">
        <v>401</v>
      </c>
      <c r="B89" s="5">
        <v>635.72</v>
      </c>
      <c r="C89" s="5" t="s">
        <v>402</v>
      </c>
    </row>
    <row r="90" spans="1:3" ht="15.75" thickBot="1" x14ac:dyDescent="0.3">
      <c r="A90" s="4" t="s">
        <v>403</v>
      </c>
      <c r="B90" s="5">
        <v>943.59</v>
      </c>
      <c r="C90" s="5" t="s">
        <v>404</v>
      </c>
    </row>
    <row r="91" spans="1:3" ht="15.75" thickBot="1" x14ac:dyDescent="0.3">
      <c r="A91" s="4" t="s">
        <v>405</v>
      </c>
      <c r="B91" s="5">
        <v>773.32</v>
      </c>
      <c r="C91" s="5" t="s">
        <v>406</v>
      </c>
    </row>
    <row r="92" spans="1:3" ht="15.75" thickBot="1" x14ac:dyDescent="0.3">
      <c r="A92" s="4" t="s">
        <v>407</v>
      </c>
      <c r="B92" s="5">
        <v>756.78</v>
      </c>
      <c r="C92" s="5" t="s">
        <v>408</v>
      </c>
    </row>
    <row r="93" spans="1:3" ht="15.75" thickBot="1" x14ac:dyDescent="0.3">
      <c r="A93" s="4" t="s">
        <v>409</v>
      </c>
      <c r="B93" s="5">
        <v>286.72000000000003</v>
      </c>
      <c r="C93" s="5" t="s">
        <v>410</v>
      </c>
    </row>
    <row r="94" spans="1:3" ht="15.75" thickBot="1" x14ac:dyDescent="0.3">
      <c r="A94" s="4" t="s">
        <v>411</v>
      </c>
      <c r="B94" s="5">
        <v>991.36</v>
      </c>
      <c r="C94" s="5" t="s">
        <v>412</v>
      </c>
    </row>
    <row r="95" spans="1:3" ht="15.75" thickBot="1" x14ac:dyDescent="0.3">
      <c r="A95" s="4" t="s">
        <v>413</v>
      </c>
      <c r="B95" s="5">
        <v>962.92</v>
      </c>
      <c r="C95" s="5" t="s">
        <v>414</v>
      </c>
    </row>
    <row r="96" spans="1:3" ht="15.75" thickBot="1" x14ac:dyDescent="0.3">
      <c r="A96" s="4" t="s">
        <v>415</v>
      </c>
      <c r="B96" s="5">
        <v>464.62</v>
      </c>
      <c r="C96" s="5" t="s">
        <v>416</v>
      </c>
    </row>
    <row r="97" spans="1:3" ht="15.75" thickBot="1" x14ac:dyDescent="0.3">
      <c r="A97" s="4" t="s">
        <v>417</v>
      </c>
      <c r="B97" s="5">
        <v>640.87</v>
      </c>
      <c r="C97" s="5" t="s">
        <v>418</v>
      </c>
    </row>
    <row r="98" spans="1:3" ht="15.75" thickBot="1" x14ac:dyDescent="0.3">
      <c r="A98" s="4" t="s">
        <v>419</v>
      </c>
      <c r="B98" s="5">
        <v>329.11</v>
      </c>
      <c r="C98" s="5" t="s">
        <v>420</v>
      </c>
    </row>
    <row r="99" spans="1:3" ht="15.75" thickBot="1" x14ac:dyDescent="0.3">
      <c r="A99" s="4" t="s">
        <v>421</v>
      </c>
      <c r="B99" s="5">
        <v>608.07000000000005</v>
      </c>
      <c r="C99" s="5" t="s">
        <v>422</v>
      </c>
    </row>
    <row r="100" spans="1:3" ht="15.75" thickBot="1" x14ac:dyDescent="0.3">
      <c r="A100" s="4" t="s">
        <v>423</v>
      </c>
      <c r="B100" s="5">
        <v>256.33999999999997</v>
      </c>
      <c r="C100" s="5" t="s">
        <v>424</v>
      </c>
    </row>
    <row r="101" spans="1:3" ht="15.75" thickBot="1" x14ac:dyDescent="0.3">
      <c r="A101" s="4" t="s">
        <v>425</v>
      </c>
      <c r="B101" s="5">
        <v>169.33</v>
      </c>
      <c r="C101" s="5" t="s">
        <v>426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A09BF-FD7C-4F4F-AFB8-CFC0077DFA2E}">
  <dimension ref="A1:C4"/>
  <sheetViews>
    <sheetView workbookViewId="0">
      <selection activeCell="B7" sqref="B7"/>
    </sheetView>
  </sheetViews>
  <sheetFormatPr defaultRowHeight="15" x14ac:dyDescent="0.25"/>
  <cols>
    <col min="1" max="1" width="14.42578125" bestFit="1" customWidth="1"/>
    <col min="2" max="2" width="13.7109375" bestFit="1" customWidth="1"/>
    <col min="3" max="3" width="68.85546875" bestFit="1" customWidth="1"/>
  </cols>
  <sheetData>
    <row r="1" spans="1:3" ht="30.75" thickBot="1" x14ac:dyDescent="0.3">
      <c r="A1" s="1" t="s">
        <v>427</v>
      </c>
      <c r="B1" s="2" t="s">
        <v>428</v>
      </c>
      <c r="C1" s="2" t="s">
        <v>429</v>
      </c>
    </row>
    <row r="2" spans="1:3" ht="30.75" thickBot="1" x14ac:dyDescent="0.3">
      <c r="A2" s="4" t="s">
        <v>430</v>
      </c>
      <c r="B2" s="5" t="s">
        <v>431</v>
      </c>
      <c r="C2" s="6" t="s">
        <v>432</v>
      </c>
    </row>
    <row r="3" spans="1:3" ht="30.75" thickBot="1" x14ac:dyDescent="0.3">
      <c r="A3" s="4" t="s">
        <v>433</v>
      </c>
      <c r="B3" s="5">
        <v>2050</v>
      </c>
      <c r="C3" s="5" t="s">
        <v>434</v>
      </c>
    </row>
    <row r="4" spans="1:3" ht="45.75" thickBot="1" x14ac:dyDescent="0.3">
      <c r="A4" s="4" t="s">
        <v>435</v>
      </c>
      <c r="B4" s="5" t="s">
        <v>436</v>
      </c>
      <c r="C4" s="5" t="s">
        <v>437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4598B-0BD5-416C-B200-A994EAFE98E8}">
  <dimension ref="A1:M2001"/>
  <sheetViews>
    <sheetView workbookViewId="0">
      <selection activeCell="Q4" sqref="Q4"/>
    </sheetView>
  </sheetViews>
  <sheetFormatPr defaultRowHeight="15" x14ac:dyDescent="0.25"/>
  <cols>
    <col min="1" max="1" width="9.5703125" style="9" bestFit="1" customWidth="1"/>
    <col min="2" max="2" width="13.140625" style="9" bestFit="1" customWidth="1"/>
    <col min="3" max="3" width="16.140625" style="9" bestFit="1" customWidth="1"/>
    <col min="4" max="4" width="7.7109375" style="9" bestFit="1" customWidth="1"/>
    <col min="5" max="5" width="9.85546875" style="9" bestFit="1" customWidth="1"/>
    <col min="6" max="6" width="15.5703125" style="9" bestFit="1" customWidth="1"/>
    <col min="7" max="7" width="18.42578125" style="9" bestFit="1" customWidth="1"/>
    <col min="8" max="8" width="12.85546875" style="9" bestFit="1" customWidth="1"/>
    <col min="9" max="9" width="12.42578125" style="9" bestFit="1" customWidth="1"/>
    <col min="10" max="10" width="18" style="9" bestFit="1" customWidth="1"/>
    <col min="11" max="11" width="9.140625" style="9"/>
    <col min="12" max="12" width="28.85546875" style="9" bestFit="1" customWidth="1"/>
    <col min="13" max="13" width="29.28515625" style="9" bestFit="1" customWidth="1"/>
    <col min="14" max="16384" width="9.140625" style="9"/>
  </cols>
  <sheetData>
    <row r="1" spans="1:13" ht="45" x14ac:dyDescent="0.25">
      <c r="A1" s="10" t="s">
        <v>0</v>
      </c>
      <c r="B1" s="10" t="s">
        <v>1</v>
      </c>
      <c r="C1" s="10" t="s">
        <v>2</v>
      </c>
      <c r="D1" s="10" t="s">
        <v>3</v>
      </c>
      <c r="E1" s="10" t="s">
        <v>4</v>
      </c>
      <c r="F1" s="10" t="s">
        <v>5</v>
      </c>
      <c r="G1" s="10" t="s">
        <v>221</v>
      </c>
      <c r="H1" s="10" t="s">
        <v>222</v>
      </c>
      <c r="I1" s="10" t="s">
        <v>223</v>
      </c>
      <c r="J1" s="22" t="s">
        <v>449</v>
      </c>
    </row>
    <row r="2" spans="1:13" ht="37.5" x14ac:dyDescent="0.25">
      <c r="A2" s="20" t="s">
        <v>6</v>
      </c>
      <c r="B2" s="20" t="s">
        <v>7</v>
      </c>
      <c r="C2" s="20" t="s">
        <v>8</v>
      </c>
      <c r="D2" s="20" t="s">
        <v>9</v>
      </c>
      <c r="E2" s="20" t="s">
        <v>10</v>
      </c>
      <c r="F2" s="20">
        <v>2435.5974080000001</v>
      </c>
      <c r="G2" s="11">
        <f>VLOOKUP(A2,'Operational Data'!$A$2:$E$201,3,FALSE)</f>
        <v>77330</v>
      </c>
      <c r="H2" s="11">
        <f>VLOOKUP(A2,'Operational Data'!$A$2:$E$201,4,FALSE)</f>
        <v>6936.58</v>
      </c>
      <c r="I2" s="11">
        <f>VLOOKUP(A2,'Operational Data'!$A$2:$E$201,5,FALSE)</f>
        <v>82.3</v>
      </c>
      <c r="J2" s="21">
        <f>F2/G2</f>
        <v>3.1496151661709555E-2</v>
      </c>
      <c r="L2" s="33" t="s">
        <v>444</v>
      </c>
      <c r="M2" s="34">
        <f>SUMIFS(F:F,C:C,"2022 Q1")</f>
        <v>1256202.8636468977</v>
      </c>
    </row>
    <row r="3" spans="1:13" ht="37.5" x14ac:dyDescent="0.25">
      <c r="A3" s="20" t="s">
        <v>11</v>
      </c>
      <c r="B3" s="20" t="s">
        <v>12</v>
      </c>
      <c r="C3" s="20" t="s">
        <v>13</v>
      </c>
      <c r="D3" s="20" t="s">
        <v>14</v>
      </c>
      <c r="E3" s="20" t="s">
        <v>15</v>
      </c>
      <c r="F3" s="20">
        <v>835.45</v>
      </c>
      <c r="G3" s="11">
        <f>VLOOKUP(A3,'Operational Data'!$A$2:$E$201,3,FALSE)</f>
        <v>44657</v>
      </c>
      <c r="H3" s="11">
        <f>VLOOKUP(A3,'Operational Data'!$A$2:$E$201,4,FALSE)</f>
        <v>7867.98</v>
      </c>
      <c r="I3" s="11">
        <f>VLOOKUP(A3,'Operational Data'!$A$2:$E$201,5,FALSE)</f>
        <v>96.01</v>
      </c>
      <c r="J3" s="21">
        <f t="shared" ref="J3:J66" si="0">F3/G3</f>
        <v>1.8708153257048169E-2</v>
      </c>
      <c r="L3" s="33" t="s">
        <v>448</v>
      </c>
      <c r="M3" s="34">
        <f>SUMIFS(F:F,C:C,"2023 Q2")</f>
        <v>1257073.9556838011</v>
      </c>
    </row>
    <row r="4" spans="1:13" ht="47.25" x14ac:dyDescent="0.25">
      <c r="A4" s="20" t="s">
        <v>16</v>
      </c>
      <c r="B4" s="20" t="s">
        <v>17</v>
      </c>
      <c r="C4" s="20" t="s">
        <v>13</v>
      </c>
      <c r="D4" s="20" t="s">
        <v>14</v>
      </c>
      <c r="E4" s="20" t="s">
        <v>15</v>
      </c>
      <c r="F4" s="20">
        <v>3430.45</v>
      </c>
      <c r="G4" s="11">
        <f>VLOOKUP(A4,'Operational Data'!$A$2:$E$201,3,FALSE)</f>
        <v>43512</v>
      </c>
      <c r="H4" s="11">
        <f>VLOOKUP(A4,'Operational Data'!$A$2:$E$201,4,FALSE)</f>
        <v>5352.18</v>
      </c>
      <c r="I4" s="11">
        <f>VLOOKUP(A4,'Operational Data'!$A$2:$E$201,5,FALSE)</f>
        <v>6.17</v>
      </c>
      <c r="J4" s="21">
        <f t="shared" si="0"/>
        <v>7.883917080345651E-2</v>
      </c>
      <c r="L4" s="37" t="s">
        <v>447</v>
      </c>
      <c r="M4" s="36">
        <f>((M2-M3)/M2)*100</f>
        <v>-6.9343261515460358E-2</v>
      </c>
    </row>
    <row r="5" spans="1:13" ht="101.25" x14ac:dyDescent="0.35">
      <c r="A5" s="20" t="s">
        <v>18</v>
      </c>
      <c r="B5" s="20" t="s">
        <v>19</v>
      </c>
      <c r="C5" s="20" t="s">
        <v>8</v>
      </c>
      <c r="D5" s="20" t="s">
        <v>14</v>
      </c>
      <c r="E5" s="20" t="s">
        <v>15</v>
      </c>
      <c r="F5" s="20">
        <v>4214.24</v>
      </c>
      <c r="G5" s="11">
        <f>VLOOKUP(A5,'Operational Data'!$A$2:$E$201,3,FALSE)</f>
        <v>98682</v>
      </c>
      <c r="H5" s="11">
        <f>VLOOKUP(A5,'Operational Data'!$A$2:$E$201,4,FALSE)</f>
        <v>6220.56</v>
      </c>
      <c r="I5" s="11">
        <f>VLOOKUP(A5,'Operational Data'!$A$2:$E$201,5,FALSE)</f>
        <v>70.099999999999994</v>
      </c>
      <c r="J5" s="21">
        <f t="shared" si="0"/>
        <v>4.2705255264384588E-2</v>
      </c>
      <c r="L5" s="35" t="s">
        <v>454</v>
      </c>
      <c r="M5" s="38" t="s">
        <v>455</v>
      </c>
    </row>
    <row r="6" spans="1:13" ht="30" x14ac:dyDescent="0.25">
      <c r="A6" s="20" t="s">
        <v>20</v>
      </c>
      <c r="B6" s="20" t="s">
        <v>17</v>
      </c>
      <c r="C6" s="20" t="s">
        <v>13</v>
      </c>
      <c r="D6" s="20" t="s">
        <v>9</v>
      </c>
      <c r="E6" s="20" t="s">
        <v>10</v>
      </c>
      <c r="F6" s="20">
        <v>605.59354689999998</v>
      </c>
      <c r="G6" s="11">
        <f>VLOOKUP(A6,'Operational Data'!$A$2:$E$201,3,FALSE)</f>
        <v>29895</v>
      </c>
      <c r="H6" s="11">
        <f>VLOOKUP(A6,'Operational Data'!$A$2:$E$201,4,FALSE)</f>
        <v>1631.08</v>
      </c>
      <c r="I6" s="11">
        <f>VLOOKUP(A6,'Operational Data'!$A$2:$E$201,5,FALSE)</f>
        <v>39.93</v>
      </c>
      <c r="J6" s="21">
        <f t="shared" si="0"/>
        <v>2.0257352296370629E-2</v>
      </c>
    </row>
    <row r="7" spans="1:13" x14ac:dyDescent="0.25">
      <c r="A7" s="20" t="s">
        <v>21</v>
      </c>
      <c r="B7" s="20" t="s">
        <v>19</v>
      </c>
      <c r="C7" s="20" t="s">
        <v>13</v>
      </c>
      <c r="D7" s="20" t="s">
        <v>14</v>
      </c>
      <c r="E7" s="20" t="s">
        <v>10</v>
      </c>
      <c r="F7" s="20">
        <v>656.33</v>
      </c>
      <c r="G7" s="11">
        <f>VLOOKUP(A7,'Operational Data'!$A$2:$E$201,3,FALSE)</f>
        <v>61157</v>
      </c>
      <c r="H7" s="11">
        <f>VLOOKUP(A7,'Operational Data'!$A$2:$E$201,4,FALSE)</f>
        <v>7331.54</v>
      </c>
      <c r="I7" s="11">
        <f>VLOOKUP(A7,'Operational Data'!$A$2:$E$201,5,FALSE)</f>
        <v>55.52</v>
      </c>
      <c r="J7" s="21">
        <f t="shared" si="0"/>
        <v>1.0731886783197345E-2</v>
      </c>
    </row>
    <row r="8" spans="1:13" x14ac:dyDescent="0.25">
      <c r="A8" s="20" t="s">
        <v>22</v>
      </c>
      <c r="B8" s="20" t="s">
        <v>12</v>
      </c>
      <c r="C8" s="20" t="s">
        <v>23</v>
      </c>
      <c r="D8" s="20" t="s">
        <v>9</v>
      </c>
      <c r="E8" s="20" t="s">
        <v>24</v>
      </c>
      <c r="F8" s="20">
        <v>4455.9340899999997</v>
      </c>
      <c r="G8" s="11">
        <f>VLOOKUP(A8,'Operational Data'!$A$2:$E$201,3,FALSE)</f>
        <v>47484</v>
      </c>
      <c r="H8" s="11">
        <f>VLOOKUP(A8,'Operational Data'!$A$2:$E$201,4,FALSE)</f>
        <v>3396.39</v>
      </c>
      <c r="I8" s="11">
        <f>VLOOKUP(A8,'Operational Data'!$A$2:$E$201,5,FALSE)</f>
        <v>19.510000000000002</v>
      </c>
      <c r="J8" s="21">
        <f t="shared" si="0"/>
        <v>9.3840748252042791E-2</v>
      </c>
    </row>
    <row r="9" spans="1:13" x14ac:dyDescent="0.25">
      <c r="A9" s="20" t="s">
        <v>25</v>
      </c>
      <c r="B9" s="20" t="s">
        <v>19</v>
      </c>
      <c r="C9" s="20" t="s">
        <v>13</v>
      </c>
      <c r="D9" s="20" t="s">
        <v>9</v>
      </c>
      <c r="E9" s="20" t="s">
        <v>10</v>
      </c>
      <c r="F9" s="20">
        <v>660.19753639999999</v>
      </c>
      <c r="G9" s="11">
        <f>VLOOKUP(A9,'Operational Data'!$A$2:$E$201,3,FALSE)</f>
        <v>95306</v>
      </c>
      <c r="H9" s="11">
        <f>VLOOKUP(A9,'Operational Data'!$A$2:$E$201,4,FALSE)</f>
        <v>9037.76</v>
      </c>
      <c r="I9" s="11">
        <f>VLOOKUP(A9,'Operational Data'!$A$2:$E$201,5,FALSE)</f>
        <v>13.35</v>
      </c>
      <c r="J9" s="21">
        <f t="shared" si="0"/>
        <v>6.9271350848844771E-3</v>
      </c>
    </row>
    <row r="10" spans="1:13" ht="30" x14ac:dyDescent="0.25">
      <c r="A10" s="20" t="s">
        <v>26</v>
      </c>
      <c r="B10" s="20" t="s">
        <v>17</v>
      </c>
      <c r="C10" s="20" t="s">
        <v>23</v>
      </c>
      <c r="D10" s="20" t="s">
        <v>9</v>
      </c>
      <c r="E10" s="20" t="s">
        <v>10</v>
      </c>
      <c r="F10" s="20">
        <v>1883.3043130000001</v>
      </c>
      <c r="G10" s="11">
        <f>VLOOKUP(A10,'Operational Data'!$A$2:$E$201,3,FALSE)</f>
        <v>17311</v>
      </c>
      <c r="H10" s="11">
        <f>VLOOKUP(A10,'Operational Data'!$A$2:$E$201,4,FALSE)</f>
        <v>2257.38</v>
      </c>
      <c r="I10" s="11">
        <f>VLOOKUP(A10,'Operational Data'!$A$2:$E$201,5,FALSE)</f>
        <v>91.07</v>
      </c>
      <c r="J10" s="21">
        <f t="shared" si="0"/>
        <v>0.10879234665819422</v>
      </c>
      <c r="M10" s="30"/>
    </row>
    <row r="11" spans="1:13" x14ac:dyDescent="0.25">
      <c r="A11" s="20" t="s">
        <v>27</v>
      </c>
      <c r="B11" s="20" t="s">
        <v>12</v>
      </c>
      <c r="C11" s="20" t="s">
        <v>8</v>
      </c>
      <c r="D11" s="20" t="s">
        <v>28</v>
      </c>
      <c r="E11" s="20" t="s">
        <v>24</v>
      </c>
      <c r="F11" s="20">
        <v>221.01</v>
      </c>
      <c r="G11" s="11">
        <f>VLOOKUP(A11,'Operational Data'!$A$2:$E$201,3,FALSE)</f>
        <v>91031</v>
      </c>
      <c r="H11" s="11">
        <f>VLOOKUP(A11,'Operational Data'!$A$2:$E$201,4,FALSE)</f>
        <v>1783.57</v>
      </c>
      <c r="I11" s="11">
        <f>VLOOKUP(A11,'Operational Data'!$A$2:$E$201,5,FALSE)</f>
        <v>32.049999999999997</v>
      </c>
      <c r="J11" s="21">
        <f t="shared" si="0"/>
        <v>2.4278542474541641E-3</v>
      </c>
    </row>
    <row r="12" spans="1:13" x14ac:dyDescent="0.25">
      <c r="A12" s="20" t="s">
        <v>29</v>
      </c>
      <c r="B12" s="20" t="s">
        <v>30</v>
      </c>
      <c r="C12" s="20" t="s">
        <v>8</v>
      </c>
      <c r="D12" s="20" t="s">
        <v>28</v>
      </c>
      <c r="E12" s="20" t="s">
        <v>10</v>
      </c>
      <c r="F12" s="20">
        <v>4737.0600000000004</v>
      </c>
      <c r="G12" s="11">
        <f>VLOOKUP(A12,'Operational Data'!$A$2:$E$201,3,FALSE)</f>
        <v>32131</v>
      </c>
      <c r="H12" s="11">
        <f>VLOOKUP(A12,'Operational Data'!$A$2:$E$201,4,FALSE)</f>
        <v>1474.23</v>
      </c>
      <c r="I12" s="11">
        <f>VLOOKUP(A12,'Operational Data'!$A$2:$E$201,5,FALSE)</f>
        <v>45.47</v>
      </c>
      <c r="J12" s="21">
        <f t="shared" si="0"/>
        <v>0.14742958513585014</v>
      </c>
    </row>
    <row r="13" spans="1:13" x14ac:dyDescent="0.25">
      <c r="A13" s="20" t="s">
        <v>31</v>
      </c>
      <c r="B13" s="20" t="s">
        <v>30</v>
      </c>
      <c r="C13" s="20" t="s">
        <v>8</v>
      </c>
      <c r="D13" s="20" t="s">
        <v>9</v>
      </c>
      <c r="E13" s="20" t="s">
        <v>24</v>
      </c>
      <c r="F13" s="20">
        <v>1951.279029</v>
      </c>
      <c r="G13" s="11">
        <f>VLOOKUP(A13,'Operational Data'!$A$2:$E$201,3,FALSE)</f>
        <v>84851</v>
      </c>
      <c r="H13" s="11">
        <f>VLOOKUP(A13,'Operational Data'!$A$2:$E$201,4,FALSE)</f>
        <v>560.75</v>
      </c>
      <c r="I13" s="11">
        <f>VLOOKUP(A13,'Operational Data'!$A$2:$E$201,5,FALSE)</f>
        <v>80.23</v>
      </c>
      <c r="J13" s="21">
        <f t="shared" si="0"/>
        <v>2.2996535444485038E-2</v>
      </c>
    </row>
    <row r="14" spans="1:13" x14ac:dyDescent="0.25">
      <c r="A14" s="20" t="s">
        <v>32</v>
      </c>
      <c r="B14" s="20" t="s">
        <v>7</v>
      </c>
      <c r="C14" s="20" t="s">
        <v>13</v>
      </c>
      <c r="D14" s="20" t="s">
        <v>28</v>
      </c>
      <c r="E14" s="20" t="s">
        <v>10</v>
      </c>
      <c r="F14" s="20">
        <v>4320.1099999999997</v>
      </c>
      <c r="G14" s="11">
        <f>VLOOKUP(A14,'Operational Data'!$A$2:$E$201,3,FALSE)</f>
        <v>10933</v>
      </c>
      <c r="H14" s="11">
        <f>VLOOKUP(A14,'Operational Data'!$A$2:$E$201,4,FALSE)</f>
        <v>9004.3700000000008</v>
      </c>
      <c r="I14" s="11">
        <f>VLOOKUP(A14,'Operational Data'!$A$2:$E$201,5,FALSE)</f>
        <v>26.84</v>
      </c>
      <c r="J14" s="21">
        <f t="shared" si="0"/>
        <v>0.39514405927009966</v>
      </c>
    </row>
    <row r="15" spans="1:13" x14ac:dyDescent="0.25">
      <c r="A15" s="20" t="s">
        <v>21</v>
      </c>
      <c r="B15" s="20" t="s">
        <v>19</v>
      </c>
      <c r="C15" s="20" t="s">
        <v>8</v>
      </c>
      <c r="D15" s="20" t="s">
        <v>28</v>
      </c>
      <c r="E15" s="20" t="s">
        <v>15</v>
      </c>
      <c r="F15" s="20">
        <v>2179.33</v>
      </c>
      <c r="G15" s="11">
        <f>VLOOKUP(A15,'Operational Data'!$A$2:$E$201,3,FALSE)</f>
        <v>61157</v>
      </c>
      <c r="H15" s="11">
        <f>VLOOKUP(A15,'Operational Data'!$A$2:$E$201,4,FALSE)</f>
        <v>7331.54</v>
      </c>
      <c r="I15" s="11">
        <f>VLOOKUP(A15,'Operational Data'!$A$2:$E$201,5,FALSE)</f>
        <v>55.52</v>
      </c>
      <c r="J15" s="21">
        <f t="shared" si="0"/>
        <v>3.5635004987164182E-2</v>
      </c>
    </row>
    <row r="16" spans="1:13" x14ac:dyDescent="0.25">
      <c r="A16" s="20" t="s">
        <v>33</v>
      </c>
      <c r="B16" s="20" t="s">
        <v>19</v>
      </c>
      <c r="C16" s="20" t="s">
        <v>34</v>
      </c>
      <c r="D16" s="20" t="s">
        <v>14</v>
      </c>
      <c r="E16" s="20" t="s">
        <v>10</v>
      </c>
      <c r="F16" s="20">
        <v>3612.19</v>
      </c>
      <c r="G16" s="11">
        <f>VLOOKUP(A16,'Operational Data'!$A$2:$E$201,3,FALSE)</f>
        <v>65719</v>
      </c>
      <c r="H16" s="11">
        <f>VLOOKUP(A16,'Operational Data'!$A$2:$E$201,4,FALSE)</f>
        <v>9362.41</v>
      </c>
      <c r="I16" s="11">
        <f>VLOOKUP(A16,'Operational Data'!$A$2:$E$201,5,FALSE)</f>
        <v>86.55</v>
      </c>
      <c r="J16" s="21">
        <f t="shared" si="0"/>
        <v>5.4964165614205938E-2</v>
      </c>
    </row>
    <row r="17" spans="1:10" x14ac:dyDescent="0.25">
      <c r="A17" s="20" t="s">
        <v>35</v>
      </c>
      <c r="B17" s="20" t="s">
        <v>19</v>
      </c>
      <c r="C17" s="20" t="s">
        <v>8</v>
      </c>
      <c r="D17" s="20" t="s">
        <v>28</v>
      </c>
      <c r="E17" s="20" t="s">
        <v>24</v>
      </c>
      <c r="F17" s="20">
        <v>1270.3599999999999</v>
      </c>
      <c r="G17" s="11">
        <f>VLOOKUP(A17,'Operational Data'!$A$2:$E$201,3,FALSE)</f>
        <v>42382</v>
      </c>
      <c r="H17" s="11">
        <f>VLOOKUP(A17,'Operational Data'!$A$2:$E$201,4,FALSE)</f>
        <v>5116.6899999999996</v>
      </c>
      <c r="I17" s="11">
        <f>VLOOKUP(A17,'Operational Data'!$A$2:$E$201,5,FALSE)</f>
        <v>80.42</v>
      </c>
      <c r="J17" s="21">
        <f t="shared" si="0"/>
        <v>2.9974045585390022E-2</v>
      </c>
    </row>
    <row r="18" spans="1:10" x14ac:dyDescent="0.25">
      <c r="A18" s="20" t="s">
        <v>36</v>
      </c>
      <c r="B18" s="20" t="s">
        <v>12</v>
      </c>
      <c r="C18" s="20" t="s">
        <v>23</v>
      </c>
      <c r="D18" s="20" t="s">
        <v>28</v>
      </c>
      <c r="E18" s="20" t="s">
        <v>10</v>
      </c>
      <c r="F18" s="20">
        <v>1630.06</v>
      </c>
      <c r="G18" s="11">
        <f>VLOOKUP(A18,'Operational Data'!$A$2:$E$201,3,FALSE)</f>
        <v>40226</v>
      </c>
      <c r="H18" s="11">
        <f>VLOOKUP(A18,'Operational Data'!$A$2:$E$201,4,FALSE)</f>
        <v>7868.86</v>
      </c>
      <c r="I18" s="11">
        <f>VLOOKUP(A18,'Operational Data'!$A$2:$E$201,5,FALSE)</f>
        <v>80.53</v>
      </c>
      <c r="J18" s="21">
        <f t="shared" si="0"/>
        <v>4.0522547606025951E-2</v>
      </c>
    </row>
    <row r="19" spans="1:10" ht="30" x14ac:dyDescent="0.25">
      <c r="A19" s="20" t="s">
        <v>37</v>
      </c>
      <c r="B19" s="20" t="s">
        <v>17</v>
      </c>
      <c r="C19" s="20" t="s">
        <v>34</v>
      </c>
      <c r="D19" s="20" t="s">
        <v>9</v>
      </c>
      <c r="E19" s="20" t="s">
        <v>24</v>
      </c>
      <c r="F19" s="20">
        <v>3063.6059129999999</v>
      </c>
      <c r="G19" s="11">
        <f>VLOOKUP(A19,'Operational Data'!$A$2:$E$201,3,FALSE)</f>
        <v>71747</v>
      </c>
      <c r="H19" s="11">
        <f>VLOOKUP(A19,'Operational Data'!$A$2:$E$201,4,FALSE)</f>
        <v>9838.66</v>
      </c>
      <c r="I19" s="11">
        <f>VLOOKUP(A19,'Operational Data'!$A$2:$E$201,5,FALSE)</f>
        <v>7.25</v>
      </c>
      <c r="J19" s="21">
        <f t="shared" si="0"/>
        <v>4.2700125621977225E-2</v>
      </c>
    </row>
    <row r="20" spans="1:10" x14ac:dyDescent="0.25">
      <c r="A20" s="20" t="s">
        <v>38</v>
      </c>
      <c r="B20" s="20" t="s">
        <v>30</v>
      </c>
      <c r="C20" s="20" t="s">
        <v>8</v>
      </c>
      <c r="D20" s="20" t="s">
        <v>9</v>
      </c>
      <c r="E20" s="20" t="s">
        <v>24</v>
      </c>
      <c r="F20" s="20">
        <v>2447.4218510000001</v>
      </c>
      <c r="G20" s="11">
        <f>VLOOKUP(A20,'Operational Data'!$A$2:$E$201,3,FALSE)</f>
        <v>57215</v>
      </c>
      <c r="H20" s="11">
        <f>VLOOKUP(A20,'Operational Data'!$A$2:$E$201,4,FALSE)</f>
        <v>3227.1</v>
      </c>
      <c r="I20" s="11">
        <f>VLOOKUP(A20,'Operational Data'!$A$2:$E$201,5,FALSE)</f>
        <v>32.909999999999997</v>
      </c>
      <c r="J20" s="21">
        <f t="shared" si="0"/>
        <v>4.2775877846718519E-2</v>
      </c>
    </row>
    <row r="21" spans="1:10" x14ac:dyDescent="0.25">
      <c r="A21" s="20" t="s">
        <v>39</v>
      </c>
      <c r="B21" s="20" t="s">
        <v>7</v>
      </c>
      <c r="C21" s="20" t="s">
        <v>13</v>
      </c>
      <c r="D21" s="20" t="s">
        <v>28</v>
      </c>
      <c r="E21" s="20" t="s">
        <v>24</v>
      </c>
      <c r="F21" s="20">
        <v>4170.13</v>
      </c>
      <c r="G21" s="11">
        <f>VLOOKUP(A21,'Operational Data'!$A$2:$E$201,3,FALSE)</f>
        <v>80904</v>
      </c>
      <c r="H21" s="11">
        <f>VLOOKUP(A21,'Operational Data'!$A$2:$E$201,4,FALSE)</f>
        <v>3263.09</v>
      </c>
      <c r="I21" s="11">
        <f>VLOOKUP(A21,'Operational Data'!$A$2:$E$201,5,FALSE)</f>
        <v>58.37</v>
      </c>
      <c r="J21" s="21">
        <f t="shared" si="0"/>
        <v>5.1544175813309605E-2</v>
      </c>
    </row>
    <row r="22" spans="1:10" x14ac:dyDescent="0.25">
      <c r="A22" s="20" t="s">
        <v>40</v>
      </c>
      <c r="B22" s="20" t="s">
        <v>19</v>
      </c>
      <c r="C22" s="20" t="s">
        <v>23</v>
      </c>
      <c r="D22" s="20" t="s">
        <v>9</v>
      </c>
      <c r="E22" s="20" t="s">
        <v>15</v>
      </c>
      <c r="F22" s="20">
        <v>2099.6404550000002</v>
      </c>
      <c r="G22" s="11">
        <f>VLOOKUP(A22,'Operational Data'!$A$2:$E$201,3,FALSE)</f>
        <v>96474</v>
      </c>
      <c r="H22" s="11">
        <f>VLOOKUP(A22,'Operational Data'!$A$2:$E$201,4,FALSE)</f>
        <v>7574.39</v>
      </c>
      <c r="I22" s="11">
        <f>VLOOKUP(A22,'Operational Data'!$A$2:$E$201,5,FALSE)</f>
        <v>95.54</v>
      </c>
      <c r="J22" s="21">
        <f t="shared" si="0"/>
        <v>2.1763795996848894E-2</v>
      </c>
    </row>
    <row r="23" spans="1:10" x14ac:dyDescent="0.25">
      <c r="A23" s="20" t="s">
        <v>41</v>
      </c>
      <c r="B23" s="20" t="s">
        <v>30</v>
      </c>
      <c r="C23" s="20" t="s">
        <v>23</v>
      </c>
      <c r="D23" s="20" t="s">
        <v>28</v>
      </c>
      <c r="E23" s="20" t="s">
        <v>15</v>
      </c>
      <c r="F23" s="20">
        <v>3701.02</v>
      </c>
      <c r="G23" s="11">
        <f>VLOOKUP(A23,'Operational Data'!$A$2:$E$201,3,FALSE)</f>
        <v>61743</v>
      </c>
      <c r="H23" s="11">
        <f>VLOOKUP(A23,'Operational Data'!$A$2:$E$201,4,FALSE)</f>
        <v>7426.75</v>
      </c>
      <c r="I23" s="11">
        <f>VLOOKUP(A23,'Operational Data'!$A$2:$E$201,5,FALSE)</f>
        <v>26.39</v>
      </c>
      <c r="J23" s="21">
        <f t="shared" si="0"/>
        <v>5.994234164196751E-2</v>
      </c>
    </row>
    <row r="24" spans="1:10" x14ac:dyDescent="0.25">
      <c r="A24" s="20" t="s">
        <v>42</v>
      </c>
      <c r="B24" s="20" t="s">
        <v>30</v>
      </c>
      <c r="C24" s="20" t="s">
        <v>23</v>
      </c>
      <c r="D24" s="20" t="s">
        <v>28</v>
      </c>
      <c r="E24" s="20" t="s">
        <v>10</v>
      </c>
      <c r="F24" s="20">
        <v>1262.77</v>
      </c>
      <c r="G24" s="11">
        <f>VLOOKUP(A24,'Operational Data'!$A$2:$E$201,3,FALSE)</f>
        <v>41539</v>
      </c>
      <c r="H24" s="11">
        <f>VLOOKUP(A24,'Operational Data'!$A$2:$E$201,4,FALSE)</f>
        <v>982.8</v>
      </c>
      <c r="I24" s="11">
        <f>VLOOKUP(A24,'Operational Data'!$A$2:$E$201,5,FALSE)</f>
        <v>79.7</v>
      </c>
      <c r="J24" s="21">
        <f t="shared" si="0"/>
        <v>3.0399624449312695E-2</v>
      </c>
    </row>
    <row r="25" spans="1:10" ht="30" x14ac:dyDescent="0.25">
      <c r="A25" s="20" t="s">
        <v>43</v>
      </c>
      <c r="B25" s="20" t="s">
        <v>17</v>
      </c>
      <c r="C25" s="20" t="s">
        <v>8</v>
      </c>
      <c r="D25" s="20" t="s">
        <v>14</v>
      </c>
      <c r="E25" s="20" t="s">
        <v>24</v>
      </c>
      <c r="F25" s="20">
        <v>2741.92</v>
      </c>
      <c r="G25" s="11">
        <f>VLOOKUP(A25,'Operational Data'!$A$2:$E$201,3,FALSE)</f>
        <v>41168</v>
      </c>
      <c r="H25" s="11">
        <f>VLOOKUP(A25,'Operational Data'!$A$2:$E$201,4,FALSE)</f>
        <v>8226.77</v>
      </c>
      <c r="I25" s="11">
        <f>VLOOKUP(A25,'Operational Data'!$A$2:$E$201,5,FALSE)</f>
        <v>42.55</v>
      </c>
      <c r="J25" s="21">
        <f t="shared" si="0"/>
        <v>6.6603186941313647E-2</v>
      </c>
    </row>
    <row r="26" spans="1:10" x14ac:dyDescent="0.25">
      <c r="A26" s="20" t="s">
        <v>29</v>
      </c>
      <c r="B26" s="20" t="s">
        <v>30</v>
      </c>
      <c r="C26" s="20" t="s">
        <v>8</v>
      </c>
      <c r="D26" s="20" t="s">
        <v>14</v>
      </c>
      <c r="E26" s="20" t="s">
        <v>24</v>
      </c>
      <c r="F26" s="20">
        <v>1824.14</v>
      </c>
      <c r="G26" s="11">
        <f>VLOOKUP(A26,'Operational Data'!$A$2:$E$201,3,FALSE)</f>
        <v>32131</v>
      </c>
      <c r="H26" s="11">
        <f>VLOOKUP(A26,'Operational Data'!$A$2:$E$201,4,FALSE)</f>
        <v>1474.23</v>
      </c>
      <c r="I26" s="11">
        <f>VLOOKUP(A26,'Operational Data'!$A$2:$E$201,5,FALSE)</f>
        <v>45.47</v>
      </c>
      <c r="J26" s="21">
        <f t="shared" si="0"/>
        <v>5.6771964769225983E-2</v>
      </c>
    </row>
    <row r="27" spans="1:10" x14ac:dyDescent="0.25">
      <c r="A27" s="20" t="s">
        <v>44</v>
      </c>
      <c r="B27" s="20" t="s">
        <v>19</v>
      </c>
      <c r="C27" s="20" t="s">
        <v>23</v>
      </c>
      <c r="D27" s="20" t="s">
        <v>9</v>
      </c>
      <c r="E27" s="20" t="s">
        <v>10</v>
      </c>
      <c r="F27" s="20">
        <v>738.43863229999999</v>
      </c>
      <c r="G27" s="11">
        <f>VLOOKUP(A27,'Operational Data'!$A$2:$E$201,3,FALSE)</f>
        <v>16256</v>
      </c>
      <c r="H27" s="11">
        <f>VLOOKUP(A27,'Operational Data'!$A$2:$E$201,4,FALSE)</f>
        <v>2127.1799999999998</v>
      </c>
      <c r="I27" s="11">
        <f>VLOOKUP(A27,'Operational Data'!$A$2:$E$201,5,FALSE)</f>
        <v>38.94</v>
      </c>
      <c r="J27" s="21">
        <f t="shared" si="0"/>
        <v>4.5425604841289373E-2</v>
      </c>
    </row>
    <row r="28" spans="1:10" x14ac:dyDescent="0.25">
      <c r="A28" s="20" t="s">
        <v>45</v>
      </c>
      <c r="B28" s="20" t="s">
        <v>7</v>
      </c>
      <c r="C28" s="20" t="s">
        <v>13</v>
      </c>
      <c r="D28" s="20" t="s">
        <v>9</v>
      </c>
      <c r="E28" s="20" t="s">
        <v>15</v>
      </c>
      <c r="F28" s="20">
        <v>2856.7613379999998</v>
      </c>
      <c r="G28" s="11">
        <f>VLOOKUP(A28,'Operational Data'!$A$2:$E$201,3,FALSE)</f>
        <v>49924</v>
      </c>
      <c r="H28" s="11">
        <f>VLOOKUP(A28,'Operational Data'!$A$2:$E$201,4,FALSE)</f>
        <v>2199.16</v>
      </c>
      <c r="I28" s="11">
        <f>VLOOKUP(A28,'Operational Data'!$A$2:$E$201,5,FALSE)</f>
        <v>75.48</v>
      </c>
      <c r="J28" s="21">
        <f t="shared" si="0"/>
        <v>5.7222204510856495E-2</v>
      </c>
    </row>
    <row r="29" spans="1:10" x14ac:dyDescent="0.25">
      <c r="A29" s="20" t="s">
        <v>46</v>
      </c>
      <c r="B29" s="20" t="s">
        <v>30</v>
      </c>
      <c r="C29" s="20" t="s">
        <v>13</v>
      </c>
      <c r="D29" s="20" t="s">
        <v>14</v>
      </c>
      <c r="E29" s="20" t="s">
        <v>24</v>
      </c>
      <c r="F29" s="20">
        <v>1787.35</v>
      </c>
      <c r="G29" s="11">
        <f>VLOOKUP(A29,'Operational Data'!$A$2:$E$201,3,FALSE)</f>
        <v>43490</v>
      </c>
      <c r="H29" s="11">
        <f>VLOOKUP(A29,'Operational Data'!$A$2:$E$201,4,FALSE)</f>
        <v>9300.8799999999992</v>
      </c>
      <c r="I29" s="11">
        <f>VLOOKUP(A29,'Operational Data'!$A$2:$E$201,5,FALSE)</f>
        <v>58.43</v>
      </c>
      <c r="J29" s="21">
        <f t="shared" si="0"/>
        <v>4.1097953552540811E-2</v>
      </c>
    </row>
    <row r="30" spans="1:10" x14ac:dyDescent="0.25">
      <c r="A30" s="20" t="s">
        <v>47</v>
      </c>
      <c r="B30" s="20" t="s">
        <v>30</v>
      </c>
      <c r="C30" s="20" t="s">
        <v>23</v>
      </c>
      <c r="D30" s="20" t="s">
        <v>9</v>
      </c>
      <c r="E30" s="20" t="s">
        <v>15</v>
      </c>
      <c r="F30" s="20">
        <v>5138.8326189999998</v>
      </c>
      <c r="G30" s="11">
        <f>VLOOKUP(A30,'Operational Data'!$A$2:$E$201,3,FALSE)</f>
        <v>53661</v>
      </c>
      <c r="H30" s="11">
        <f>VLOOKUP(A30,'Operational Data'!$A$2:$E$201,4,FALSE)</f>
        <v>6965.81</v>
      </c>
      <c r="I30" s="11">
        <f>VLOOKUP(A30,'Operational Data'!$A$2:$E$201,5,FALSE)</f>
        <v>69.400000000000006</v>
      </c>
      <c r="J30" s="21">
        <f t="shared" si="0"/>
        <v>9.5764756881161359E-2</v>
      </c>
    </row>
    <row r="31" spans="1:10" x14ac:dyDescent="0.25">
      <c r="A31" s="20" t="s">
        <v>48</v>
      </c>
      <c r="B31" s="20" t="s">
        <v>19</v>
      </c>
      <c r="C31" s="20" t="s">
        <v>8</v>
      </c>
      <c r="D31" s="20" t="s">
        <v>9</v>
      </c>
      <c r="E31" s="20" t="s">
        <v>10</v>
      </c>
      <c r="F31" s="20">
        <v>5005.4416869999995</v>
      </c>
      <c r="G31" s="11">
        <f>VLOOKUP(A31,'Operational Data'!$A$2:$E$201,3,FALSE)</f>
        <v>11952</v>
      </c>
      <c r="H31" s="11">
        <f>VLOOKUP(A31,'Operational Data'!$A$2:$E$201,4,FALSE)</f>
        <v>4637.74</v>
      </c>
      <c r="I31" s="11">
        <f>VLOOKUP(A31,'Operational Data'!$A$2:$E$201,5,FALSE)</f>
        <v>63.78</v>
      </c>
      <c r="J31" s="21">
        <f t="shared" si="0"/>
        <v>0.41879532187081658</v>
      </c>
    </row>
    <row r="32" spans="1:10" x14ac:dyDescent="0.25">
      <c r="A32" s="20" t="s">
        <v>49</v>
      </c>
      <c r="B32" s="20" t="s">
        <v>19</v>
      </c>
      <c r="C32" s="20" t="s">
        <v>23</v>
      </c>
      <c r="D32" s="20" t="s">
        <v>28</v>
      </c>
      <c r="E32" s="20" t="s">
        <v>24</v>
      </c>
      <c r="F32" s="20">
        <v>4053.3</v>
      </c>
      <c r="G32" s="11">
        <f>VLOOKUP(A32,'Operational Data'!$A$2:$E$201,3,FALSE)</f>
        <v>50306</v>
      </c>
      <c r="H32" s="11">
        <f>VLOOKUP(A32,'Operational Data'!$A$2:$E$201,4,FALSE)</f>
        <v>7031.37</v>
      </c>
      <c r="I32" s="11">
        <f>VLOOKUP(A32,'Operational Data'!$A$2:$E$201,5,FALSE)</f>
        <v>13.27</v>
      </c>
      <c r="J32" s="21">
        <f t="shared" si="0"/>
        <v>8.0572893889396896E-2</v>
      </c>
    </row>
    <row r="33" spans="1:10" x14ac:dyDescent="0.25">
      <c r="A33" s="20" t="s">
        <v>50</v>
      </c>
      <c r="B33" s="20" t="s">
        <v>19</v>
      </c>
      <c r="C33" s="20" t="s">
        <v>23</v>
      </c>
      <c r="D33" s="20" t="s">
        <v>28</v>
      </c>
      <c r="E33" s="20" t="s">
        <v>24</v>
      </c>
      <c r="F33" s="20">
        <v>280.72000000000003</v>
      </c>
      <c r="G33" s="11">
        <f>VLOOKUP(A33,'Operational Data'!$A$2:$E$201,3,FALSE)</f>
        <v>40577</v>
      </c>
      <c r="H33" s="11">
        <f>VLOOKUP(A33,'Operational Data'!$A$2:$E$201,4,FALSE)</f>
        <v>4280.82</v>
      </c>
      <c r="I33" s="11">
        <f>VLOOKUP(A33,'Operational Data'!$A$2:$E$201,5,FALSE)</f>
        <v>79.88</v>
      </c>
      <c r="J33" s="21">
        <f t="shared" si="0"/>
        <v>6.9182048943983053E-3</v>
      </c>
    </row>
    <row r="34" spans="1:10" x14ac:dyDescent="0.25">
      <c r="A34" s="20" t="s">
        <v>51</v>
      </c>
      <c r="B34" s="20" t="s">
        <v>30</v>
      </c>
      <c r="C34" s="20" t="s">
        <v>23</v>
      </c>
      <c r="D34" s="20" t="s">
        <v>14</v>
      </c>
      <c r="E34" s="20" t="s">
        <v>24</v>
      </c>
      <c r="F34" s="20">
        <v>329.41</v>
      </c>
      <c r="G34" s="11">
        <f>VLOOKUP(A34,'Operational Data'!$A$2:$E$201,3,FALSE)</f>
        <v>44164</v>
      </c>
      <c r="H34" s="11">
        <f>VLOOKUP(A34,'Operational Data'!$A$2:$E$201,4,FALSE)</f>
        <v>3869.32</v>
      </c>
      <c r="I34" s="11">
        <f>VLOOKUP(A34,'Operational Data'!$A$2:$E$201,5,FALSE)</f>
        <v>13.81</v>
      </c>
      <c r="J34" s="21">
        <f t="shared" si="0"/>
        <v>7.4587899646771129E-3</v>
      </c>
    </row>
    <row r="35" spans="1:10" x14ac:dyDescent="0.25">
      <c r="A35" s="20" t="s">
        <v>52</v>
      </c>
      <c r="B35" s="20" t="s">
        <v>19</v>
      </c>
      <c r="C35" s="20" t="s">
        <v>13</v>
      </c>
      <c r="D35" s="20" t="s">
        <v>14</v>
      </c>
      <c r="E35" s="20" t="s">
        <v>15</v>
      </c>
      <c r="F35" s="20">
        <v>4133.74</v>
      </c>
      <c r="G35" s="11">
        <f>VLOOKUP(A35,'Operational Data'!$A$2:$E$201,3,FALSE)</f>
        <v>94949</v>
      </c>
      <c r="H35" s="11">
        <f>VLOOKUP(A35,'Operational Data'!$A$2:$E$201,4,FALSE)</f>
        <v>9714.76</v>
      </c>
      <c r="I35" s="11">
        <f>VLOOKUP(A35,'Operational Data'!$A$2:$E$201,5,FALSE)</f>
        <v>64.900000000000006</v>
      </c>
      <c r="J35" s="21">
        <f t="shared" si="0"/>
        <v>4.3536424817533621E-2</v>
      </c>
    </row>
    <row r="36" spans="1:10" x14ac:dyDescent="0.25">
      <c r="A36" s="20" t="s">
        <v>53</v>
      </c>
      <c r="B36" s="20" t="s">
        <v>7</v>
      </c>
      <c r="C36" s="20" t="s">
        <v>34</v>
      </c>
      <c r="D36" s="20" t="s">
        <v>28</v>
      </c>
      <c r="E36" s="20" t="s">
        <v>15</v>
      </c>
      <c r="F36" s="20">
        <v>2773.3</v>
      </c>
      <c r="G36" s="11">
        <f>VLOOKUP(A36,'Operational Data'!$A$2:$E$201,3,FALSE)</f>
        <v>90632</v>
      </c>
      <c r="H36" s="11">
        <f>VLOOKUP(A36,'Operational Data'!$A$2:$E$201,4,FALSE)</f>
        <v>5292.17</v>
      </c>
      <c r="I36" s="11">
        <f>VLOOKUP(A36,'Operational Data'!$A$2:$E$201,5,FALSE)</f>
        <v>78.45</v>
      </c>
      <c r="J36" s="21">
        <f t="shared" si="0"/>
        <v>3.0599567481684176E-2</v>
      </c>
    </row>
    <row r="37" spans="1:10" x14ac:dyDescent="0.25">
      <c r="A37" s="20" t="s">
        <v>54</v>
      </c>
      <c r="B37" s="20" t="s">
        <v>12</v>
      </c>
      <c r="C37" s="20" t="s">
        <v>13</v>
      </c>
      <c r="D37" s="20" t="s">
        <v>9</v>
      </c>
      <c r="E37" s="20" t="s">
        <v>10</v>
      </c>
      <c r="F37" s="20">
        <v>3482.0777469999998</v>
      </c>
      <c r="G37" s="11">
        <f>VLOOKUP(A37,'Operational Data'!$A$2:$E$201,3,FALSE)</f>
        <v>58111</v>
      </c>
      <c r="H37" s="11">
        <f>VLOOKUP(A37,'Operational Data'!$A$2:$E$201,4,FALSE)</f>
        <v>4610.8999999999996</v>
      </c>
      <c r="I37" s="11">
        <f>VLOOKUP(A37,'Operational Data'!$A$2:$E$201,5,FALSE)</f>
        <v>21.53</v>
      </c>
      <c r="J37" s="21">
        <f t="shared" si="0"/>
        <v>5.9921146547125326E-2</v>
      </c>
    </row>
    <row r="38" spans="1:10" x14ac:dyDescent="0.25">
      <c r="A38" s="20" t="s">
        <v>55</v>
      </c>
      <c r="B38" s="20" t="s">
        <v>12</v>
      </c>
      <c r="C38" s="20" t="s">
        <v>34</v>
      </c>
      <c r="D38" s="20" t="s">
        <v>9</v>
      </c>
      <c r="E38" s="20" t="s">
        <v>10</v>
      </c>
      <c r="F38" s="20">
        <v>1953.7073989999999</v>
      </c>
      <c r="G38" s="11">
        <f>VLOOKUP(A38,'Operational Data'!$A$2:$E$201,3,FALSE)</f>
        <v>38181</v>
      </c>
      <c r="H38" s="11">
        <f>VLOOKUP(A38,'Operational Data'!$A$2:$E$201,4,FALSE)</f>
        <v>691.84</v>
      </c>
      <c r="I38" s="11">
        <f>VLOOKUP(A38,'Operational Data'!$A$2:$E$201,5,FALSE)</f>
        <v>33.53</v>
      </c>
      <c r="J38" s="21">
        <f t="shared" si="0"/>
        <v>5.1169623608601132E-2</v>
      </c>
    </row>
    <row r="39" spans="1:10" x14ac:dyDescent="0.25">
      <c r="A39" s="20" t="s">
        <v>29</v>
      </c>
      <c r="B39" s="20" t="s">
        <v>30</v>
      </c>
      <c r="C39" s="20" t="s">
        <v>34</v>
      </c>
      <c r="D39" s="20" t="s">
        <v>14</v>
      </c>
      <c r="E39" s="20" t="s">
        <v>15</v>
      </c>
      <c r="F39" s="20">
        <v>4444.76</v>
      </c>
      <c r="G39" s="11">
        <f>VLOOKUP(A39,'Operational Data'!$A$2:$E$201,3,FALSE)</f>
        <v>32131</v>
      </c>
      <c r="H39" s="11">
        <f>VLOOKUP(A39,'Operational Data'!$A$2:$E$201,4,FALSE)</f>
        <v>1474.23</v>
      </c>
      <c r="I39" s="11">
        <f>VLOOKUP(A39,'Operational Data'!$A$2:$E$201,5,FALSE)</f>
        <v>45.47</v>
      </c>
      <c r="J39" s="21">
        <f t="shared" si="0"/>
        <v>0.13833245152656315</v>
      </c>
    </row>
    <row r="40" spans="1:10" x14ac:dyDescent="0.25">
      <c r="A40" s="20" t="s">
        <v>55</v>
      </c>
      <c r="B40" s="20" t="s">
        <v>12</v>
      </c>
      <c r="C40" s="20" t="s">
        <v>23</v>
      </c>
      <c r="D40" s="20" t="s">
        <v>28</v>
      </c>
      <c r="E40" s="20" t="s">
        <v>15</v>
      </c>
      <c r="F40" s="20">
        <v>1836.99</v>
      </c>
      <c r="G40" s="11">
        <f>VLOOKUP(A40,'Operational Data'!$A$2:$E$201,3,FALSE)</f>
        <v>38181</v>
      </c>
      <c r="H40" s="11">
        <f>VLOOKUP(A40,'Operational Data'!$A$2:$E$201,4,FALSE)</f>
        <v>691.84</v>
      </c>
      <c r="I40" s="11">
        <f>VLOOKUP(A40,'Operational Data'!$A$2:$E$201,5,FALSE)</f>
        <v>33.53</v>
      </c>
      <c r="J40" s="21">
        <f t="shared" si="0"/>
        <v>4.811267384301092E-2</v>
      </c>
    </row>
    <row r="41" spans="1:10" x14ac:dyDescent="0.25">
      <c r="A41" s="20" t="s">
        <v>56</v>
      </c>
      <c r="B41" s="20" t="s">
        <v>19</v>
      </c>
      <c r="C41" s="20" t="s">
        <v>8</v>
      </c>
      <c r="D41" s="20" t="s">
        <v>14</v>
      </c>
      <c r="E41" s="20" t="s">
        <v>15</v>
      </c>
      <c r="F41" s="20">
        <v>793.9</v>
      </c>
      <c r="G41" s="11">
        <f>VLOOKUP(A41,'Operational Data'!$A$2:$E$201,3,FALSE)</f>
        <v>43747</v>
      </c>
      <c r="H41" s="11">
        <f>VLOOKUP(A41,'Operational Data'!$A$2:$E$201,4,FALSE)</f>
        <v>3453.48</v>
      </c>
      <c r="I41" s="11">
        <f>VLOOKUP(A41,'Operational Data'!$A$2:$E$201,5,FALSE)</f>
        <v>98.78</v>
      </c>
      <c r="J41" s="21">
        <f t="shared" si="0"/>
        <v>1.8147530116350834E-2</v>
      </c>
    </row>
    <row r="42" spans="1:10" x14ac:dyDescent="0.25">
      <c r="A42" s="20" t="s">
        <v>57</v>
      </c>
      <c r="B42" s="20" t="s">
        <v>19</v>
      </c>
      <c r="C42" s="20" t="s">
        <v>34</v>
      </c>
      <c r="D42" s="20" t="s">
        <v>28</v>
      </c>
      <c r="E42" s="20" t="s">
        <v>24</v>
      </c>
      <c r="F42" s="20">
        <v>1445.28</v>
      </c>
      <c r="G42" s="11">
        <f>VLOOKUP(A42,'Operational Data'!$A$2:$E$201,3,FALSE)</f>
        <v>41027</v>
      </c>
      <c r="H42" s="11">
        <f>VLOOKUP(A42,'Operational Data'!$A$2:$E$201,4,FALSE)</f>
        <v>7285.85</v>
      </c>
      <c r="I42" s="11">
        <f>VLOOKUP(A42,'Operational Data'!$A$2:$E$201,5,FALSE)</f>
        <v>59.87</v>
      </c>
      <c r="J42" s="21">
        <f t="shared" si="0"/>
        <v>3.5227533087966459E-2</v>
      </c>
    </row>
    <row r="43" spans="1:10" ht="30" x14ac:dyDescent="0.25">
      <c r="A43" s="20" t="s">
        <v>58</v>
      </c>
      <c r="B43" s="20" t="s">
        <v>17</v>
      </c>
      <c r="C43" s="20" t="s">
        <v>34</v>
      </c>
      <c r="D43" s="20" t="s">
        <v>9</v>
      </c>
      <c r="E43" s="20" t="s">
        <v>24</v>
      </c>
      <c r="F43" s="20">
        <v>1246.728069</v>
      </c>
      <c r="G43" s="11">
        <f>VLOOKUP(A43,'Operational Data'!$A$2:$E$201,3,FALSE)</f>
        <v>32246</v>
      </c>
      <c r="H43" s="11">
        <f>VLOOKUP(A43,'Operational Data'!$A$2:$E$201,4,FALSE)</f>
        <v>7903.93</v>
      </c>
      <c r="I43" s="11">
        <f>VLOOKUP(A43,'Operational Data'!$A$2:$E$201,5,FALSE)</f>
        <v>42.12</v>
      </c>
      <c r="J43" s="21">
        <f t="shared" si="0"/>
        <v>3.8663030112261985E-2</v>
      </c>
    </row>
    <row r="44" spans="1:10" ht="30" x14ac:dyDescent="0.25">
      <c r="A44" s="20" t="s">
        <v>59</v>
      </c>
      <c r="B44" s="20" t="s">
        <v>17</v>
      </c>
      <c r="C44" s="20" t="s">
        <v>34</v>
      </c>
      <c r="D44" s="20" t="s">
        <v>14</v>
      </c>
      <c r="E44" s="20" t="s">
        <v>10</v>
      </c>
      <c r="F44" s="20">
        <v>527.16999999999996</v>
      </c>
      <c r="G44" s="11">
        <f>VLOOKUP(A44,'Operational Data'!$A$2:$E$201,3,FALSE)</f>
        <v>15553</v>
      </c>
      <c r="H44" s="11">
        <f>VLOOKUP(A44,'Operational Data'!$A$2:$E$201,4,FALSE)</f>
        <v>3909.51</v>
      </c>
      <c r="I44" s="11">
        <f>VLOOKUP(A44,'Operational Data'!$A$2:$E$201,5,FALSE)</f>
        <v>46.44</v>
      </c>
      <c r="J44" s="21">
        <f t="shared" si="0"/>
        <v>3.3895068475535264E-2</v>
      </c>
    </row>
    <row r="45" spans="1:10" x14ac:dyDescent="0.25">
      <c r="A45" s="20" t="s">
        <v>60</v>
      </c>
      <c r="B45" s="20" t="s">
        <v>12</v>
      </c>
      <c r="C45" s="20" t="s">
        <v>34</v>
      </c>
      <c r="D45" s="20" t="s">
        <v>14</v>
      </c>
      <c r="E45" s="20" t="s">
        <v>15</v>
      </c>
      <c r="F45" s="20">
        <v>542.33000000000004</v>
      </c>
      <c r="G45" s="11">
        <f>VLOOKUP(A45,'Operational Data'!$A$2:$E$201,3,FALSE)</f>
        <v>25148</v>
      </c>
      <c r="H45" s="11">
        <f>VLOOKUP(A45,'Operational Data'!$A$2:$E$201,4,FALSE)</f>
        <v>9604.5499999999993</v>
      </c>
      <c r="I45" s="11">
        <f>VLOOKUP(A45,'Operational Data'!$A$2:$E$201,5,FALSE)</f>
        <v>63.47</v>
      </c>
      <c r="J45" s="21">
        <f t="shared" si="0"/>
        <v>2.1565532050262449E-2</v>
      </c>
    </row>
    <row r="46" spans="1:10" x14ac:dyDescent="0.25">
      <c r="A46" s="20" t="s">
        <v>61</v>
      </c>
      <c r="B46" s="20" t="s">
        <v>30</v>
      </c>
      <c r="C46" s="20" t="s">
        <v>34</v>
      </c>
      <c r="D46" s="20" t="s">
        <v>28</v>
      </c>
      <c r="E46" s="20" t="s">
        <v>24</v>
      </c>
      <c r="F46" s="20">
        <v>636.07000000000005</v>
      </c>
      <c r="G46" s="11">
        <f>VLOOKUP(A46,'Operational Data'!$A$2:$E$201,3,FALSE)</f>
        <v>95718</v>
      </c>
      <c r="H46" s="11">
        <f>VLOOKUP(A46,'Operational Data'!$A$2:$E$201,4,FALSE)</f>
        <v>2443.12</v>
      </c>
      <c r="I46" s="11">
        <f>VLOOKUP(A46,'Operational Data'!$A$2:$E$201,5,FALSE)</f>
        <v>35.49</v>
      </c>
      <c r="J46" s="21">
        <f t="shared" si="0"/>
        <v>6.6452495873294479E-3</v>
      </c>
    </row>
    <row r="47" spans="1:10" x14ac:dyDescent="0.25">
      <c r="A47" s="20" t="s">
        <v>62</v>
      </c>
      <c r="B47" s="20" t="s">
        <v>30</v>
      </c>
      <c r="C47" s="20" t="s">
        <v>34</v>
      </c>
      <c r="D47" s="20" t="s">
        <v>9</v>
      </c>
      <c r="E47" s="20" t="s">
        <v>15</v>
      </c>
      <c r="F47" s="20">
        <v>3898.1983740000001</v>
      </c>
      <c r="G47" s="11">
        <f>VLOOKUP(A47,'Operational Data'!$A$2:$E$201,3,FALSE)</f>
        <v>22309</v>
      </c>
      <c r="H47" s="11">
        <f>VLOOKUP(A47,'Operational Data'!$A$2:$E$201,4,FALSE)</f>
        <v>3656.29</v>
      </c>
      <c r="I47" s="11">
        <f>VLOOKUP(A47,'Operational Data'!$A$2:$E$201,5,FALSE)</f>
        <v>75.25</v>
      </c>
      <c r="J47" s="21">
        <f t="shared" si="0"/>
        <v>0.17473658048321306</v>
      </c>
    </row>
    <row r="48" spans="1:10" x14ac:dyDescent="0.25">
      <c r="A48" s="20" t="s">
        <v>63</v>
      </c>
      <c r="B48" s="20" t="s">
        <v>12</v>
      </c>
      <c r="C48" s="20" t="s">
        <v>34</v>
      </c>
      <c r="D48" s="20" t="s">
        <v>9</v>
      </c>
      <c r="E48" s="20" t="s">
        <v>24</v>
      </c>
      <c r="F48" s="20">
        <v>525.24931200000003</v>
      </c>
      <c r="G48" s="11">
        <f>VLOOKUP(A48,'Operational Data'!$A$2:$E$201,3,FALSE)</f>
        <v>33688</v>
      </c>
      <c r="H48" s="11">
        <f>VLOOKUP(A48,'Operational Data'!$A$2:$E$201,4,FALSE)</f>
        <v>9495.48</v>
      </c>
      <c r="I48" s="11">
        <f>VLOOKUP(A48,'Operational Data'!$A$2:$E$201,5,FALSE)</f>
        <v>55.55</v>
      </c>
      <c r="J48" s="21">
        <f t="shared" si="0"/>
        <v>1.5591584896699122E-2</v>
      </c>
    </row>
    <row r="49" spans="1:10" x14ac:dyDescent="0.25">
      <c r="A49" s="20" t="s">
        <v>64</v>
      </c>
      <c r="B49" s="20" t="s">
        <v>30</v>
      </c>
      <c r="C49" s="20" t="s">
        <v>8</v>
      </c>
      <c r="D49" s="20" t="s">
        <v>14</v>
      </c>
      <c r="E49" s="20" t="s">
        <v>15</v>
      </c>
      <c r="F49" s="20">
        <v>1135.03</v>
      </c>
      <c r="G49" s="11">
        <f>VLOOKUP(A49,'Operational Data'!$A$2:$E$201,3,FALSE)</f>
        <v>52836</v>
      </c>
      <c r="H49" s="11">
        <f>VLOOKUP(A49,'Operational Data'!$A$2:$E$201,4,FALSE)</f>
        <v>9330.2999999999993</v>
      </c>
      <c r="I49" s="11">
        <f>VLOOKUP(A49,'Operational Data'!$A$2:$E$201,5,FALSE)</f>
        <v>87.27</v>
      </c>
      <c r="J49" s="21">
        <f t="shared" si="0"/>
        <v>2.1482133393898099E-2</v>
      </c>
    </row>
    <row r="50" spans="1:10" ht="30" x14ac:dyDescent="0.25">
      <c r="A50" s="20" t="s">
        <v>37</v>
      </c>
      <c r="B50" s="20" t="s">
        <v>17</v>
      </c>
      <c r="C50" s="20" t="s">
        <v>23</v>
      </c>
      <c r="D50" s="20" t="s">
        <v>9</v>
      </c>
      <c r="E50" s="20" t="s">
        <v>24</v>
      </c>
      <c r="F50" s="20">
        <v>1670.506361</v>
      </c>
      <c r="G50" s="11">
        <f>VLOOKUP(A50,'Operational Data'!$A$2:$E$201,3,FALSE)</f>
        <v>71747</v>
      </c>
      <c r="H50" s="11">
        <f>VLOOKUP(A50,'Operational Data'!$A$2:$E$201,4,FALSE)</f>
        <v>9838.66</v>
      </c>
      <c r="I50" s="11">
        <f>VLOOKUP(A50,'Operational Data'!$A$2:$E$201,5,FALSE)</f>
        <v>7.25</v>
      </c>
      <c r="J50" s="21">
        <f t="shared" si="0"/>
        <v>2.3283292137650353E-2</v>
      </c>
    </row>
    <row r="51" spans="1:10" x14ac:dyDescent="0.25">
      <c r="A51" s="20" t="s">
        <v>65</v>
      </c>
      <c r="B51" s="20" t="s">
        <v>30</v>
      </c>
      <c r="C51" s="20" t="s">
        <v>13</v>
      </c>
      <c r="D51" s="20" t="s">
        <v>9</v>
      </c>
      <c r="E51" s="20" t="s">
        <v>10</v>
      </c>
      <c r="F51" s="20">
        <v>939.61298339999996</v>
      </c>
      <c r="G51" s="11">
        <f>VLOOKUP(A51,'Operational Data'!$A$2:$E$201,3,FALSE)</f>
        <v>99026</v>
      </c>
      <c r="H51" s="11">
        <f>VLOOKUP(A51,'Operational Data'!$A$2:$E$201,4,FALSE)</f>
        <v>5453.2</v>
      </c>
      <c r="I51" s="11">
        <f>VLOOKUP(A51,'Operational Data'!$A$2:$E$201,5,FALSE)</f>
        <v>57.49</v>
      </c>
      <c r="J51" s="21">
        <f t="shared" si="0"/>
        <v>9.4885482943873316E-3</v>
      </c>
    </row>
    <row r="52" spans="1:10" x14ac:dyDescent="0.25">
      <c r="A52" s="20" t="s">
        <v>49</v>
      </c>
      <c r="B52" s="20" t="s">
        <v>19</v>
      </c>
      <c r="C52" s="20" t="s">
        <v>34</v>
      </c>
      <c r="D52" s="20" t="s">
        <v>28</v>
      </c>
      <c r="E52" s="20" t="s">
        <v>10</v>
      </c>
      <c r="F52" s="20">
        <v>1436.13</v>
      </c>
      <c r="G52" s="11">
        <f>VLOOKUP(A52,'Operational Data'!$A$2:$E$201,3,FALSE)</f>
        <v>50306</v>
      </c>
      <c r="H52" s="11">
        <f>VLOOKUP(A52,'Operational Data'!$A$2:$E$201,4,FALSE)</f>
        <v>7031.37</v>
      </c>
      <c r="I52" s="11">
        <f>VLOOKUP(A52,'Operational Data'!$A$2:$E$201,5,FALSE)</f>
        <v>13.27</v>
      </c>
      <c r="J52" s="21">
        <f t="shared" si="0"/>
        <v>2.8547886931976307E-2</v>
      </c>
    </row>
    <row r="53" spans="1:10" x14ac:dyDescent="0.25">
      <c r="A53" s="20" t="s">
        <v>66</v>
      </c>
      <c r="B53" s="20" t="s">
        <v>30</v>
      </c>
      <c r="C53" s="20" t="s">
        <v>34</v>
      </c>
      <c r="D53" s="20" t="s">
        <v>9</v>
      </c>
      <c r="E53" s="20" t="s">
        <v>24</v>
      </c>
      <c r="F53" s="20">
        <v>3950.000207</v>
      </c>
      <c r="G53" s="11">
        <f>VLOOKUP(A53,'Operational Data'!$A$2:$E$201,3,FALSE)</f>
        <v>98396</v>
      </c>
      <c r="H53" s="11">
        <f>VLOOKUP(A53,'Operational Data'!$A$2:$E$201,4,FALSE)</f>
        <v>5174.07</v>
      </c>
      <c r="I53" s="11">
        <f>VLOOKUP(A53,'Operational Data'!$A$2:$E$201,5,FALSE)</f>
        <v>63.38</v>
      </c>
      <c r="J53" s="21">
        <f t="shared" si="0"/>
        <v>4.0143910392698892E-2</v>
      </c>
    </row>
    <row r="54" spans="1:10" x14ac:dyDescent="0.25">
      <c r="A54" s="20" t="s">
        <v>67</v>
      </c>
      <c r="B54" s="20" t="s">
        <v>7</v>
      </c>
      <c r="C54" s="20" t="s">
        <v>8</v>
      </c>
      <c r="D54" s="20" t="s">
        <v>9</v>
      </c>
      <c r="E54" s="20" t="s">
        <v>10</v>
      </c>
      <c r="F54" s="20">
        <v>4777.7700000000004</v>
      </c>
      <c r="G54" s="11">
        <f>VLOOKUP(A54,'Operational Data'!$A$2:$E$201,3,FALSE)</f>
        <v>70582</v>
      </c>
      <c r="H54" s="11">
        <f>VLOOKUP(A54,'Operational Data'!$A$2:$E$201,4,FALSE)</f>
        <v>7517.59</v>
      </c>
      <c r="I54" s="11">
        <f>VLOOKUP(A54,'Operational Data'!$A$2:$E$201,5,FALSE)</f>
        <v>95.71</v>
      </c>
      <c r="J54" s="21">
        <f t="shared" si="0"/>
        <v>6.7691054376469925E-2</v>
      </c>
    </row>
    <row r="55" spans="1:10" x14ac:dyDescent="0.25">
      <c r="A55" s="20" t="s">
        <v>68</v>
      </c>
      <c r="B55" s="20" t="s">
        <v>12</v>
      </c>
      <c r="C55" s="20" t="s">
        <v>13</v>
      </c>
      <c r="D55" s="20" t="s">
        <v>9</v>
      </c>
      <c r="E55" s="20" t="s">
        <v>10</v>
      </c>
      <c r="F55" s="20">
        <v>739.48049089999995</v>
      </c>
      <c r="G55" s="11">
        <f>VLOOKUP(A55,'Operational Data'!$A$2:$E$201,3,FALSE)</f>
        <v>69100</v>
      </c>
      <c r="H55" s="11">
        <f>VLOOKUP(A55,'Operational Data'!$A$2:$E$201,4,FALSE)</f>
        <v>9356.02</v>
      </c>
      <c r="I55" s="11">
        <f>VLOOKUP(A55,'Operational Data'!$A$2:$E$201,5,FALSE)</f>
        <v>16.5</v>
      </c>
      <c r="J55" s="21">
        <f t="shared" si="0"/>
        <v>1.0701598999999999E-2</v>
      </c>
    </row>
    <row r="56" spans="1:10" x14ac:dyDescent="0.25">
      <c r="A56" s="20" t="s">
        <v>69</v>
      </c>
      <c r="B56" s="20" t="s">
        <v>7</v>
      </c>
      <c r="C56" s="20" t="s">
        <v>23</v>
      </c>
      <c r="D56" s="20" t="s">
        <v>14</v>
      </c>
      <c r="E56" s="20" t="s">
        <v>10</v>
      </c>
      <c r="F56" s="20">
        <v>2957.08</v>
      </c>
      <c r="G56" s="11">
        <f>VLOOKUP(A56,'Operational Data'!$A$2:$E$201,3,FALSE)</f>
        <v>34725</v>
      </c>
      <c r="H56" s="11">
        <f>VLOOKUP(A56,'Operational Data'!$A$2:$E$201,4,FALSE)</f>
        <v>3269.89</v>
      </c>
      <c r="I56" s="11">
        <f>VLOOKUP(A56,'Operational Data'!$A$2:$E$201,5,FALSE)</f>
        <v>78.86</v>
      </c>
      <c r="J56" s="21">
        <f t="shared" si="0"/>
        <v>8.5157091432685378E-2</v>
      </c>
    </row>
    <row r="57" spans="1:10" x14ac:dyDescent="0.25">
      <c r="A57" s="20" t="s">
        <v>70</v>
      </c>
      <c r="B57" s="20" t="s">
        <v>19</v>
      </c>
      <c r="C57" s="20" t="s">
        <v>13</v>
      </c>
      <c r="D57" s="20" t="s">
        <v>28</v>
      </c>
      <c r="E57" s="20" t="s">
        <v>24</v>
      </c>
      <c r="F57" s="20">
        <v>4782.28</v>
      </c>
      <c r="G57" s="11">
        <f>VLOOKUP(A57,'Operational Data'!$A$2:$E$201,3,FALSE)</f>
        <v>42485</v>
      </c>
      <c r="H57" s="11">
        <f>VLOOKUP(A57,'Operational Data'!$A$2:$E$201,4,FALSE)</f>
        <v>4755.75</v>
      </c>
      <c r="I57" s="11">
        <f>VLOOKUP(A57,'Operational Data'!$A$2:$E$201,5,FALSE)</f>
        <v>10.19</v>
      </c>
      <c r="J57" s="21">
        <f t="shared" si="0"/>
        <v>0.11256396375191244</v>
      </c>
    </row>
    <row r="58" spans="1:10" x14ac:dyDescent="0.25">
      <c r="A58" s="20" t="s">
        <v>53</v>
      </c>
      <c r="B58" s="20" t="s">
        <v>7</v>
      </c>
      <c r="C58" s="20" t="s">
        <v>34</v>
      </c>
      <c r="D58" s="20" t="s">
        <v>14</v>
      </c>
      <c r="E58" s="20" t="s">
        <v>15</v>
      </c>
      <c r="F58" s="20">
        <v>3836.23</v>
      </c>
      <c r="G58" s="11">
        <f>VLOOKUP(A58,'Operational Data'!$A$2:$E$201,3,FALSE)</f>
        <v>90632</v>
      </c>
      <c r="H58" s="11">
        <f>VLOOKUP(A58,'Operational Data'!$A$2:$E$201,4,FALSE)</f>
        <v>5292.17</v>
      </c>
      <c r="I58" s="11">
        <f>VLOOKUP(A58,'Operational Data'!$A$2:$E$201,5,FALSE)</f>
        <v>78.45</v>
      </c>
      <c r="J58" s="21">
        <f t="shared" si="0"/>
        <v>4.2327544355194632E-2</v>
      </c>
    </row>
    <row r="59" spans="1:10" x14ac:dyDescent="0.25">
      <c r="A59" s="20" t="s">
        <v>71</v>
      </c>
      <c r="B59" s="20" t="s">
        <v>7</v>
      </c>
      <c r="C59" s="20" t="s">
        <v>13</v>
      </c>
      <c r="D59" s="20" t="s">
        <v>28</v>
      </c>
      <c r="E59" s="20" t="s">
        <v>10</v>
      </c>
      <c r="F59" s="20">
        <v>4410.6400000000003</v>
      </c>
      <c r="G59" s="11">
        <f>VLOOKUP(A59,'Operational Data'!$A$2:$E$201,3,FALSE)</f>
        <v>68018</v>
      </c>
      <c r="H59" s="11">
        <f>VLOOKUP(A59,'Operational Data'!$A$2:$E$201,4,FALSE)</f>
        <v>3523.4</v>
      </c>
      <c r="I59" s="11">
        <f>VLOOKUP(A59,'Operational Data'!$A$2:$E$201,5,FALSE)</f>
        <v>92.26</v>
      </c>
      <c r="J59" s="21">
        <f t="shared" si="0"/>
        <v>6.4845188038460413E-2</v>
      </c>
    </row>
    <row r="60" spans="1:10" x14ac:dyDescent="0.25">
      <c r="A60" s="20" t="s">
        <v>70</v>
      </c>
      <c r="B60" s="20" t="s">
        <v>19</v>
      </c>
      <c r="C60" s="20" t="s">
        <v>34</v>
      </c>
      <c r="D60" s="20" t="s">
        <v>28</v>
      </c>
      <c r="E60" s="20" t="s">
        <v>24</v>
      </c>
      <c r="F60" s="20">
        <v>1861.93</v>
      </c>
      <c r="G60" s="11">
        <f>VLOOKUP(A60,'Operational Data'!$A$2:$E$201,3,FALSE)</f>
        <v>42485</v>
      </c>
      <c r="H60" s="11">
        <f>VLOOKUP(A60,'Operational Data'!$A$2:$E$201,4,FALSE)</f>
        <v>4755.75</v>
      </c>
      <c r="I60" s="11">
        <f>VLOOKUP(A60,'Operational Data'!$A$2:$E$201,5,FALSE)</f>
        <v>10.19</v>
      </c>
      <c r="J60" s="21">
        <f t="shared" si="0"/>
        <v>4.3825585500764978E-2</v>
      </c>
    </row>
    <row r="61" spans="1:10" x14ac:dyDescent="0.25">
      <c r="A61" s="20" t="s">
        <v>72</v>
      </c>
      <c r="B61" s="20" t="s">
        <v>19</v>
      </c>
      <c r="C61" s="20" t="s">
        <v>8</v>
      </c>
      <c r="D61" s="20" t="s">
        <v>14</v>
      </c>
      <c r="E61" s="20" t="s">
        <v>10</v>
      </c>
      <c r="F61" s="20">
        <v>3332.83</v>
      </c>
      <c r="G61" s="11">
        <f>VLOOKUP(A61,'Operational Data'!$A$2:$E$201,3,FALSE)</f>
        <v>29318</v>
      </c>
      <c r="H61" s="11">
        <f>VLOOKUP(A61,'Operational Data'!$A$2:$E$201,4,FALSE)</f>
        <v>9860.6200000000008</v>
      </c>
      <c r="I61" s="11">
        <f>VLOOKUP(A61,'Operational Data'!$A$2:$E$201,5,FALSE)</f>
        <v>14.58</v>
      </c>
      <c r="J61" s="21">
        <f t="shared" si="0"/>
        <v>0.11367862746435636</v>
      </c>
    </row>
    <row r="62" spans="1:10" x14ac:dyDescent="0.25">
      <c r="A62" s="20" t="s">
        <v>73</v>
      </c>
      <c r="B62" s="20" t="s">
        <v>30</v>
      </c>
      <c r="C62" s="20" t="s">
        <v>34</v>
      </c>
      <c r="D62" s="20" t="s">
        <v>28</v>
      </c>
      <c r="E62" s="20" t="s">
        <v>24</v>
      </c>
      <c r="F62" s="20">
        <v>2649.83</v>
      </c>
      <c r="G62" s="11">
        <f>VLOOKUP(A62,'Operational Data'!$A$2:$E$201,3,FALSE)</f>
        <v>55974</v>
      </c>
      <c r="H62" s="11">
        <f>VLOOKUP(A62,'Operational Data'!$A$2:$E$201,4,FALSE)</f>
        <v>7542.28</v>
      </c>
      <c r="I62" s="11">
        <f>VLOOKUP(A62,'Operational Data'!$A$2:$E$201,5,FALSE)</f>
        <v>72.430000000000007</v>
      </c>
      <c r="J62" s="21">
        <f t="shared" si="0"/>
        <v>4.7340372315718013E-2</v>
      </c>
    </row>
    <row r="63" spans="1:10" x14ac:dyDescent="0.25">
      <c r="A63" s="20" t="s">
        <v>74</v>
      </c>
      <c r="B63" s="20" t="s">
        <v>19</v>
      </c>
      <c r="C63" s="20" t="s">
        <v>8</v>
      </c>
      <c r="D63" s="20" t="s">
        <v>14</v>
      </c>
      <c r="E63" s="20" t="s">
        <v>24</v>
      </c>
      <c r="F63" s="20">
        <v>3224.33</v>
      </c>
      <c r="G63" s="11">
        <f>VLOOKUP(A63,'Operational Data'!$A$2:$E$201,3,FALSE)</f>
        <v>18175</v>
      </c>
      <c r="H63" s="11">
        <f>VLOOKUP(A63,'Operational Data'!$A$2:$E$201,4,FALSE)</f>
        <v>8349.49</v>
      </c>
      <c r="I63" s="11">
        <f>VLOOKUP(A63,'Operational Data'!$A$2:$E$201,5,FALSE)</f>
        <v>39.97</v>
      </c>
      <c r="J63" s="21">
        <f t="shared" si="0"/>
        <v>0.17740467675378266</v>
      </c>
    </row>
    <row r="64" spans="1:10" x14ac:dyDescent="0.25">
      <c r="A64" s="20" t="s">
        <v>22</v>
      </c>
      <c r="B64" s="20" t="s">
        <v>12</v>
      </c>
      <c r="C64" s="20" t="s">
        <v>23</v>
      </c>
      <c r="D64" s="20" t="s">
        <v>9</v>
      </c>
      <c r="E64" s="20" t="s">
        <v>10</v>
      </c>
      <c r="F64" s="20">
        <v>881.21756679999999</v>
      </c>
      <c r="G64" s="11">
        <f>VLOOKUP(A64,'Operational Data'!$A$2:$E$201,3,FALSE)</f>
        <v>47484</v>
      </c>
      <c r="H64" s="11">
        <f>VLOOKUP(A64,'Operational Data'!$A$2:$E$201,4,FALSE)</f>
        <v>3396.39</v>
      </c>
      <c r="I64" s="11">
        <f>VLOOKUP(A64,'Operational Data'!$A$2:$E$201,5,FALSE)</f>
        <v>19.510000000000002</v>
      </c>
      <c r="J64" s="21">
        <f t="shared" si="0"/>
        <v>1.855819995788055E-2</v>
      </c>
    </row>
    <row r="65" spans="1:10" x14ac:dyDescent="0.25">
      <c r="A65" s="20" t="s">
        <v>75</v>
      </c>
      <c r="B65" s="20" t="s">
        <v>19</v>
      </c>
      <c r="C65" s="20" t="s">
        <v>13</v>
      </c>
      <c r="D65" s="20" t="s">
        <v>9</v>
      </c>
      <c r="E65" s="20" t="s">
        <v>15</v>
      </c>
      <c r="F65" s="20">
        <v>5563.319544</v>
      </c>
      <c r="G65" s="11">
        <f>VLOOKUP(A65,'Operational Data'!$A$2:$E$201,3,FALSE)</f>
        <v>54136</v>
      </c>
      <c r="H65" s="11">
        <f>VLOOKUP(A65,'Operational Data'!$A$2:$E$201,4,FALSE)</f>
        <v>2775.38</v>
      </c>
      <c r="I65" s="11">
        <f>VLOOKUP(A65,'Operational Data'!$A$2:$E$201,5,FALSE)</f>
        <v>75.459999999999994</v>
      </c>
      <c r="J65" s="21">
        <f t="shared" si="0"/>
        <v>0.10276561888576917</v>
      </c>
    </row>
    <row r="66" spans="1:10" ht="30" x14ac:dyDescent="0.25">
      <c r="A66" s="20" t="s">
        <v>76</v>
      </c>
      <c r="B66" s="20" t="s">
        <v>17</v>
      </c>
      <c r="C66" s="20" t="s">
        <v>34</v>
      </c>
      <c r="D66" s="20" t="s">
        <v>28</v>
      </c>
      <c r="E66" s="20" t="s">
        <v>24</v>
      </c>
      <c r="F66" s="20">
        <v>2558.1799999999998</v>
      </c>
      <c r="G66" s="11">
        <f>VLOOKUP(A66,'Operational Data'!$A$2:$E$201,3,FALSE)</f>
        <v>59617</v>
      </c>
      <c r="H66" s="11">
        <f>VLOOKUP(A66,'Operational Data'!$A$2:$E$201,4,FALSE)</f>
        <v>5000.95</v>
      </c>
      <c r="I66" s="11">
        <f>VLOOKUP(A66,'Operational Data'!$A$2:$E$201,5,FALSE)</f>
        <v>80.36</v>
      </c>
      <c r="J66" s="21">
        <f t="shared" si="0"/>
        <v>4.2910243722428167E-2</v>
      </c>
    </row>
    <row r="67" spans="1:10" x14ac:dyDescent="0.25">
      <c r="A67" s="20" t="s">
        <v>77</v>
      </c>
      <c r="B67" s="20" t="s">
        <v>30</v>
      </c>
      <c r="C67" s="20" t="s">
        <v>23</v>
      </c>
      <c r="D67" s="20" t="s">
        <v>9</v>
      </c>
      <c r="E67" s="20" t="s">
        <v>10</v>
      </c>
      <c r="F67" s="20">
        <v>2013.870322</v>
      </c>
      <c r="G67" s="11">
        <f>VLOOKUP(A67,'Operational Data'!$A$2:$E$201,3,FALSE)</f>
        <v>61942</v>
      </c>
      <c r="H67" s="11">
        <f>VLOOKUP(A67,'Operational Data'!$A$2:$E$201,4,FALSE)</f>
        <v>4891.32</v>
      </c>
      <c r="I67" s="11">
        <f>VLOOKUP(A67,'Operational Data'!$A$2:$E$201,5,FALSE)</f>
        <v>91.59</v>
      </c>
      <c r="J67" s="21">
        <f t="shared" ref="J67:J130" si="1">F67/G67</f>
        <v>3.2512194020212458E-2</v>
      </c>
    </row>
    <row r="68" spans="1:10" x14ac:dyDescent="0.25">
      <c r="A68" s="20" t="s">
        <v>78</v>
      </c>
      <c r="B68" s="20" t="s">
        <v>7</v>
      </c>
      <c r="C68" s="20" t="s">
        <v>23</v>
      </c>
      <c r="D68" s="20" t="s">
        <v>28</v>
      </c>
      <c r="E68" s="20" t="s">
        <v>15</v>
      </c>
      <c r="F68" s="20">
        <v>1752.18</v>
      </c>
      <c r="G68" s="11">
        <f>VLOOKUP(A68,'Operational Data'!$A$2:$E$201,3,FALSE)</f>
        <v>86557</v>
      </c>
      <c r="H68" s="11">
        <f>VLOOKUP(A68,'Operational Data'!$A$2:$E$201,4,FALSE)</f>
        <v>8631.2800000000007</v>
      </c>
      <c r="I68" s="11">
        <f>VLOOKUP(A68,'Operational Data'!$A$2:$E$201,5,FALSE)</f>
        <v>69.53</v>
      </c>
      <c r="J68" s="21">
        <f t="shared" si="1"/>
        <v>2.0243076816433104E-2</v>
      </c>
    </row>
    <row r="69" spans="1:10" ht="30" x14ac:dyDescent="0.25">
      <c r="A69" s="20" t="s">
        <v>79</v>
      </c>
      <c r="B69" s="20" t="s">
        <v>17</v>
      </c>
      <c r="C69" s="20" t="s">
        <v>13</v>
      </c>
      <c r="D69" s="20" t="s">
        <v>28</v>
      </c>
      <c r="E69" s="20" t="s">
        <v>24</v>
      </c>
      <c r="F69" s="20">
        <v>4152.92</v>
      </c>
      <c r="G69" s="11">
        <f>VLOOKUP(A69,'Operational Data'!$A$2:$E$201,3,FALSE)</f>
        <v>40503</v>
      </c>
      <c r="H69" s="11">
        <f>VLOOKUP(A69,'Operational Data'!$A$2:$E$201,4,FALSE)</f>
        <v>7447.46</v>
      </c>
      <c r="I69" s="11">
        <f>VLOOKUP(A69,'Operational Data'!$A$2:$E$201,5,FALSE)</f>
        <v>98.27</v>
      </c>
      <c r="J69" s="21">
        <f t="shared" si="1"/>
        <v>0.10253363948349505</v>
      </c>
    </row>
    <row r="70" spans="1:10" ht="30" x14ac:dyDescent="0.25">
      <c r="A70" s="20" t="s">
        <v>80</v>
      </c>
      <c r="B70" s="20" t="s">
        <v>17</v>
      </c>
      <c r="C70" s="20" t="s">
        <v>13</v>
      </c>
      <c r="D70" s="20" t="s">
        <v>28</v>
      </c>
      <c r="E70" s="20" t="s">
        <v>15</v>
      </c>
      <c r="F70" s="20">
        <v>61.94</v>
      </c>
      <c r="G70" s="11">
        <f>VLOOKUP(A70,'Operational Data'!$A$2:$E$201,3,FALSE)</f>
        <v>75508</v>
      </c>
      <c r="H70" s="11">
        <f>VLOOKUP(A70,'Operational Data'!$A$2:$E$201,4,FALSE)</f>
        <v>6856.22</v>
      </c>
      <c r="I70" s="11">
        <f>VLOOKUP(A70,'Operational Data'!$A$2:$E$201,5,FALSE)</f>
        <v>18.2</v>
      </c>
      <c r="J70" s="21">
        <f t="shared" si="1"/>
        <v>8.2031043068284148E-4</v>
      </c>
    </row>
    <row r="71" spans="1:10" x14ac:dyDescent="0.25">
      <c r="A71" s="20" t="s">
        <v>66</v>
      </c>
      <c r="B71" s="20" t="s">
        <v>30</v>
      </c>
      <c r="C71" s="20" t="s">
        <v>34</v>
      </c>
      <c r="D71" s="20" t="s">
        <v>9</v>
      </c>
      <c r="E71" s="20" t="s">
        <v>15</v>
      </c>
      <c r="F71" s="20">
        <v>4862.4353590000001</v>
      </c>
      <c r="G71" s="11">
        <f>VLOOKUP(A71,'Operational Data'!$A$2:$E$201,3,FALSE)</f>
        <v>98396</v>
      </c>
      <c r="H71" s="11">
        <f>VLOOKUP(A71,'Operational Data'!$A$2:$E$201,4,FALSE)</f>
        <v>5174.07</v>
      </c>
      <c r="I71" s="11">
        <f>VLOOKUP(A71,'Operational Data'!$A$2:$E$201,5,FALSE)</f>
        <v>63.38</v>
      </c>
      <c r="J71" s="21">
        <f t="shared" si="1"/>
        <v>4.9417002307004347E-2</v>
      </c>
    </row>
    <row r="72" spans="1:10" x14ac:dyDescent="0.25">
      <c r="A72" s="20" t="s">
        <v>81</v>
      </c>
      <c r="B72" s="20" t="s">
        <v>12</v>
      </c>
      <c r="C72" s="20" t="s">
        <v>23</v>
      </c>
      <c r="D72" s="20" t="s">
        <v>9</v>
      </c>
      <c r="E72" s="20" t="s">
        <v>10</v>
      </c>
      <c r="F72" s="20">
        <v>1930.129142</v>
      </c>
      <c r="G72" s="11">
        <f>VLOOKUP(A72,'Operational Data'!$A$2:$E$201,3,FALSE)</f>
        <v>93661</v>
      </c>
      <c r="H72" s="11">
        <f>VLOOKUP(A72,'Operational Data'!$A$2:$E$201,4,FALSE)</f>
        <v>7324.58</v>
      </c>
      <c r="I72" s="11">
        <f>VLOOKUP(A72,'Operational Data'!$A$2:$E$201,5,FALSE)</f>
        <v>23.55</v>
      </c>
      <c r="J72" s="21">
        <f t="shared" si="1"/>
        <v>2.0607607670214925E-2</v>
      </c>
    </row>
    <row r="73" spans="1:10" ht="30" x14ac:dyDescent="0.25">
      <c r="A73" s="20" t="s">
        <v>82</v>
      </c>
      <c r="B73" s="20" t="s">
        <v>17</v>
      </c>
      <c r="C73" s="20" t="s">
        <v>34</v>
      </c>
      <c r="D73" s="20" t="s">
        <v>28</v>
      </c>
      <c r="E73" s="20" t="s">
        <v>24</v>
      </c>
      <c r="F73" s="20">
        <v>2818.75</v>
      </c>
      <c r="G73" s="11">
        <f>VLOOKUP(A73,'Operational Data'!$A$2:$E$201,3,FALSE)</f>
        <v>93409</v>
      </c>
      <c r="H73" s="11">
        <f>VLOOKUP(A73,'Operational Data'!$A$2:$E$201,4,FALSE)</f>
        <v>2375.83</v>
      </c>
      <c r="I73" s="11">
        <f>VLOOKUP(A73,'Operational Data'!$A$2:$E$201,5,FALSE)</f>
        <v>5.83</v>
      </c>
      <c r="J73" s="21">
        <f t="shared" si="1"/>
        <v>3.017642839555075E-2</v>
      </c>
    </row>
    <row r="74" spans="1:10" ht="30" x14ac:dyDescent="0.25">
      <c r="A74" s="20" t="s">
        <v>83</v>
      </c>
      <c r="B74" s="20" t="s">
        <v>17</v>
      </c>
      <c r="C74" s="20" t="s">
        <v>8</v>
      </c>
      <c r="D74" s="20" t="s">
        <v>9</v>
      </c>
      <c r="E74" s="20" t="s">
        <v>24</v>
      </c>
      <c r="F74" s="20">
        <v>2368.6695920000002</v>
      </c>
      <c r="G74" s="11">
        <f>VLOOKUP(A74,'Operational Data'!$A$2:$E$201,3,FALSE)</f>
        <v>30934</v>
      </c>
      <c r="H74" s="11">
        <f>VLOOKUP(A74,'Operational Data'!$A$2:$E$201,4,FALSE)</f>
        <v>4175.6499999999996</v>
      </c>
      <c r="I74" s="11">
        <f>VLOOKUP(A74,'Operational Data'!$A$2:$E$201,5,FALSE)</f>
        <v>77.290000000000006</v>
      </c>
      <c r="J74" s="21">
        <f t="shared" si="1"/>
        <v>7.6571720178444436E-2</v>
      </c>
    </row>
    <row r="75" spans="1:10" x14ac:dyDescent="0.25">
      <c r="A75" s="20" t="s">
        <v>54</v>
      </c>
      <c r="B75" s="20" t="s">
        <v>12</v>
      </c>
      <c r="C75" s="20" t="s">
        <v>34</v>
      </c>
      <c r="D75" s="20" t="s">
        <v>14</v>
      </c>
      <c r="E75" s="20" t="s">
        <v>15</v>
      </c>
      <c r="F75" s="20">
        <v>1533.98</v>
      </c>
      <c r="G75" s="11">
        <f>VLOOKUP(A75,'Operational Data'!$A$2:$E$201,3,FALSE)</f>
        <v>58111</v>
      </c>
      <c r="H75" s="11">
        <f>VLOOKUP(A75,'Operational Data'!$A$2:$E$201,4,FALSE)</f>
        <v>4610.8999999999996</v>
      </c>
      <c r="I75" s="11">
        <f>VLOOKUP(A75,'Operational Data'!$A$2:$E$201,5,FALSE)</f>
        <v>21.53</v>
      </c>
      <c r="J75" s="21">
        <f t="shared" si="1"/>
        <v>2.639741184973585E-2</v>
      </c>
    </row>
    <row r="76" spans="1:10" x14ac:dyDescent="0.25">
      <c r="A76" s="20" t="s">
        <v>68</v>
      </c>
      <c r="B76" s="20" t="s">
        <v>12</v>
      </c>
      <c r="C76" s="20" t="s">
        <v>34</v>
      </c>
      <c r="D76" s="20" t="s">
        <v>14</v>
      </c>
      <c r="E76" s="20" t="s">
        <v>24</v>
      </c>
      <c r="F76" s="20">
        <v>249.89</v>
      </c>
      <c r="G76" s="11">
        <f>VLOOKUP(A76,'Operational Data'!$A$2:$E$201,3,FALSE)</f>
        <v>69100</v>
      </c>
      <c r="H76" s="11">
        <f>VLOOKUP(A76,'Operational Data'!$A$2:$E$201,4,FALSE)</f>
        <v>9356.02</v>
      </c>
      <c r="I76" s="11">
        <f>VLOOKUP(A76,'Operational Data'!$A$2:$E$201,5,FALSE)</f>
        <v>16.5</v>
      </c>
      <c r="J76" s="21">
        <f t="shared" si="1"/>
        <v>3.616353111432706E-3</v>
      </c>
    </row>
    <row r="77" spans="1:10" x14ac:dyDescent="0.25">
      <c r="A77" s="20" t="s">
        <v>84</v>
      </c>
      <c r="B77" s="20" t="s">
        <v>30</v>
      </c>
      <c r="C77" s="20" t="s">
        <v>13</v>
      </c>
      <c r="D77" s="20" t="s">
        <v>9</v>
      </c>
      <c r="E77" s="20" t="s">
        <v>15</v>
      </c>
      <c r="F77" s="20">
        <v>4797.8755950000004</v>
      </c>
      <c r="G77" s="11">
        <f>VLOOKUP(A77,'Operational Data'!$A$2:$E$201,3,FALSE)</f>
        <v>85444</v>
      </c>
      <c r="H77" s="11">
        <f>VLOOKUP(A77,'Operational Data'!$A$2:$E$201,4,FALSE)</f>
        <v>852.57</v>
      </c>
      <c r="I77" s="11">
        <f>VLOOKUP(A77,'Operational Data'!$A$2:$E$201,5,FALSE)</f>
        <v>72.650000000000006</v>
      </c>
      <c r="J77" s="21">
        <f t="shared" si="1"/>
        <v>5.6152282138008526E-2</v>
      </c>
    </row>
    <row r="78" spans="1:10" x14ac:dyDescent="0.25">
      <c r="A78" s="20" t="s">
        <v>85</v>
      </c>
      <c r="B78" s="20" t="s">
        <v>30</v>
      </c>
      <c r="C78" s="20" t="s">
        <v>23</v>
      </c>
      <c r="D78" s="20" t="s">
        <v>14</v>
      </c>
      <c r="E78" s="20" t="s">
        <v>24</v>
      </c>
      <c r="F78" s="20">
        <v>534.05999999999995</v>
      </c>
      <c r="G78" s="11">
        <f>VLOOKUP(A78,'Operational Data'!$A$2:$E$201,3,FALSE)</f>
        <v>45519</v>
      </c>
      <c r="H78" s="11">
        <f>VLOOKUP(A78,'Operational Data'!$A$2:$E$201,4,FALSE)</f>
        <v>7987.69</v>
      </c>
      <c r="I78" s="11">
        <f>VLOOKUP(A78,'Operational Data'!$A$2:$E$201,5,FALSE)</f>
        <v>10.86</v>
      </c>
      <c r="J78" s="21">
        <f t="shared" si="1"/>
        <v>1.1732683055427403E-2</v>
      </c>
    </row>
    <row r="79" spans="1:10" x14ac:dyDescent="0.25">
      <c r="A79" s="20" t="s">
        <v>86</v>
      </c>
      <c r="B79" s="20" t="s">
        <v>19</v>
      </c>
      <c r="C79" s="20" t="s">
        <v>13</v>
      </c>
      <c r="D79" s="20" t="s">
        <v>14</v>
      </c>
      <c r="E79" s="20" t="s">
        <v>10</v>
      </c>
      <c r="F79" s="20">
        <v>4285.8999999999996</v>
      </c>
      <c r="G79" s="11">
        <f>VLOOKUP(A79,'Operational Data'!$A$2:$E$201,3,FALSE)</f>
        <v>56531</v>
      </c>
      <c r="H79" s="11">
        <f>VLOOKUP(A79,'Operational Data'!$A$2:$E$201,4,FALSE)</f>
        <v>8958.07</v>
      </c>
      <c r="I79" s="11">
        <f>VLOOKUP(A79,'Operational Data'!$A$2:$E$201,5,FALSE)</f>
        <v>83.44</v>
      </c>
      <c r="J79" s="21">
        <f t="shared" si="1"/>
        <v>7.5815039535829895E-2</v>
      </c>
    </row>
    <row r="80" spans="1:10" x14ac:dyDescent="0.25">
      <c r="A80" s="20" t="s">
        <v>87</v>
      </c>
      <c r="B80" s="20" t="s">
        <v>12</v>
      </c>
      <c r="C80" s="20" t="s">
        <v>34</v>
      </c>
      <c r="D80" s="20" t="s">
        <v>28</v>
      </c>
      <c r="E80" s="20" t="s">
        <v>10</v>
      </c>
      <c r="F80" s="20">
        <v>1042.25</v>
      </c>
      <c r="G80" s="11">
        <f>VLOOKUP(A80,'Operational Data'!$A$2:$E$201,3,FALSE)</f>
        <v>15333</v>
      </c>
      <c r="H80" s="11">
        <f>VLOOKUP(A80,'Operational Data'!$A$2:$E$201,4,FALSE)</f>
        <v>2570.54</v>
      </c>
      <c r="I80" s="11">
        <f>VLOOKUP(A80,'Operational Data'!$A$2:$E$201,5,FALSE)</f>
        <v>41.07</v>
      </c>
      <c r="J80" s="21">
        <f t="shared" si="1"/>
        <v>6.7974303789212806E-2</v>
      </c>
    </row>
    <row r="81" spans="1:10" x14ac:dyDescent="0.25">
      <c r="A81" s="20" t="s">
        <v>88</v>
      </c>
      <c r="B81" s="20" t="s">
        <v>7</v>
      </c>
      <c r="C81" s="20" t="s">
        <v>34</v>
      </c>
      <c r="D81" s="20" t="s">
        <v>9</v>
      </c>
      <c r="E81" s="20" t="s">
        <v>24</v>
      </c>
      <c r="F81" s="20">
        <v>1836.6851220000001</v>
      </c>
      <c r="G81" s="11">
        <f>VLOOKUP(A81,'Operational Data'!$A$2:$E$201,3,FALSE)</f>
        <v>44825</v>
      </c>
      <c r="H81" s="11">
        <f>VLOOKUP(A81,'Operational Data'!$A$2:$E$201,4,FALSE)</f>
        <v>6023.03</v>
      </c>
      <c r="I81" s="11">
        <f>VLOOKUP(A81,'Operational Data'!$A$2:$E$201,5,FALSE)</f>
        <v>27.2</v>
      </c>
      <c r="J81" s="21">
        <f t="shared" si="1"/>
        <v>4.0974570485220303E-2</v>
      </c>
    </row>
    <row r="82" spans="1:10" ht="30" x14ac:dyDescent="0.25">
      <c r="A82" s="20" t="s">
        <v>89</v>
      </c>
      <c r="B82" s="20" t="s">
        <v>17</v>
      </c>
      <c r="C82" s="20" t="s">
        <v>13</v>
      </c>
      <c r="D82" s="20" t="s">
        <v>28</v>
      </c>
      <c r="E82" s="20" t="s">
        <v>15</v>
      </c>
      <c r="F82" s="20">
        <v>3337.6</v>
      </c>
      <c r="G82" s="11">
        <f>VLOOKUP(A82,'Operational Data'!$A$2:$E$201,3,FALSE)</f>
        <v>36171</v>
      </c>
      <c r="H82" s="11">
        <f>VLOOKUP(A82,'Operational Data'!$A$2:$E$201,4,FALSE)</f>
        <v>6864.38</v>
      </c>
      <c r="I82" s="11">
        <f>VLOOKUP(A82,'Operational Data'!$A$2:$E$201,5,FALSE)</f>
        <v>37.03</v>
      </c>
      <c r="J82" s="21">
        <f t="shared" si="1"/>
        <v>9.2272815238727157E-2</v>
      </c>
    </row>
    <row r="83" spans="1:10" x14ac:dyDescent="0.25">
      <c r="A83" s="20" t="s">
        <v>32</v>
      </c>
      <c r="B83" s="20" t="s">
        <v>7</v>
      </c>
      <c r="C83" s="20" t="s">
        <v>34</v>
      </c>
      <c r="D83" s="20" t="s">
        <v>14</v>
      </c>
      <c r="E83" s="20" t="s">
        <v>15</v>
      </c>
      <c r="F83" s="20">
        <v>2632.11</v>
      </c>
      <c r="G83" s="11">
        <f>VLOOKUP(A83,'Operational Data'!$A$2:$E$201,3,FALSE)</f>
        <v>10933</v>
      </c>
      <c r="H83" s="11">
        <f>VLOOKUP(A83,'Operational Data'!$A$2:$E$201,4,FALSE)</f>
        <v>9004.3700000000008</v>
      </c>
      <c r="I83" s="11">
        <f>VLOOKUP(A83,'Operational Data'!$A$2:$E$201,5,FALSE)</f>
        <v>26.84</v>
      </c>
      <c r="J83" s="21">
        <f t="shared" si="1"/>
        <v>0.24074910820451845</v>
      </c>
    </row>
    <row r="84" spans="1:10" x14ac:dyDescent="0.25">
      <c r="A84" s="20" t="s">
        <v>90</v>
      </c>
      <c r="B84" s="20" t="s">
        <v>19</v>
      </c>
      <c r="C84" s="20" t="s">
        <v>23</v>
      </c>
      <c r="D84" s="20" t="s">
        <v>28</v>
      </c>
      <c r="E84" s="20" t="s">
        <v>24</v>
      </c>
      <c r="F84" s="20">
        <v>2011.5</v>
      </c>
      <c r="G84" s="11">
        <f>VLOOKUP(A84,'Operational Data'!$A$2:$E$201,3,FALSE)</f>
        <v>97337</v>
      </c>
      <c r="H84" s="11">
        <f>VLOOKUP(A84,'Operational Data'!$A$2:$E$201,4,FALSE)</f>
        <v>3362.06</v>
      </c>
      <c r="I84" s="11">
        <f>VLOOKUP(A84,'Operational Data'!$A$2:$E$201,5,FALSE)</f>
        <v>55.46</v>
      </c>
      <c r="J84" s="21">
        <f t="shared" si="1"/>
        <v>2.0665317402426622E-2</v>
      </c>
    </row>
    <row r="85" spans="1:10" x14ac:dyDescent="0.25">
      <c r="A85" s="20" t="s">
        <v>91</v>
      </c>
      <c r="B85" s="20" t="s">
        <v>30</v>
      </c>
      <c r="C85" s="20" t="s">
        <v>23</v>
      </c>
      <c r="D85" s="20" t="s">
        <v>28</v>
      </c>
      <c r="E85" s="20" t="s">
        <v>15</v>
      </c>
      <c r="F85" s="20">
        <v>724.26</v>
      </c>
      <c r="G85" s="11">
        <f>VLOOKUP(A85,'Operational Data'!$A$2:$E$201,3,FALSE)</f>
        <v>20207</v>
      </c>
      <c r="H85" s="11">
        <f>VLOOKUP(A85,'Operational Data'!$A$2:$E$201,4,FALSE)</f>
        <v>5369.46</v>
      </c>
      <c r="I85" s="11">
        <f>VLOOKUP(A85,'Operational Data'!$A$2:$E$201,5,FALSE)</f>
        <v>57.51</v>
      </c>
      <c r="J85" s="21">
        <f t="shared" si="1"/>
        <v>3.5842034938387689E-2</v>
      </c>
    </row>
    <row r="86" spans="1:10" x14ac:dyDescent="0.25">
      <c r="A86" s="20" t="s">
        <v>6</v>
      </c>
      <c r="B86" s="20" t="s">
        <v>7</v>
      </c>
      <c r="C86" s="20" t="s">
        <v>23</v>
      </c>
      <c r="D86" s="20" t="s">
        <v>14</v>
      </c>
      <c r="E86" s="20" t="s">
        <v>24</v>
      </c>
      <c r="F86" s="20">
        <v>2373.2600000000002</v>
      </c>
      <c r="G86" s="11">
        <f>VLOOKUP(A86,'Operational Data'!$A$2:$E$201,3,FALSE)</f>
        <v>77330</v>
      </c>
      <c r="H86" s="11">
        <f>VLOOKUP(A86,'Operational Data'!$A$2:$E$201,4,FALSE)</f>
        <v>6936.58</v>
      </c>
      <c r="I86" s="11">
        <f>VLOOKUP(A86,'Operational Data'!$A$2:$E$201,5,FALSE)</f>
        <v>82.3</v>
      </c>
      <c r="J86" s="21">
        <f t="shared" si="1"/>
        <v>3.0690029742661325E-2</v>
      </c>
    </row>
    <row r="87" spans="1:10" x14ac:dyDescent="0.25">
      <c r="A87" s="20" t="s">
        <v>47</v>
      </c>
      <c r="B87" s="20" t="s">
        <v>30</v>
      </c>
      <c r="C87" s="20" t="s">
        <v>34</v>
      </c>
      <c r="D87" s="20" t="s">
        <v>28</v>
      </c>
      <c r="E87" s="20" t="s">
        <v>24</v>
      </c>
      <c r="F87" s="20">
        <v>1440.9</v>
      </c>
      <c r="G87" s="11">
        <f>VLOOKUP(A87,'Operational Data'!$A$2:$E$201,3,FALSE)</f>
        <v>53661</v>
      </c>
      <c r="H87" s="11">
        <f>VLOOKUP(A87,'Operational Data'!$A$2:$E$201,4,FALSE)</f>
        <v>6965.81</v>
      </c>
      <c r="I87" s="11">
        <f>VLOOKUP(A87,'Operational Data'!$A$2:$E$201,5,FALSE)</f>
        <v>69.400000000000006</v>
      </c>
      <c r="J87" s="21">
        <f t="shared" si="1"/>
        <v>2.6851903617152124E-2</v>
      </c>
    </row>
    <row r="88" spans="1:10" x14ac:dyDescent="0.25">
      <c r="A88" s="20" t="s">
        <v>92</v>
      </c>
      <c r="B88" s="20" t="s">
        <v>30</v>
      </c>
      <c r="C88" s="20" t="s">
        <v>13</v>
      </c>
      <c r="D88" s="20" t="s">
        <v>28</v>
      </c>
      <c r="E88" s="20" t="s">
        <v>10</v>
      </c>
      <c r="F88" s="20">
        <v>569.39</v>
      </c>
      <c r="G88" s="11">
        <f>VLOOKUP(A88,'Operational Data'!$A$2:$E$201,3,FALSE)</f>
        <v>18726</v>
      </c>
      <c r="H88" s="11">
        <f>VLOOKUP(A88,'Operational Data'!$A$2:$E$201,4,FALSE)</f>
        <v>5099.54</v>
      </c>
      <c r="I88" s="11">
        <f>VLOOKUP(A88,'Operational Data'!$A$2:$E$201,5,FALSE)</f>
        <v>71.05</v>
      </c>
      <c r="J88" s="21">
        <f t="shared" si="1"/>
        <v>3.0406386841824201E-2</v>
      </c>
    </row>
    <row r="89" spans="1:10" ht="30" x14ac:dyDescent="0.25">
      <c r="A89" s="20" t="s">
        <v>43</v>
      </c>
      <c r="B89" s="20" t="s">
        <v>17</v>
      </c>
      <c r="C89" s="20" t="s">
        <v>23</v>
      </c>
      <c r="D89" s="20" t="s">
        <v>14</v>
      </c>
      <c r="E89" s="20" t="s">
        <v>24</v>
      </c>
      <c r="F89" s="20">
        <v>1161.74</v>
      </c>
      <c r="G89" s="11">
        <f>VLOOKUP(A89,'Operational Data'!$A$2:$E$201,3,FALSE)</f>
        <v>41168</v>
      </c>
      <c r="H89" s="11">
        <f>VLOOKUP(A89,'Operational Data'!$A$2:$E$201,4,FALSE)</f>
        <v>8226.77</v>
      </c>
      <c r="I89" s="11">
        <f>VLOOKUP(A89,'Operational Data'!$A$2:$E$201,5,FALSE)</f>
        <v>42.55</v>
      </c>
      <c r="J89" s="21">
        <f t="shared" si="1"/>
        <v>2.8219490866692579E-2</v>
      </c>
    </row>
    <row r="90" spans="1:10" ht="30" x14ac:dyDescent="0.25">
      <c r="A90" s="20" t="s">
        <v>37</v>
      </c>
      <c r="B90" s="20" t="s">
        <v>17</v>
      </c>
      <c r="C90" s="20" t="s">
        <v>8</v>
      </c>
      <c r="D90" s="20" t="s">
        <v>9</v>
      </c>
      <c r="E90" s="20" t="s">
        <v>24</v>
      </c>
      <c r="F90" s="20">
        <v>4200.5000110000001</v>
      </c>
      <c r="G90" s="11">
        <f>VLOOKUP(A90,'Operational Data'!$A$2:$E$201,3,FALSE)</f>
        <v>71747</v>
      </c>
      <c r="H90" s="11">
        <f>VLOOKUP(A90,'Operational Data'!$A$2:$E$201,4,FALSE)</f>
        <v>9838.66</v>
      </c>
      <c r="I90" s="11">
        <f>VLOOKUP(A90,'Operational Data'!$A$2:$E$201,5,FALSE)</f>
        <v>7.25</v>
      </c>
      <c r="J90" s="21">
        <f t="shared" si="1"/>
        <v>5.8546002076741883E-2</v>
      </c>
    </row>
    <row r="91" spans="1:10" x14ac:dyDescent="0.25">
      <c r="A91" s="20" t="s">
        <v>55</v>
      </c>
      <c r="B91" s="20" t="s">
        <v>12</v>
      </c>
      <c r="C91" s="20" t="s">
        <v>8</v>
      </c>
      <c r="D91" s="20" t="s">
        <v>14</v>
      </c>
      <c r="E91" s="20" t="s">
        <v>15</v>
      </c>
      <c r="F91" s="20">
        <v>2311.5500000000002</v>
      </c>
      <c r="G91" s="11">
        <f>VLOOKUP(A91,'Operational Data'!$A$2:$E$201,3,FALSE)</f>
        <v>38181</v>
      </c>
      <c r="H91" s="11">
        <f>VLOOKUP(A91,'Operational Data'!$A$2:$E$201,4,FALSE)</f>
        <v>691.84</v>
      </c>
      <c r="I91" s="11">
        <f>VLOOKUP(A91,'Operational Data'!$A$2:$E$201,5,FALSE)</f>
        <v>33.53</v>
      </c>
      <c r="J91" s="21">
        <f t="shared" si="1"/>
        <v>6.0541892564364479E-2</v>
      </c>
    </row>
    <row r="92" spans="1:10" x14ac:dyDescent="0.25">
      <c r="A92" s="20" t="s">
        <v>93</v>
      </c>
      <c r="B92" s="20" t="s">
        <v>30</v>
      </c>
      <c r="C92" s="20" t="s">
        <v>8</v>
      </c>
      <c r="D92" s="20" t="s">
        <v>28</v>
      </c>
      <c r="E92" s="20" t="s">
        <v>15</v>
      </c>
      <c r="F92" s="20">
        <v>2116.64</v>
      </c>
      <c r="G92" s="11">
        <f>VLOOKUP(A92,'Operational Data'!$A$2:$E$201,3,FALSE)</f>
        <v>26378</v>
      </c>
      <c r="H92" s="11">
        <f>VLOOKUP(A92,'Operational Data'!$A$2:$E$201,4,FALSE)</f>
        <v>2915.44</v>
      </c>
      <c r="I92" s="11">
        <f>VLOOKUP(A92,'Operational Data'!$A$2:$E$201,5,FALSE)</f>
        <v>29.84</v>
      </c>
      <c r="J92" s="21">
        <f t="shared" si="1"/>
        <v>8.0242626431116834E-2</v>
      </c>
    </row>
    <row r="93" spans="1:10" x14ac:dyDescent="0.25">
      <c r="A93" s="20" t="s">
        <v>94</v>
      </c>
      <c r="B93" s="20" t="s">
        <v>7</v>
      </c>
      <c r="C93" s="20" t="s">
        <v>13</v>
      </c>
      <c r="D93" s="20" t="s">
        <v>28</v>
      </c>
      <c r="E93" s="20" t="s">
        <v>15</v>
      </c>
      <c r="F93" s="20">
        <v>2833.88</v>
      </c>
      <c r="G93" s="11">
        <f>VLOOKUP(A93,'Operational Data'!$A$2:$E$201,3,FALSE)</f>
        <v>26338</v>
      </c>
      <c r="H93" s="11">
        <f>VLOOKUP(A93,'Operational Data'!$A$2:$E$201,4,FALSE)</f>
        <v>578.73</v>
      </c>
      <c r="I93" s="11">
        <f>VLOOKUP(A93,'Operational Data'!$A$2:$E$201,5,FALSE)</f>
        <v>72.52</v>
      </c>
      <c r="J93" s="21">
        <f t="shared" si="1"/>
        <v>0.10759662844559192</v>
      </c>
    </row>
    <row r="94" spans="1:10" x14ac:dyDescent="0.25">
      <c r="A94" s="20" t="s">
        <v>95</v>
      </c>
      <c r="B94" s="20" t="s">
        <v>30</v>
      </c>
      <c r="C94" s="20" t="s">
        <v>8</v>
      </c>
      <c r="D94" s="20" t="s">
        <v>28</v>
      </c>
      <c r="E94" s="20" t="s">
        <v>10</v>
      </c>
      <c r="F94" s="20">
        <v>2605.96</v>
      </c>
      <c r="G94" s="11">
        <f>VLOOKUP(A94,'Operational Data'!$A$2:$E$201,3,FALSE)</f>
        <v>51800</v>
      </c>
      <c r="H94" s="11">
        <f>VLOOKUP(A94,'Operational Data'!$A$2:$E$201,4,FALSE)</f>
        <v>3042.95</v>
      </c>
      <c r="I94" s="11">
        <f>VLOOKUP(A94,'Operational Data'!$A$2:$E$201,5,FALSE)</f>
        <v>71.87</v>
      </c>
      <c r="J94" s="21">
        <f t="shared" si="1"/>
        <v>5.030810810810811E-2</v>
      </c>
    </row>
    <row r="95" spans="1:10" x14ac:dyDescent="0.25">
      <c r="A95" s="20" t="s">
        <v>69</v>
      </c>
      <c r="B95" s="20" t="s">
        <v>7</v>
      </c>
      <c r="C95" s="20" t="s">
        <v>34</v>
      </c>
      <c r="D95" s="20" t="s">
        <v>9</v>
      </c>
      <c r="E95" s="20" t="s">
        <v>24</v>
      </c>
      <c r="F95" s="20">
        <v>532.45395829999995</v>
      </c>
      <c r="G95" s="11">
        <f>VLOOKUP(A95,'Operational Data'!$A$2:$E$201,3,FALSE)</f>
        <v>34725</v>
      </c>
      <c r="H95" s="11">
        <f>VLOOKUP(A95,'Operational Data'!$A$2:$E$201,4,FALSE)</f>
        <v>3269.89</v>
      </c>
      <c r="I95" s="11">
        <f>VLOOKUP(A95,'Operational Data'!$A$2:$E$201,5,FALSE)</f>
        <v>78.86</v>
      </c>
      <c r="J95" s="21">
        <f t="shared" si="1"/>
        <v>1.5333447323254139E-2</v>
      </c>
    </row>
    <row r="96" spans="1:10" x14ac:dyDescent="0.25">
      <c r="A96" s="20" t="s">
        <v>96</v>
      </c>
      <c r="B96" s="20" t="s">
        <v>19</v>
      </c>
      <c r="C96" s="20" t="s">
        <v>13</v>
      </c>
      <c r="D96" s="20" t="s">
        <v>9</v>
      </c>
      <c r="E96" s="20" t="s">
        <v>24</v>
      </c>
      <c r="F96" s="20">
        <v>1876.9554659999999</v>
      </c>
      <c r="G96" s="11">
        <f>VLOOKUP(A96,'Operational Data'!$A$2:$E$201,3,FALSE)</f>
        <v>53942</v>
      </c>
      <c r="H96" s="11">
        <f>VLOOKUP(A96,'Operational Data'!$A$2:$E$201,4,FALSE)</f>
        <v>5904.31</v>
      </c>
      <c r="I96" s="11">
        <f>VLOOKUP(A96,'Operational Data'!$A$2:$E$201,5,FALSE)</f>
        <v>32.78</v>
      </c>
      <c r="J96" s="21">
        <f t="shared" si="1"/>
        <v>3.4795807830632901E-2</v>
      </c>
    </row>
    <row r="97" spans="1:10" x14ac:dyDescent="0.25">
      <c r="A97" s="20" t="s">
        <v>97</v>
      </c>
      <c r="B97" s="20" t="s">
        <v>7</v>
      </c>
      <c r="C97" s="20" t="s">
        <v>13</v>
      </c>
      <c r="D97" s="20" t="s">
        <v>14</v>
      </c>
      <c r="E97" s="20" t="s">
        <v>15</v>
      </c>
      <c r="F97" s="20">
        <v>522.41</v>
      </c>
      <c r="G97" s="11">
        <f>VLOOKUP(A97,'Operational Data'!$A$2:$E$201,3,FALSE)</f>
        <v>78624</v>
      </c>
      <c r="H97" s="11">
        <f>VLOOKUP(A97,'Operational Data'!$A$2:$E$201,4,FALSE)</f>
        <v>2373.27</v>
      </c>
      <c r="I97" s="11">
        <f>VLOOKUP(A97,'Operational Data'!$A$2:$E$201,5,FALSE)</f>
        <v>25.07</v>
      </c>
      <c r="J97" s="21">
        <f t="shared" si="1"/>
        <v>6.6444088319088318E-3</v>
      </c>
    </row>
    <row r="98" spans="1:10" x14ac:dyDescent="0.25">
      <c r="A98" s="20" t="s">
        <v>98</v>
      </c>
      <c r="B98" s="20" t="s">
        <v>19</v>
      </c>
      <c r="C98" s="20" t="s">
        <v>23</v>
      </c>
      <c r="D98" s="20" t="s">
        <v>9</v>
      </c>
      <c r="E98" s="20" t="s">
        <v>10</v>
      </c>
      <c r="F98" s="20">
        <v>4953.9799999999996</v>
      </c>
      <c r="G98" s="11">
        <f>VLOOKUP(A98,'Operational Data'!$A$2:$E$201,3,FALSE)</f>
        <v>26170</v>
      </c>
      <c r="H98" s="11">
        <f>VLOOKUP(A98,'Operational Data'!$A$2:$E$201,4,FALSE)</f>
        <v>8057.54</v>
      </c>
      <c r="I98" s="11">
        <f>VLOOKUP(A98,'Operational Data'!$A$2:$E$201,5,FALSE)</f>
        <v>63.71</v>
      </c>
      <c r="J98" s="21">
        <f t="shared" si="1"/>
        <v>0.18929996178830721</v>
      </c>
    </row>
    <row r="99" spans="1:10" x14ac:dyDescent="0.25">
      <c r="A99" s="20" t="s">
        <v>99</v>
      </c>
      <c r="B99" s="20" t="s">
        <v>19</v>
      </c>
      <c r="C99" s="20" t="s">
        <v>13</v>
      </c>
      <c r="D99" s="20" t="s">
        <v>9</v>
      </c>
      <c r="E99" s="20" t="s">
        <v>15</v>
      </c>
      <c r="F99" s="20">
        <v>2322.96</v>
      </c>
      <c r="G99" s="11">
        <f>VLOOKUP(A99,'Operational Data'!$A$2:$E$201,3,FALSE)</f>
        <v>77400</v>
      </c>
      <c r="H99" s="11">
        <f>VLOOKUP(A99,'Operational Data'!$A$2:$E$201,4,FALSE)</f>
        <v>7504.8</v>
      </c>
      <c r="I99" s="11">
        <f>VLOOKUP(A99,'Operational Data'!$A$2:$E$201,5,FALSE)</f>
        <v>68.819999999999993</v>
      </c>
      <c r="J99" s="21">
        <f t="shared" si="1"/>
        <v>3.0012403100775194E-2</v>
      </c>
    </row>
    <row r="100" spans="1:10" ht="30" x14ac:dyDescent="0.25">
      <c r="A100" s="20" t="s">
        <v>80</v>
      </c>
      <c r="B100" s="20" t="s">
        <v>17</v>
      </c>
      <c r="C100" s="20" t="s">
        <v>34</v>
      </c>
      <c r="D100" s="20" t="s">
        <v>28</v>
      </c>
      <c r="E100" s="20" t="s">
        <v>24</v>
      </c>
      <c r="F100" s="20">
        <v>4662.91</v>
      </c>
      <c r="G100" s="11">
        <f>VLOOKUP(A100,'Operational Data'!$A$2:$E$201,3,FALSE)</f>
        <v>75508</v>
      </c>
      <c r="H100" s="11">
        <f>VLOOKUP(A100,'Operational Data'!$A$2:$E$201,4,FALSE)</f>
        <v>6856.22</v>
      </c>
      <c r="I100" s="11">
        <f>VLOOKUP(A100,'Operational Data'!$A$2:$E$201,5,FALSE)</f>
        <v>18.2</v>
      </c>
      <c r="J100" s="21">
        <f t="shared" si="1"/>
        <v>6.1753853896275891E-2</v>
      </c>
    </row>
    <row r="101" spans="1:10" x14ac:dyDescent="0.25">
      <c r="A101" s="20" t="s">
        <v>100</v>
      </c>
      <c r="B101" s="20" t="s">
        <v>7</v>
      </c>
      <c r="C101" s="20" t="s">
        <v>23</v>
      </c>
      <c r="D101" s="20" t="s">
        <v>28</v>
      </c>
      <c r="E101" s="20" t="s">
        <v>24</v>
      </c>
      <c r="F101" s="20">
        <v>1907.29</v>
      </c>
      <c r="G101" s="11">
        <f>VLOOKUP(A101,'Operational Data'!$A$2:$E$201,3,FALSE)</f>
        <v>17468</v>
      </c>
      <c r="H101" s="11">
        <f>VLOOKUP(A101,'Operational Data'!$A$2:$E$201,4,FALSE)</f>
        <v>6359.73</v>
      </c>
      <c r="I101" s="11">
        <f>VLOOKUP(A101,'Operational Data'!$A$2:$E$201,5,FALSE)</f>
        <v>5.22</v>
      </c>
      <c r="J101" s="21">
        <f t="shared" si="1"/>
        <v>0.10918765743073047</v>
      </c>
    </row>
    <row r="102" spans="1:10" x14ac:dyDescent="0.25">
      <c r="A102" s="20" t="s">
        <v>101</v>
      </c>
      <c r="B102" s="20" t="s">
        <v>19</v>
      </c>
      <c r="C102" s="20" t="s">
        <v>13</v>
      </c>
      <c r="D102" s="20" t="s">
        <v>9</v>
      </c>
      <c r="E102" s="20" t="s">
        <v>15</v>
      </c>
      <c r="F102" s="20">
        <v>1668.587237</v>
      </c>
      <c r="G102" s="11">
        <f>VLOOKUP(A102,'Operational Data'!$A$2:$E$201,3,FALSE)</f>
        <v>39050</v>
      </c>
      <c r="H102" s="11">
        <f>VLOOKUP(A102,'Operational Data'!$A$2:$E$201,4,FALSE)</f>
        <v>5885.73</v>
      </c>
      <c r="I102" s="11">
        <f>VLOOKUP(A102,'Operational Data'!$A$2:$E$201,5,FALSE)</f>
        <v>93.04</v>
      </c>
      <c r="J102" s="21">
        <f t="shared" si="1"/>
        <v>4.2729506709346991E-2</v>
      </c>
    </row>
    <row r="103" spans="1:10" x14ac:dyDescent="0.25">
      <c r="A103" s="20" t="s">
        <v>102</v>
      </c>
      <c r="B103" s="20" t="s">
        <v>19</v>
      </c>
      <c r="C103" s="20" t="s">
        <v>34</v>
      </c>
      <c r="D103" s="20" t="s">
        <v>14</v>
      </c>
      <c r="E103" s="20" t="s">
        <v>24</v>
      </c>
      <c r="F103" s="20">
        <v>3260.51</v>
      </c>
      <c r="G103" s="11">
        <f>VLOOKUP(A103,'Operational Data'!$A$2:$E$201,3,FALSE)</f>
        <v>86263</v>
      </c>
      <c r="H103" s="11">
        <f>VLOOKUP(A103,'Operational Data'!$A$2:$E$201,4,FALSE)</f>
        <v>3213.71</v>
      </c>
      <c r="I103" s="11">
        <f>VLOOKUP(A103,'Operational Data'!$A$2:$E$201,5,FALSE)</f>
        <v>98.39</v>
      </c>
      <c r="J103" s="21">
        <f t="shared" si="1"/>
        <v>3.7797317505767251E-2</v>
      </c>
    </row>
    <row r="104" spans="1:10" x14ac:dyDescent="0.25">
      <c r="A104" s="20" t="s">
        <v>103</v>
      </c>
      <c r="B104" s="20" t="s">
        <v>19</v>
      </c>
      <c r="C104" s="20" t="s">
        <v>8</v>
      </c>
      <c r="D104" s="20" t="s">
        <v>14</v>
      </c>
      <c r="E104" s="20" t="s">
        <v>10</v>
      </c>
      <c r="F104" s="20">
        <v>2218.4699999999998</v>
      </c>
      <c r="G104" s="11">
        <f>VLOOKUP(A104,'Operational Data'!$A$2:$E$201,3,FALSE)</f>
        <v>38869</v>
      </c>
      <c r="H104" s="11">
        <f>VLOOKUP(A104,'Operational Data'!$A$2:$E$201,4,FALSE)</f>
        <v>5109.76</v>
      </c>
      <c r="I104" s="11">
        <f>VLOOKUP(A104,'Operational Data'!$A$2:$E$201,5,FALSE)</f>
        <v>35.270000000000003</v>
      </c>
      <c r="J104" s="21">
        <f t="shared" si="1"/>
        <v>5.7075561501453598E-2</v>
      </c>
    </row>
    <row r="105" spans="1:10" x14ac:dyDescent="0.25">
      <c r="A105" s="20" t="s">
        <v>78</v>
      </c>
      <c r="B105" s="20" t="s">
        <v>7</v>
      </c>
      <c r="C105" s="20" t="s">
        <v>34</v>
      </c>
      <c r="D105" s="20" t="s">
        <v>14</v>
      </c>
      <c r="E105" s="20" t="s">
        <v>10</v>
      </c>
      <c r="F105" s="20">
        <v>479.85</v>
      </c>
      <c r="G105" s="11">
        <f>VLOOKUP(A105,'Operational Data'!$A$2:$E$201,3,FALSE)</f>
        <v>86557</v>
      </c>
      <c r="H105" s="11">
        <f>VLOOKUP(A105,'Operational Data'!$A$2:$E$201,4,FALSE)</f>
        <v>8631.2800000000007</v>
      </c>
      <c r="I105" s="11">
        <f>VLOOKUP(A105,'Operational Data'!$A$2:$E$201,5,FALSE)</f>
        <v>69.53</v>
      </c>
      <c r="J105" s="21">
        <f t="shared" si="1"/>
        <v>5.5437457398015188E-3</v>
      </c>
    </row>
    <row r="106" spans="1:10" ht="30" x14ac:dyDescent="0.25">
      <c r="A106" s="20" t="s">
        <v>104</v>
      </c>
      <c r="B106" s="20" t="s">
        <v>17</v>
      </c>
      <c r="C106" s="20" t="s">
        <v>8</v>
      </c>
      <c r="D106" s="20" t="s">
        <v>28</v>
      </c>
      <c r="E106" s="20" t="s">
        <v>15</v>
      </c>
      <c r="F106" s="20">
        <v>401.65</v>
      </c>
      <c r="G106" s="11">
        <f>VLOOKUP(A106,'Operational Data'!$A$2:$E$201,3,FALSE)</f>
        <v>16868</v>
      </c>
      <c r="H106" s="11">
        <f>VLOOKUP(A106,'Operational Data'!$A$2:$E$201,4,FALSE)</f>
        <v>1378.01</v>
      </c>
      <c r="I106" s="11">
        <f>VLOOKUP(A106,'Operational Data'!$A$2:$E$201,5,FALSE)</f>
        <v>47.52</v>
      </c>
      <c r="J106" s="21">
        <f t="shared" si="1"/>
        <v>2.3811358785866727E-2</v>
      </c>
    </row>
    <row r="107" spans="1:10" x14ac:dyDescent="0.25">
      <c r="A107" s="20" t="s">
        <v>105</v>
      </c>
      <c r="B107" s="20" t="s">
        <v>30</v>
      </c>
      <c r="C107" s="20" t="s">
        <v>34</v>
      </c>
      <c r="D107" s="20" t="s">
        <v>28</v>
      </c>
      <c r="E107" s="20" t="s">
        <v>24</v>
      </c>
      <c r="F107" s="20">
        <v>4844.9399999999996</v>
      </c>
      <c r="G107" s="11">
        <f>VLOOKUP(A107,'Operational Data'!$A$2:$E$201,3,FALSE)</f>
        <v>87337</v>
      </c>
      <c r="H107" s="11">
        <f>VLOOKUP(A107,'Operational Data'!$A$2:$E$201,4,FALSE)</f>
        <v>3603.06</v>
      </c>
      <c r="I107" s="11">
        <f>VLOOKUP(A107,'Operational Data'!$A$2:$E$201,5,FALSE)</f>
        <v>67.13</v>
      </c>
      <c r="J107" s="21">
        <f t="shared" si="1"/>
        <v>5.5474083149180758E-2</v>
      </c>
    </row>
    <row r="108" spans="1:10" x14ac:dyDescent="0.25">
      <c r="A108" s="20" t="s">
        <v>106</v>
      </c>
      <c r="B108" s="20" t="s">
        <v>12</v>
      </c>
      <c r="C108" s="20" t="s">
        <v>34</v>
      </c>
      <c r="D108" s="20" t="s">
        <v>14</v>
      </c>
      <c r="E108" s="20" t="s">
        <v>10</v>
      </c>
      <c r="F108" s="20">
        <v>1954.31</v>
      </c>
      <c r="G108" s="11">
        <f>VLOOKUP(A108,'Operational Data'!$A$2:$E$201,3,FALSE)</f>
        <v>21386</v>
      </c>
      <c r="H108" s="11">
        <f>VLOOKUP(A108,'Operational Data'!$A$2:$E$201,4,FALSE)</f>
        <v>2271.92</v>
      </c>
      <c r="I108" s="11">
        <f>VLOOKUP(A108,'Operational Data'!$A$2:$E$201,5,FALSE)</f>
        <v>49.67</v>
      </c>
      <c r="J108" s="21">
        <f t="shared" si="1"/>
        <v>9.1382680258112775E-2</v>
      </c>
    </row>
    <row r="109" spans="1:10" x14ac:dyDescent="0.25">
      <c r="A109" s="20" t="s">
        <v>66</v>
      </c>
      <c r="B109" s="20" t="s">
        <v>30</v>
      </c>
      <c r="C109" s="20" t="s">
        <v>23</v>
      </c>
      <c r="D109" s="20" t="s">
        <v>28</v>
      </c>
      <c r="E109" s="20" t="s">
        <v>15</v>
      </c>
      <c r="F109" s="20">
        <v>2094.86</v>
      </c>
      <c r="G109" s="11">
        <f>VLOOKUP(A109,'Operational Data'!$A$2:$E$201,3,FALSE)</f>
        <v>98396</v>
      </c>
      <c r="H109" s="11">
        <f>VLOOKUP(A109,'Operational Data'!$A$2:$E$201,4,FALSE)</f>
        <v>5174.07</v>
      </c>
      <c r="I109" s="11">
        <f>VLOOKUP(A109,'Operational Data'!$A$2:$E$201,5,FALSE)</f>
        <v>63.38</v>
      </c>
      <c r="J109" s="21">
        <f t="shared" si="1"/>
        <v>2.1290093093215171E-2</v>
      </c>
    </row>
    <row r="110" spans="1:10" x14ac:dyDescent="0.25">
      <c r="A110" s="20" t="s">
        <v>107</v>
      </c>
      <c r="B110" s="20" t="s">
        <v>30</v>
      </c>
      <c r="C110" s="20" t="s">
        <v>8</v>
      </c>
      <c r="D110" s="20" t="s">
        <v>28</v>
      </c>
      <c r="E110" s="20" t="s">
        <v>24</v>
      </c>
      <c r="F110" s="20">
        <v>3876.8</v>
      </c>
      <c r="G110" s="11">
        <f>VLOOKUP(A110,'Operational Data'!$A$2:$E$201,3,FALSE)</f>
        <v>69305</v>
      </c>
      <c r="H110" s="11">
        <f>VLOOKUP(A110,'Operational Data'!$A$2:$E$201,4,FALSE)</f>
        <v>3203.67</v>
      </c>
      <c r="I110" s="11">
        <f>VLOOKUP(A110,'Operational Data'!$A$2:$E$201,5,FALSE)</f>
        <v>83.65</v>
      </c>
      <c r="J110" s="21">
        <f t="shared" si="1"/>
        <v>5.5938243993939832E-2</v>
      </c>
    </row>
    <row r="111" spans="1:10" x14ac:dyDescent="0.25">
      <c r="A111" s="20" t="s">
        <v>45</v>
      </c>
      <c r="B111" s="20" t="s">
        <v>7</v>
      </c>
      <c r="C111" s="20" t="s">
        <v>34</v>
      </c>
      <c r="D111" s="20" t="s">
        <v>28</v>
      </c>
      <c r="E111" s="20" t="s">
        <v>10</v>
      </c>
      <c r="F111" s="20">
        <v>3209.34</v>
      </c>
      <c r="G111" s="11">
        <f>VLOOKUP(A111,'Operational Data'!$A$2:$E$201,3,FALSE)</f>
        <v>49924</v>
      </c>
      <c r="H111" s="11">
        <f>VLOOKUP(A111,'Operational Data'!$A$2:$E$201,4,FALSE)</f>
        <v>2199.16</v>
      </c>
      <c r="I111" s="11">
        <f>VLOOKUP(A111,'Operational Data'!$A$2:$E$201,5,FALSE)</f>
        <v>75.48</v>
      </c>
      <c r="J111" s="21">
        <f t="shared" si="1"/>
        <v>6.4284512458937584E-2</v>
      </c>
    </row>
    <row r="112" spans="1:10" x14ac:dyDescent="0.25">
      <c r="A112" s="20" t="s">
        <v>108</v>
      </c>
      <c r="B112" s="20" t="s">
        <v>7</v>
      </c>
      <c r="C112" s="20" t="s">
        <v>8</v>
      </c>
      <c r="D112" s="20" t="s">
        <v>28</v>
      </c>
      <c r="E112" s="20" t="s">
        <v>24</v>
      </c>
      <c r="F112" s="20">
        <v>1290.4100000000001</v>
      </c>
      <c r="G112" s="11">
        <f>VLOOKUP(A112,'Operational Data'!$A$2:$E$201,3,FALSE)</f>
        <v>22201</v>
      </c>
      <c r="H112" s="11">
        <f>VLOOKUP(A112,'Operational Data'!$A$2:$E$201,4,FALSE)</f>
        <v>2853.66</v>
      </c>
      <c r="I112" s="11">
        <f>VLOOKUP(A112,'Operational Data'!$A$2:$E$201,5,FALSE)</f>
        <v>71.94</v>
      </c>
      <c r="J112" s="21">
        <f t="shared" si="1"/>
        <v>5.8123958380253145E-2</v>
      </c>
    </row>
    <row r="113" spans="1:10" x14ac:dyDescent="0.25">
      <c r="A113" s="20" t="s">
        <v>42</v>
      </c>
      <c r="B113" s="20" t="s">
        <v>30</v>
      </c>
      <c r="C113" s="20" t="s">
        <v>13</v>
      </c>
      <c r="D113" s="20" t="s">
        <v>14</v>
      </c>
      <c r="E113" s="20" t="s">
        <v>24</v>
      </c>
      <c r="F113" s="20">
        <v>3768.03</v>
      </c>
      <c r="G113" s="11">
        <f>VLOOKUP(A113,'Operational Data'!$A$2:$E$201,3,FALSE)</f>
        <v>41539</v>
      </c>
      <c r="H113" s="11">
        <f>VLOOKUP(A113,'Operational Data'!$A$2:$E$201,4,FALSE)</f>
        <v>982.8</v>
      </c>
      <c r="I113" s="11">
        <f>VLOOKUP(A113,'Operational Data'!$A$2:$E$201,5,FALSE)</f>
        <v>79.7</v>
      </c>
      <c r="J113" s="21">
        <f t="shared" si="1"/>
        <v>9.0710657454440416E-2</v>
      </c>
    </row>
    <row r="114" spans="1:10" x14ac:dyDescent="0.25">
      <c r="A114" s="20" t="s">
        <v>109</v>
      </c>
      <c r="B114" s="20" t="s">
        <v>12</v>
      </c>
      <c r="C114" s="20" t="s">
        <v>8</v>
      </c>
      <c r="D114" s="20" t="s">
        <v>28</v>
      </c>
      <c r="E114" s="20" t="s">
        <v>10</v>
      </c>
      <c r="F114" s="20">
        <v>2209.6</v>
      </c>
      <c r="G114" s="11">
        <f>VLOOKUP(A114,'Operational Data'!$A$2:$E$201,3,FALSE)</f>
        <v>84721</v>
      </c>
      <c r="H114" s="11">
        <f>VLOOKUP(A114,'Operational Data'!$A$2:$E$201,4,FALSE)</f>
        <v>2278.9699999999998</v>
      </c>
      <c r="I114" s="11">
        <f>VLOOKUP(A114,'Operational Data'!$A$2:$E$201,5,FALSE)</f>
        <v>68.53</v>
      </c>
      <c r="J114" s="21">
        <f t="shared" si="1"/>
        <v>2.6080900839225221E-2</v>
      </c>
    </row>
    <row r="115" spans="1:10" x14ac:dyDescent="0.25">
      <c r="A115" s="20" t="s">
        <v>110</v>
      </c>
      <c r="B115" s="20" t="s">
        <v>12</v>
      </c>
      <c r="C115" s="20" t="s">
        <v>34</v>
      </c>
      <c r="D115" s="20" t="s">
        <v>9</v>
      </c>
      <c r="E115" s="20" t="s">
        <v>24</v>
      </c>
      <c r="F115" s="20">
        <v>3789.17</v>
      </c>
      <c r="G115" s="11">
        <f>VLOOKUP(A115,'Operational Data'!$A$2:$E$201,3,FALSE)</f>
        <v>70481</v>
      </c>
      <c r="H115" s="11">
        <f>VLOOKUP(A115,'Operational Data'!$A$2:$E$201,4,FALSE)</f>
        <v>4452.83</v>
      </c>
      <c r="I115" s="11">
        <f>VLOOKUP(A115,'Operational Data'!$A$2:$E$201,5,FALSE)</f>
        <v>91.26</v>
      </c>
      <c r="J115" s="21">
        <f t="shared" si="1"/>
        <v>5.3761581135341442E-2</v>
      </c>
    </row>
    <row r="116" spans="1:10" x14ac:dyDescent="0.25">
      <c r="A116" s="20" t="s">
        <v>111</v>
      </c>
      <c r="B116" s="20" t="s">
        <v>19</v>
      </c>
      <c r="C116" s="20" t="s">
        <v>8</v>
      </c>
      <c r="D116" s="20" t="s">
        <v>28</v>
      </c>
      <c r="E116" s="20" t="s">
        <v>10</v>
      </c>
      <c r="F116" s="20">
        <v>2970.05</v>
      </c>
      <c r="G116" s="11">
        <f>VLOOKUP(A116,'Operational Data'!$A$2:$E$201,3,FALSE)</f>
        <v>37309</v>
      </c>
      <c r="H116" s="11">
        <f>VLOOKUP(A116,'Operational Data'!$A$2:$E$201,4,FALSE)</f>
        <v>4508.54</v>
      </c>
      <c r="I116" s="11">
        <f>VLOOKUP(A116,'Operational Data'!$A$2:$E$201,5,FALSE)</f>
        <v>47.15</v>
      </c>
      <c r="J116" s="21">
        <f t="shared" si="1"/>
        <v>7.9606797287517767E-2</v>
      </c>
    </row>
    <row r="117" spans="1:10" x14ac:dyDescent="0.25">
      <c r="A117" s="20" t="s">
        <v>112</v>
      </c>
      <c r="B117" s="20" t="s">
        <v>30</v>
      </c>
      <c r="C117" s="20" t="s">
        <v>23</v>
      </c>
      <c r="D117" s="20" t="s">
        <v>28</v>
      </c>
      <c r="E117" s="20" t="s">
        <v>10</v>
      </c>
      <c r="F117" s="20">
        <v>1858.31</v>
      </c>
      <c r="G117" s="11">
        <f>VLOOKUP(A117,'Operational Data'!$A$2:$E$201,3,FALSE)</f>
        <v>43294</v>
      </c>
      <c r="H117" s="11">
        <f>VLOOKUP(A117,'Operational Data'!$A$2:$E$201,4,FALSE)</f>
        <v>3802.13</v>
      </c>
      <c r="I117" s="11">
        <f>VLOOKUP(A117,'Operational Data'!$A$2:$E$201,5,FALSE)</f>
        <v>45.84</v>
      </c>
      <c r="J117" s="21">
        <f t="shared" si="1"/>
        <v>4.292303783434194E-2</v>
      </c>
    </row>
    <row r="118" spans="1:10" x14ac:dyDescent="0.25">
      <c r="A118" s="20" t="s">
        <v>62</v>
      </c>
      <c r="B118" s="20" t="s">
        <v>30</v>
      </c>
      <c r="C118" s="20" t="s">
        <v>8</v>
      </c>
      <c r="D118" s="20" t="s">
        <v>9</v>
      </c>
      <c r="E118" s="20" t="s">
        <v>10</v>
      </c>
      <c r="F118" s="20">
        <v>3702.9533959999999</v>
      </c>
      <c r="G118" s="11">
        <f>VLOOKUP(A118,'Operational Data'!$A$2:$E$201,3,FALSE)</f>
        <v>22309</v>
      </c>
      <c r="H118" s="11">
        <f>VLOOKUP(A118,'Operational Data'!$A$2:$E$201,4,FALSE)</f>
        <v>3656.29</v>
      </c>
      <c r="I118" s="11">
        <f>VLOOKUP(A118,'Operational Data'!$A$2:$E$201,5,FALSE)</f>
        <v>75.25</v>
      </c>
      <c r="J118" s="21">
        <f t="shared" si="1"/>
        <v>0.16598473243982248</v>
      </c>
    </row>
    <row r="119" spans="1:10" x14ac:dyDescent="0.25">
      <c r="A119" s="20" t="s">
        <v>113</v>
      </c>
      <c r="B119" s="20" t="s">
        <v>30</v>
      </c>
      <c r="C119" s="20" t="s">
        <v>23</v>
      </c>
      <c r="D119" s="20" t="s">
        <v>28</v>
      </c>
      <c r="E119" s="20" t="s">
        <v>10</v>
      </c>
      <c r="F119" s="20">
        <v>3276</v>
      </c>
      <c r="G119" s="11">
        <f>VLOOKUP(A119,'Operational Data'!$A$2:$E$201,3,FALSE)</f>
        <v>90679</v>
      </c>
      <c r="H119" s="11">
        <f>VLOOKUP(A119,'Operational Data'!$A$2:$E$201,4,FALSE)</f>
        <v>7266.82</v>
      </c>
      <c r="I119" s="11">
        <f>VLOOKUP(A119,'Operational Data'!$A$2:$E$201,5,FALSE)</f>
        <v>23.3</v>
      </c>
      <c r="J119" s="21">
        <f t="shared" si="1"/>
        <v>3.6127438546962362E-2</v>
      </c>
    </row>
    <row r="120" spans="1:10" x14ac:dyDescent="0.25">
      <c r="A120" s="20" t="s">
        <v>114</v>
      </c>
      <c r="B120" s="20" t="s">
        <v>30</v>
      </c>
      <c r="C120" s="20" t="s">
        <v>8</v>
      </c>
      <c r="D120" s="20" t="s">
        <v>14</v>
      </c>
      <c r="E120" s="20" t="s">
        <v>24</v>
      </c>
      <c r="F120" s="20">
        <v>526.37</v>
      </c>
      <c r="G120" s="11">
        <f>VLOOKUP(A120,'Operational Data'!$A$2:$E$201,3,FALSE)</f>
        <v>29264</v>
      </c>
      <c r="H120" s="11">
        <f>VLOOKUP(A120,'Operational Data'!$A$2:$E$201,4,FALSE)</f>
        <v>8362.7199999999993</v>
      </c>
      <c r="I120" s="11">
        <f>VLOOKUP(A120,'Operational Data'!$A$2:$E$201,5,FALSE)</f>
        <v>61.93</v>
      </c>
      <c r="J120" s="21">
        <f t="shared" si="1"/>
        <v>1.7986946418808093E-2</v>
      </c>
    </row>
    <row r="121" spans="1:10" x14ac:dyDescent="0.25">
      <c r="A121" s="20" t="s">
        <v>115</v>
      </c>
      <c r="B121" s="20" t="s">
        <v>19</v>
      </c>
      <c r="C121" s="20" t="s">
        <v>13</v>
      </c>
      <c r="D121" s="20" t="s">
        <v>14</v>
      </c>
      <c r="E121" s="20" t="s">
        <v>10</v>
      </c>
      <c r="F121" s="20">
        <v>445.6</v>
      </c>
      <c r="G121" s="11">
        <f>VLOOKUP(A121,'Operational Data'!$A$2:$E$201,3,FALSE)</f>
        <v>17162</v>
      </c>
      <c r="H121" s="11">
        <f>VLOOKUP(A121,'Operational Data'!$A$2:$E$201,4,FALSE)</f>
        <v>5079.95</v>
      </c>
      <c r="I121" s="11">
        <f>VLOOKUP(A121,'Operational Data'!$A$2:$E$201,5,FALSE)</f>
        <v>19.239999999999998</v>
      </c>
      <c r="J121" s="21">
        <f t="shared" si="1"/>
        <v>2.5964339820533738E-2</v>
      </c>
    </row>
    <row r="122" spans="1:10" ht="30" x14ac:dyDescent="0.25">
      <c r="A122" s="20" t="s">
        <v>116</v>
      </c>
      <c r="B122" s="20" t="s">
        <v>17</v>
      </c>
      <c r="C122" s="20" t="s">
        <v>34</v>
      </c>
      <c r="D122" s="20" t="s">
        <v>9</v>
      </c>
      <c r="E122" s="20" t="s">
        <v>15</v>
      </c>
      <c r="F122" s="20">
        <v>4486.2700949999999</v>
      </c>
      <c r="G122" s="11">
        <f>VLOOKUP(A122,'Operational Data'!$A$2:$E$201,3,FALSE)</f>
        <v>68216</v>
      </c>
      <c r="H122" s="11">
        <f>VLOOKUP(A122,'Operational Data'!$A$2:$E$201,4,FALSE)</f>
        <v>9562.33</v>
      </c>
      <c r="I122" s="11">
        <f>VLOOKUP(A122,'Operational Data'!$A$2:$E$201,5,FALSE)</f>
        <v>63.59</v>
      </c>
      <c r="J122" s="21">
        <f t="shared" si="1"/>
        <v>6.5765657543684769E-2</v>
      </c>
    </row>
    <row r="123" spans="1:10" x14ac:dyDescent="0.25">
      <c r="A123" s="20" t="s">
        <v>111</v>
      </c>
      <c r="B123" s="20" t="s">
        <v>19</v>
      </c>
      <c r="C123" s="20" t="s">
        <v>13</v>
      </c>
      <c r="D123" s="20" t="s">
        <v>9</v>
      </c>
      <c r="E123" s="20" t="s">
        <v>15</v>
      </c>
      <c r="F123" s="20">
        <v>1770.5416849999999</v>
      </c>
      <c r="G123" s="11">
        <f>VLOOKUP(A123,'Operational Data'!$A$2:$E$201,3,FALSE)</f>
        <v>37309</v>
      </c>
      <c r="H123" s="11">
        <f>VLOOKUP(A123,'Operational Data'!$A$2:$E$201,4,FALSE)</f>
        <v>4508.54</v>
      </c>
      <c r="I123" s="11">
        <f>VLOOKUP(A123,'Operational Data'!$A$2:$E$201,5,FALSE)</f>
        <v>47.15</v>
      </c>
      <c r="J123" s="21">
        <f t="shared" si="1"/>
        <v>4.7456154949207963E-2</v>
      </c>
    </row>
    <row r="124" spans="1:10" x14ac:dyDescent="0.25">
      <c r="A124" s="20" t="s">
        <v>102</v>
      </c>
      <c r="B124" s="20" t="s">
        <v>19</v>
      </c>
      <c r="C124" s="20" t="s">
        <v>34</v>
      </c>
      <c r="D124" s="20" t="s">
        <v>9</v>
      </c>
      <c r="E124" s="20" t="s">
        <v>24</v>
      </c>
      <c r="F124" s="20">
        <v>2762.189746</v>
      </c>
      <c r="G124" s="11">
        <f>VLOOKUP(A124,'Operational Data'!$A$2:$E$201,3,FALSE)</f>
        <v>86263</v>
      </c>
      <c r="H124" s="11">
        <f>VLOOKUP(A124,'Operational Data'!$A$2:$E$201,4,FALSE)</f>
        <v>3213.71</v>
      </c>
      <c r="I124" s="11">
        <f>VLOOKUP(A124,'Operational Data'!$A$2:$E$201,5,FALSE)</f>
        <v>98.39</v>
      </c>
      <c r="J124" s="21">
        <f t="shared" si="1"/>
        <v>3.202056207180367E-2</v>
      </c>
    </row>
    <row r="125" spans="1:10" x14ac:dyDescent="0.25">
      <c r="A125" s="20" t="s">
        <v>50</v>
      </c>
      <c r="B125" s="20" t="s">
        <v>19</v>
      </c>
      <c r="C125" s="20" t="s">
        <v>34</v>
      </c>
      <c r="D125" s="20" t="s">
        <v>14</v>
      </c>
      <c r="E125" s="20" t="s">
        <v>15</v>
      </c>
      <c r="F125" s="20">
        <v>1531.3</v>
      </c>
      <c r="G125" s="11">
        <f>VLOOKUP(A125,'Operational Data'!$A$2:$E$201,3,FALSE)</f>
        <v>40577</v>
      </c>
      <c r="H125" s="11">
        <f>VLOOKUP(A125,'Operational Data'!$A$2:$E$201,4,FALSE)</f>
        <v>4280.82</v>
      </c>
      <c r="I125" s="11">
        <f>VLOOKUP(A125,'Operational Data'!$A$2:$E$201,5,FALSE)</f>
        <v>79.88</v>
      </c>
      <c r="J125" s="21">
        <f t="shared" si="1"/>
        <v>3.7738127510658748E-2</v>
      </c>
    </row>
    <row r="126" spans="1:10" x14ac:dyDescent="0.25">
      <c r="A126" s="20" t="s">
        <v>86</v>
      </c>
      <c r="B126" s="20" t="s">
        <v>19</v>
      </c>
      <c r="C126" s="20" t="s">
        <v>34</v>
      </c>
      <c r="D126" s="20" t="s">
        <v>9</v>
      </c>
      <c r="E126" s="20" t="s">
        <v>15</v>
      </c>
      <c r="F126" s="20">
        <v>4453.3686580000003</v>
      </c>
      <c r="G126" s="11">
        <f>VLOOKUP(A126,'Operational Data'!$A$2:$E$201,3,FALSE)</f>
        <v>56531</v>
      </c>
      <c r="H126" s="11">
        <f>VLOOKUP(A126,'Operational Data'!$A$2:$E$201,4,FALSE)</f>
        <v>8958.07</v>
      </c>
      <c r="I126" s="11">
        <f>VLOOKUP(A126,'Operational Data'!$A$2:$E$201,5,FALSE)</f>
        <v>83.44</v>
      </c>
      <c r="J126" s="21">
        <f t="shared" si="1"/>
        <v>7.8777461180591188E-2</v>
      </c>
    </row>
    <row r="127" spans="1:10" x14ac:dyDescent="0.25">
      <c r="A127" s="20" t="s">
        <v>71</v>
      </c>
      <c r="B127" s="20" t="s">
        <v>7</v>
      </c>
      <c r="C127" s="20" t="s">
        <v>23</v>
      </c>
      <c r="D127" s="20" t="s">
        <v>28</v>
      </c>
      <c r="E127" s="20" t="s">
        <v>10</v>
      </c>
      <c r="F127" s="20">
        <v>4934.5600000000004</v>
      </c>
      <c r="G127" s="11">
        <f>VLOOKUP(A127,'Operational Data'!$A$2:$E$201,3,FALSE)</f>
        <v>68018</v>
      </c>
      <c r="H127" s="11">
        <f>VLOOKUP(A127,'Operational Data'!$A$2:$E$201,4,FALSE)</f>
        <v>3523.4</v>
      </c>
      <c r="I127" s="11">
        <f>VLOOKUP(A127,'Operational Data'!$A$2:$E$201,5,FALSE)</f>
        <v>92.26</v>
      </c>
      <c r="J127" s="21">
        <f t="shared" si="1"/>
        <v>7.2547854979564244E-2</v>
      </c>
    </row>
    <row r="128" spans="1:10" x14ac:dyDescent="0.25">
      <c r="A128" s="20" t="s">
        <v>117</v>
      </c>
      <c r="B128" s="20" t="s">
        <v>7</v>
      </c>
      <c r="C128" s="20" t="s">
        <v>13</v>
      </c>
      <c r="D128" s="20" t="s">
        <v>14</v>
      </c>
      <c r="E128" s="20" t="s">
        <v>10</v>
      </c>
      <c r="F128" s="20">
        <v>1164.7</v>
      </c>
      <c r="G128" s="11">
        <f>VLOOKUP(A128,'Operational Data'!$A$2:$E$201,3,FALSE)</f>
        <v>89321</v>
      </c>
      <c r="H128" s="11">
        <f>VLOOKUP(A128,'Operational Data'!$A$2:$E$201,4,FALSE)</f>
        <v>9836.34</v>
      </c>
      <c r="I128" s="11">
        <f>VLOOKUP(A128,'Operational Data'!$A$2:$E$201,5,FALSE)</f>
        <v>16.989999999999998</v>
      </c>
      <c r="J128" s="21">
        <f t="shared" si="1"/>
        <v>1.3039486794818688E-2</v>
      </c>
    </row>
    <row r="129" spans="1:10" x14ac:dyDescent="0.25">
      <c r="A129" s="20" t="s">
        <v>118</v>
      </c>
      <c r="B129" s="20" t="s">
        <v>30</v>
      </c>
      <c r="C129" s="20" t="s">
        <v>13</v>
      </c>
      <c r="D129" s="20" t="s">
        <v>14</v>
      </c>
      <c r="E129" s="20" t="s">
        <v>24</v>
      </c>
      <c r="F129" s="20">
        <v>2732.08</v>
      </c>
      <c r="G129" s="11">
        <f>VLOOKUP(A129,'Operational Data'!$A$2:$E$201,3,FALSE)</f>
        <v>68492</v>
      </c>
      <c r="H129" s="11">
        <f>VLOOKUP(A129,'Operational Data'!$A$2:$E$201,4,FALSE)</f>
        <v>3533.88</v>
      </c>
      <c r="I129" s="11">
        <f>VLOOKUP(A129,'Operational Data'!$A$2:$E$201,5,FALSE)</f>
        <v>52.99</v>
      </c>
      <c r="J129" s="21">
        <f t="shared" si="1"/>
        <v>3.9889038135840681E-2</v>
      </c>
    </row>
    <row r="130" spans="1:10" x14ac:dyDescent="0.25">
      <c r="A130" s="20" t="s">
        <v>84</v>
      </c>
      <c r="B130" s="20" t="s">
        <v>30</v>
      </c>
      <c r="C130" s="20" t="s">
        <v>13</v>
      </c>
      <c r="D130" s="20" t="s">
        <v>9</v>
      </c>
      <c r="E130" s="20" t="s">
        <v>10</v>
      </c>
      <c r="F130" s="20">
        <v>3114.4974299999999</v>
      </c>
      <c r="G130" s="11">
        <f>VLOOKUP(A130,'Operational Data'!$A$2:$E$201,3,FALSE)</f>
        <v>85444</v>
      </c>
      <c r="H130" s="11">
        <f>VLOOKUP(A130,'Operational Data'!$A$2:$E$201,4,FALSE)</f>
        <v>852.57</v>
      </c>
      <c r="I130" s="11">
        <f>VLOOKUP(A130,'Operational Data'!$A$2:$E$201,5,FALSE)</f>
        <v>72.650000000000006</v>
      </c>
      <c r="J130" s="21">
        <f t="shared" si="1"/>
        <v>3.6450744698281912E-2</v>
      </c>
    </row>
    <row r="131" spans="1:10" x14ac:dyDescent="0.25">
      <c r="A131" s="20" t="s">
        <v>119</v>
      </c>
      <c r="B131" s="20" t="s">
        <v>30</v>
      </c>
      <c r="C131" s="20" t="s">
        <v>23</v>
      </c>
      <c r="D131" s="20" t="s">
        <v>14</v>
      </c>
      <c r="E131" s="20" t="s">
        <v>10</v>
      </c>
      <c r="F131" s="20">
        <v>3329.18</v>
      </c>
      <c r="G131" s="11">
        <f>VLOOKUP(A131,'Operational Data'!$A$2:$E$201,3,FALSE)</f>
        <v>80488</v>
      </c>
      <c r="H131" s="11">
        <f>VLOOKUP(A131,'Operational Data'!$A$2:$E$201,4,FALSE)</f>
        <v>7629.95</v>
      </c>
      <c r="I131" s="11">
        <f>VLOOKUP(A131,'Operational Data'!$A$2:$E$201,5,FALSE)</f>
        <v>63.83</v>
      </c>
      <c r="J131" s="21">
        <f t="shared" ref="J131:J194" si="2">F131/G131</f>
        <v>4.1362439121359701E-2</v>
      </c>
    </row>
    <row r="132" spans="1:10" x14ac:dyDescent="0.25">
      <c r="A132" s="20" t="s">
        <v>120</v>
      </c>
      <c r="B132" s="20" t="s">
        <v>30</v>
      </c>
      <c r="C132" s="20" t="s">
        <v>23</v>
      </c>
      <c r="D132" s="20" t="s">
        <v>28</v>
      </c>
      <c r="E132" s="20" t="s">
        <v>10</v>
      </c>
      <c r="F132" s="20">
        <v>3195.93</v>
      </c>
      <c r="G132" s="11">
        <f>VLOOKUP(A132,'Operational Data'!$A$2:$E$201,3,FALSE)</f>
        <v>79495</v>
      </c>
      <c r="H132" s="11">
        <f>VLOOKUP(A132,'Operational Data'!$A$2:$E$201,4,FALSE)</f>
        <v>7157.48</v>
      </c>
      <c r="I132" s="11">
        <f>VLOOKUP(A132,'Operational Data'!$A$2:$E$201,5,FALSE)</f>
        <v>26.84</v>
      </c>
      <c r="J132" s="21">
        <f t="shared" si="2"/>
        <v>4.0202905843134788E-2</v>
      </c>
    </row>
    <row r="133" spans="1:10" x14ac:dyDescent="0.25">
      <c r="A133" s="20" t="s">
        <v>91</v>
      </c>
      <c r="B133" s="20" t="s">
        <v>30</v>
      </c>
      <c r="C133" s="20" t="s">
        <v>8</v>
      </c>
      <c r="D133" s="20" t="s">
        <v>28</v>
      </c>
      <c r="E133" s="20" t="s">
        <v>15</v>
      </c>
      <c r="F133" s="20">
        <v>1246.5</v>
      </c>
      <c r="G133" s="11">
        <f>VLOOKUP(A133,'Operational Data'!$A$2:$E$201,3,FALSE)</f>
        <v>20207</v>
      </c>
      <c r="H133" s="11">
        <f>VLOOKUP(A133,'Operational Data'!$A$2:$E$201,4,FALSE)</f>
        <v>5369.46</v>
      </c>
      <c r="I133" s="11">
        <f>VLOOKUP(A133,'Operational Data'!$A$2:$E$201,5,FALSE)</f>
        <v>57.51</v>
      </c>
      <c r="J133" s="21">
        <f t="shared" si="2"/>
        <v>6.1686544266838221E-2</v>
      </c>
    </row>
    <row r="134" spans="1:10" x14ac:dyDescent="0.25">
      <c r="A134" s="20" t="s">
        <v>121</v>
      </c>
      <c r="B134" s="20" t="s">
        <v>30</v>
      </c>
      <c r="C134" s="20" t="s">
        <v>8</v>
      </c>
      <c r="D134" s="20" t="s">
        <v>28</v>
      </c>
      <c r="E134" s="20" t="s">
        <v>10</v>
      </c>
      <c r="F134" s="20">
        <v>2737.6</v>
      </c>
      <c r="G134" s="11">
        <f>VLOOKUP(A134,'Operational Data'!$A$2:$E$201,3,FALSE)</f>
        <v>58895</v>
      </c>
      <c r="H134" s="11">
        <f>VLOOKUP(A134,'Operational Data'!$A$2:$E$201,4,FALSE)</f>
        <v>3039.17</v>
      </c>
      <c r="I134" s="11">
        <f>VLOOKUP(A134,'Operational Data'!$A$2:$E$201,5,FALSE)</f>
        <v>59.82</v>
      </c>
      <c r="J134" s="21">
        <f t="shared" si="2"/>
        <v>4.6482723490958486E-2</v>
      </c>
    </row>
    <row r="135" spans="1:10" x14ac:dyDescent="0.25">
      <c r="A135" s="20" t="s">
        <v>122</v>
      </c>
      <c r="B135" s="20" t="s">
        <v>19</v>
      </c>
      <c r="C135" s="20" t="s">
        <v>34</v>
      </c>
      <c r="D135" s="20" t="s">
        <v>28</v>
      </c>
      <c r="E135" s="20" t="s">
        <v>15</v>
      </c>
      <c r="F135" s="20">
        <v>1722.2</v>
      </c>
      <c r="G135" s="11">
        <f>VLOOKUP(A135,'Operational Data'!$A$2:$E$201,3,FALSE)</f>
        <v>95962</v>
      </c>
      <c r="H135" s="11">
        <f>VLOOKUP(A135,'Operational Data'!$A$2:$E$201,4,FALSE)</f>
        <v>524.72</v>
      </c>
      <c r="I135" s="11">
        <f>VLOOKUP(A135,'Operational Data'!$A$2:$E$201,5,FALSE)</f>
        <v>49.55</v>
      </c>
      <c r="J135" s="21">
        <f t="shared" si="2"/>
        <v>1.794668723036202E-2</v>
      </c>
    </row>
    <row r="136" spans="1:10" x14ac:dyDescent="0.25">
      <c r="A136" s="20" t="s">
        <v>123</v>
      </c>
      <c r="B136" s="20" t="s">
        <v>30</v>
      </c>
      <c r="C136" s="20" t="s">
        <v>8</v>
      </c>
      <c r="D136" s="20" t="s">
        <v>14</v>
      </c>
      <c r="E136" s="20" t="s">
        <v>15</v>
      </c>
      <c r="F136" s="20">
        <v>4036.12</v>
      </c>
      <c r="G136" s="11">
        <f>VLOOKUP(A136,'Operational Data'!$A$2:$E$201,3,FALSE)</f>
        <v>73977</v>
      </c>
      <c r="H136" s="11">
        <f>VLOOKUP(A136,'Operational Data'!$A$2:$E$201,4,FALSE)</f>
        <v>1646.75</v>
      </c>
      <c r="I136" s="11">
        <f>VLOOKUP(A136,'Operational Data'!$A$2:$E$201,5,FALSE)</f>
        <v>43.77</v>
      </c>
      <c r="J136" s="21">
        <f t="shared" si="2"/>
        <v>5.4559119726401449E-2</v>
      </c>
    </row>
    <row r="137" spans="1:10" x14ac:dyDescent="0.25">
      <c r="A137" s="20" t="s">
        <v>124</v>
      </c>
      <c r="B137" s="20" t="s">
        <v>12</v>
      </c>
      <c r="C137" s="20" t="s">
        <v>23</v>
      </c>
      <c r="D137" s="20" t="s">
        <v>28</v>
      </c>
      <c r="E137" s="20" t="s">
        <v>10</v>
      </c>
      <c r="F137" s="20">
        <v>897.74</v>
      </c>
      <c r="G137" s="11">
        <f>VLOOKUP(A137,'Operational Data'!$A$2:$E$201,3,FALSE)</f>
        <v>47491</v>
      </c>
      <c r="H137" s="11">
        <f>VLOOKUP(A137,'Operational Data'!$A$2:$E$201,4,FALSE)</f>
        <v>5781.05</v>
      </c>
      <c r="I137" s="11">
        <f>VLOOKUP(A137,'Operational Data'!$A$2:$E$201,5,FALSE)</f>
        <v>92.18</v>
      </c>
      <c r="J137" s="21">
        <f t="shared" si="2"/>
        <v>1.8903371165062854E-2</v>
      </c>
    </row>
    <row r="138" spans="1:10" x14ac:dyDescent="0.25">
      <c r="A138" s="20" t="s">
        <v>125</v>
      </c>
      <c r="B138" s="20" t="s">
        <v>7</v>
      </c>
      <c r="C138" s="20" t="s">
        <v>23</v>
      </c>
      <c r="D138" s="20" t="s">
        <v>14</v>
      </c>
      <c r="E138" s="20" t="s">
        <v>10</v>
      </c>
      <c r="F138" s="20">
        <v>1853.54</v>
      </c>
      <c r="G138" s="11">
        <f>VLOOKUP(A138,'Operational Data'!$A$2:$E$201,3,FALSE)</f>
        <v>56392</v>
      </c>
      <c r="H138" s="11">
        <f>VLOOKUP(A138,'Operational Data'!$A$2:$E$201,4,FALSE)</f>
        <v>5703.76</v>
      </c>
      <c r="I138" s="11">
        <f>VLOOKUP(A138,'Operational Data'!$A$2:$E$201,5,FALSE)</f>
        <v>23.04</v>
      </c>
      <c r="J138" s="21">
        <f t="shared" si="2"/>
        <v>3.2868846644914171E-2</v>
      </c>
    </row>
    <row r="139" spans="1:10" x14ac:dyDescent="0.25">
      <c r="A139" s="20" t="s">
        <v>121</v>
      </c>
      <c r="B139" s="20" t="s">
        <v>30</v>
      </c>
      <c r="C139" s="20" t="s">
        <v>34</v>
      </c>
      <c r="D139" s="20" t="s">
        <v>14</v>
      </c>
      <c r="E139" s="20" t="s">
        <v>15</v>
      </c>
      <c r="F139" s="20">
        <v>4674.16</v>
      </c>
      <c r="G139" s="11">
        <f>VLOOKUP(A139,'Operational Data'!$A$2:$E$201,3,FALSE)</f>
        <v>58895</v>
      </c>
      <c r="H139" s="11">
        <f>VLOOKUP(A139,'Operational Data'!$A$2:$E$201,4,FALSE)</f>
        <v>3039.17</v>
      </c>
      <c r="I139" s="11">
        <f>VLOOKUP(A139,'Operational Data'!$A$2:$E$201,5,FALSE)</f>
        <v>59.82</v>
      </c>
      <c r="J139" s="21">
        <f t="shared" si="2"/>
        <v>7.9364292384752524E-2</v>
      </c>
    </row>
    <row r="140" spans="1:10" x14ac:dyDescent="0.25">
      <c r="A140" s="20" t="s">
        <v>123</v>
      </c>
      <c r="B140" s="20" t="s">
        <v>30</v>
      </c>
      <c r="C140" s="20" t="s">
        <v>13</v>
      </c>
      <c r="D140" s="20" t="s">
        <v>9</v>
      </c>
      <c r="E140" s="20" t="s">
        <v>15</v>
      </c>
      <c r="F140" s="20">
        <v>4723.6000000000004</v>
      </c>
      <c r="G140" s="11">
        <f>VLOOKUP(A140,'Operational Data'!$A$2:$E$201,3,FALSE)</f>
        <v>73977</v>
      </c>
      <c r="H140" s="11">
        <f>VLOOKUP(A140,'Operational Data'!$A$2:$E$201,4,FALSE)</f>
        <v>1646.75</v>
      </c>
      <c r="I140" s="11">
        <f>VLOOKUP(A140,'Operational Data'!$A$2:$E$201,5,FALSE)</f>
        <v>43.77</v>
      </c>
      <c r="J140" s="21">
        <f t="shared" si="2"/>
        <v>6.385227841085743E-2</v>
      </c>
    </row>
    <row r="141" spans="1:10" x14ac:dyDescent="0.25">
      <c r="A141" s="20" t="s">
        <v>117</v>
      </c>
      <c r="B141" s="20" t="s">
        <v>7</v>
      </c>
      <c r="C141" s="20" t="s">
        <v>23</v>
      </c>
      <c r="D141" s="20" t="s">
        <v>9</v>
      </c>
      <c r="E141" s="20" t="s">
        <v>10</v>
      </c>
      <c r="F141" s="20">
        <v>3244.2138880000002</v>
      </c>
      <c r="G141" s="11">
        <f>VLOOKUP(A141,'Operational Data'!$A$2:$E$201,3,FALSE)</f>
        <v>89321</v>
      </c>
      <c r="H141" s="11">
        <f>VLOOKUP(A141,'Operational Data'!$A$2:$E$201,4,FALSE)</f>
        <v>9836.34</v>
      </c>
      <c r="I141" s="11">
        <f>VLOOKUP(A141,'Operational Data'!$A$2:$E$201,5,FALSE)</f>
        <v>16.989999999999998</v>
      </c>
      <c r="J141" s="21">
        <f t="shared" si="2"/>
        <v>3.6320841549019829E-2</v>
      </c>
    </row>
    <row r="142" spans="1:10" x14ac:dyDescent="0.25">
      <c r="A142" s="20" t="s">
        <v>18</v>
      </c>
      <c r="B142" s="20" t="s">
        <v>19</v>
      </c>
      <c r="C142" s="20" t="s">
        <v>13</v>
      </c>
      <c r="D142" s="20" t="s">
        <v>14</v>
      </c>
      <c r="E142" s="20" t="s">
        <v>24</v>
      </c>
      <c r="F142" s="20">
        <v>980.22</v>
      </c>
      <c r="G142" s="11">
        <f>VLOOKUP(A142,'Operational Data'!$A$2:$E$201,3,FALSE)</f>
        <v>98682</v>
      </c>
      <c r="H142" s="11">
        <f>VLOOKUP(A142,'Operational Data'!$A$2:$E$201,4,FALSE)</f>
        <v>6220.56</v>
      </c>
      <c r="I142" s="11">
        <f>VLOOKUP(A142,'Operational Data'!$A$2:$E$201,5,FALSE)</f>
        <v>70.099999999999994</v>
      </c>
      <c r="J142" s="21">
        <f t="shared" si="2"/>
        <v>9.9331185018544411E-3</v>
      </c>
    </row>
    <row r="143" spans="1:10" x14ac:dyDescent="0.25">
      <c r="A143" s="20" t="s">
        <v>126</v>
      </c>
      <c r="B143" s="20" t="s">
        <v>30</v>
      </c>
      <c r="C143" s="20" t="s">
        <v>8</v>
      </c>
      <c r="D143" s="20" t="s">
        <v>28</v>
      </c>
      <c r="E143" s="20" t="s">
        <v>15</v>
      </c>
      <c r="F143" s="20">
        <v>4810.13</v>
      </c>
      <c r="G143" s="11">
        <f>VLOOKUP(A143,'Operational Data'!$A$2:$E$201,3,FALSE)</f>
        <v>35506</v>
      </c>
      <c r="H143" s="11">
        <f>VLOOKUP(A143,'Operational Data'!$A$2:$E$201,4,FALSE)</f>
        <v>1892.04</v>
      </c>
      <c r="I143" s="11">
        <f>VLOOKUP(A143,'Operational Data'!$A$2:$E$201,5,FALSE)</f>
        <v>61.53</v>
      </c>
      <c r="J143" s="21">
        <f t="shared" si="2"/>
        <v>0.13547372275108432</v>
      </c>
    </row>
    <row r="144" spans="1:10" ht="30" x14ac:dyDescent="0.25">
      <c r="A144" s="20" t="s">
        <v>127</v>
      </c>
      <c r="B144" s="20" t="s">
        <v>17</v>
      </c>
      <c r="C144" s="20" t="s">
        <v>23</v>
      </c>
      <c r="D144" s="20" t="s">
        <v>28</v>
      </c>
      <c r="E144" s="20" t="s">
        <v>24</v>
      </c>
      <c r="F144" s="20">
        <v>3868.27</v>
      </c>
      <c r="G144" s="11">
        <f>VLOOKUP(A144,'Operational Data'!$A$2:$E$201,3,FALSE)</f>
        <v>17416</v>
      </c>
      <c r="H144" s="11">
        <f>VLOOKUP(A144,'Operational Data'!$A$2:$E$201,4,FALSE)</f>
        <v>812.06</v>
      </c>
      <c r="I144" s="11">
        <f>VLOOKUP(A144,'Operational Data'!$A$2:$E$201,5,FALSE)</f>
        <v>5.7</v>
      </c>
      <c r="J144" s="21">
        <f t="shared" si="2"/>
        <v>0.22211012861736334</v>
      </c>
    </row>
    <row r="145" spans="1:10" x14ac:dyDescent="0.25">
      <c r="A145" s="20" t="s">
        <v>114</v>
      </c>
      <c r="B145" s="20" t="s">
        <v>30</v>
      </c>
      <c r="C145" s="20" t="s">
        <v>8</v>
      </c>
      <c r="D145" s="20" t="s">
        <v>28</v>
      </c>
      <c r="E145" s="20" t="s">
        <v>24</v>
      </c>
      <c r="F145" s="20">
        <v>714.41</v>
      </c>
      <c r="G145" s="11">
        <f>VLOOKUP(A145,'Operational Data'!$A$2:$E$201,3,FALSE)</f>
        <v>29264</v>
      </c>
      <c r="H145" s="11">
        <f>VLOOKUP(A145,'Operational Data'!$A$2:$E$201,4,FALSE)</f>
        <v>8362.7199999999993</v>
      </c>
      <c r="I145" s="11">
        <f>VLOOKUP(A145,'Operational Data'!$A$2:$E$201,5,FALSE)</f>
        <v>61.93</v>
      </c>
      <c r="J145" s="21">
        <f t="shared" si="2"/>
        <v>2.4412588846364134E-2</v>
      </c>
    </row>
    <row r="146" spans="1:10" x14ac:dyDescent="0.25">
      <c r="A146" s="20" t="s">
        <v>117</v>
      </c>
      <c r="B146" s="20" t="s">
        <v>7</v>
      </c>
      <c r="C146" s="20" t="s">
        <v>13</v>
      </c>
      <c r="D146" s="20" t="s">
        <v>9</v>
      </c>
      <c r="E146" s="20" t="s">
        <v>10</v>
      </c>
      <c r="F146" s="20">
        <v>1121.057894</v>
      </c>
      <c r="G146" s="11">
        <f>VLOOKUP(A146,'Operational Data'!$A$2:$E$201,3,FALSE)</f>
        <v>89321</v>
      </c>
      <c r="H146" s="11">
        <f>VLOOKUP(A146,'Operational Data'!$A$2:$E$201,4,FALSE)</f>
        <v>9836.34</v>
      </c>
      <c r="I146" s="11">
        <f>VLOOKUP(A146,'Operational Data'!$A$2:$E$201,5,FALSE)</f>
        <v>16.989999999999998</v>
      </c>
      <c r="J146" s="21">
        <f t="shared" si="2"/>
        <v>1.2550888301743151E-2</v>
      </c>
    </row>
    <row r="147" spans="1:10" x14ac:dyDescent="0.25">
      <c r="A147" s="20" t="s">
        <v>128</v>
      </c>
      <c r="B147" s="20" t="s">
        <v>12</v>
      </c>
      <c r="C147" s="20" t="s">
        <v>13</v>
      </c>
      <c r="D147" s="20" t="s">
        <v>9</v>
      </c>
      <c r="E147" s="20" t="s">
        <v>24</v>
      </c>
      <c r="F147" s="20">
        <v>1645.674403</v>
      </c>
      <c r="G147" s="11">
        <f>VLOOKUP(A147,'Operational Data'!$A$2:$E$201,3,FALSE)</f>
        <v>29406</v>
      </c>
      <c r="H147" s="11">
        <f>VLOOKUP(A147,'Operational Data'!$A$2:$E$201,4,FALSE)</f>
        <v>5281.69</v>
      </c>
      <c r="I147" s="11">
        <f>VLOOKUP(A147,'Operational Data'!$A$2:$E$201,5,FALSE)</f>
        <v>27.01</v>
      </c>
      <c r="J147" s="21">
        <f t="shared" si="2"/>
        <v>5.5963898626130722E-2</v>
      </c>
    </row>
    <row r="148" spans="1:10" ht="30" x14ac:dyDescent="0.25">
      <c r="A148" s="20" t="s">
        <v>129</v>
      </c>
      <c r="B148" s="20" t="s">
        <v>17</v>
      </c>
      <c r="C148" s="20" t="s">
        <v>34</v>
      </c>
      <c r="D148" s="20" t="s">
        <v>9</v>
      </c>
      <c r="E148" s="20" t="s">
        <v>15</v>
      </c>
      <c r="F148" s="20">
        <v>3519.7372449999998</v>
      </c>
      <c r="G148" s="11">
        <f>VLOOKUP(A148,'Operational Data'!$A$2:$E$201,3,FALSE)</f>
        <v>95292</v>
      </c>
      <c r="H148" s="11">
        <f>VLOOKUP(A148,'Operational Data'!$A$2:$E$201,4,FALSE)</f>
        <v>697.47</v>
      </c>
      <c r="I148" s="11">
        <f>VLOOKUP(A148,'Operational Data'!$A$2:$E$201,5,FALSE)</f>
        <v>88.35</v>
      </c>
      <c r="J148" s="21">
        <f t="shared" si="2"/>
        <v>3.6936335106829532E-2</v>
      </c>
    </row>
    <row r="149" spans="1:10" ht="30" x14ac:dyDescent="0.25">
      <c r="A149" s="20" t="s">
        <v>82</v>
      </c>
      <c r="B149" s="20" t="s">
        <v>17</v>
      </c>
      <c r="C149" s="20" t="s">
        <v>34</v>
      </c>
      <c r="D149" s="20" t="s">
        <v>9</v>
      </c>
      <c r="E149" s="20" t="s">
        <v>24</v>
      </c>
      <c r="F149" s="20">
        <v>2222.6799999999998</v>
      </c>
      <c r="G149" s="11">
        <f>VLOOKUP(A149,'Operational Data'!$A$2:$E$201,3,FALSE)</f>
        <v>93409</v>
      </c>
      <c r="H149" s="11">
        <f>VLOOKUP(A149,'Operational Data'!$A$2:$E$201,4,FALSE)</f>
        <v>2375.83</v>
      </c>
      <c r="I149" s="11">
        <f>VLOOKUP(A149,'Operational Data'!$A$2:$E$201,5,FALSE)</f>
        <v>5.83</v>
      </c>
      <c r="J149" s="21">
        <f t="shared" si="2"/>
        <v>2.3795137513515828E-2</v>
      </c>
    </row>
    <row r="150" spans="1:10" ht="30" x14ac:dyDescent="0.25">
      <c r="A150" s="20" t="s">
        <v>80</v>
      </c>
      <c r="B150" s="20" t="s">
        <v>17</v>
      </c>
      <c r="C150" s="20" t="s">
        <v>34</v>
      </c>
      <c r="D150" s="20" t="s">
        <v>14</v>
      </c>
      <c r="E150" s="20" t="s">
        <v>15</v>
      </c>
      <c r="F150" s="20">
        <v>261.56</v>
      </c>
      <c r="G150" s="11">
        <f>VLOOKUP(A150,'Operational Data'!$A$2:$E$201,3,FALSE)</f>
        <v>75508</v>
      </c>
      <c r="H150" s="11">
        <f>VLOOKUP(A150,'Operational Data'!$A$2:$E$201,4,FALSE)</f>
        <v>6856.22</v>
      </c>
      <c r="I150" s="11">
        <f>VLOOKUP(A150,'Operational Data'!$A$2:$E$201,5,FALSE)</f>
        <v>18.2</v>
      </c>
      <c r="J150" s="21">
        <f t="shared" si="2"/>
        <v>3.4640038141653864E-3</v>
      </c>
    </row>
    <row r="151" spans="1:10" x14ac:dyDescent="0.25">
      <c r="A151" s="20" t="s">
        <v>63</v>
      </c>
      <c r="B151" s="20" t="s">
        <v>12</v>
      </c>
      <c r="C151" s="20" t="s">
        <v>34</v>
      </c>
      <c r="D151" s="20" t="s">
        <v>9</v>
      </c>
      <c r="E151" s="20" t="s">
        <v>24</v>
      </c>
      <c r="F151" s="20">
        <v>4724.5603350000001</v>
      </c>
      <c r="G151" s="11">
        <f>VLOOKUP(A151,'Operational Data'!$A$2:$E$201,3,FALSE)</f>
        <v>33688</v>
      </c>
      <c r="H151" s="11">
        <f>VLOOKUP(A151,'Operational Data'!$A$2:$E$201,4,FALSE)</f>
        <v>9495.48</v>
      </c>
      <c r="I151" s="11">
        <f>VLOOKUP(A151,'Operational Data'!$A$2:$E$201,5,FALSE)</f>
        <v>55.55</v>
      </c>
      <c r="J151" s="21">
        <f t="shared" si="2"/>
        <v>0.14024460742697697</v>
      </c>
    </row>
    <row r="152" spans="1:10" x14ac:dyDescent="0.25">
      <c r="A152" s="20" t="s">
        <v>130</v>
      </c>
      <c r="B152" s="20" t="s">
        <v>12</v>
      </c>
      <c r="C152" s="20" t="s">
        <v>13</v>
      </c>
      <c r="D152" s="20" t="s">
        <v>14</v>
      </c>
      <c r="E152" s="20" t="s">
        <v>10</v>
      </c>
      <c r="F152" s="20">
        <v>1696.11</v>
      </c>
      <c r="G152" s="11">
        <f>VLOOKUP(A152,'Operational Data'!$A$2:$E$201,3,FALSE)</f>
        <v>82332</v>
      </c>
      <c r="H152" s="11">
        <f>VLOOKUP(A152,'Operational Data'!$A$2:$E$201,4,FALSE)</f>
        <v>7134.86</v>
      </c>
      <c r="I152" s="11">
        <f>VLOOKUP(A152,'Operational Data'!$A$2:$E$201,5,FALSE)</f>
        <v>22.44</v>
      </c>
      <c r="J152" s="21">
        <f t="shared" si="2"/>
        <v>2.060085993295438E-2</v>
      </c>
    </row>
    <row r="153" spans="1:10" ht="30" x14ac:dyDescent="0.25">
      <c r="A153" s="20" t="s">
        <v>131</v>
      </c>
      <c r="B153" s="20" t="s">
        <v>17</v>
      </c>
      <c r="C153" s="20" t="s">
        <v>13</v>
      </c>
      <c r="D153" s="20" t="s">
        <v>28</v>
      </c>
      <c r="E153" s="20" t="s">
        <v>24</v>
      </c>
      <c r="F153" s="20">
        <v>1447.34</v>
      </c>
      <c r="G153" s="11">
        <f>VLOOKUP(A153,'Operational Data'!$A$2:$E$201,3,FALSE)</f>
        <v>94128</v>
      </c>
      <c r="H153" s="11">
        <f>VLOOKUP(A153,'Operational Data'!$A$2:$E$201,4,FALSE)</f>
        <v>8117.82</v>
      </c>
      <c r="I153" s="11">
        <f>VLOOKUP(A153,'Operational Data'!$A$2:$E$201,5,FALSE)</f>
        <v>73.83</v>
      </c>
      <c r="J153" s="21">
        <f t="shared" si="2"/>
        <v>1.5376296107428182E-2</v>
      </c>
    </row>
    <row r="154" spans="1:10" x14ac:dyDescent="0.25">
      <c r="A154" s="20" t="s">
        <v>132</v>
      </c>
      <c r="B154" s="20" t="s">
        <v>19</v>
      </c>
      <c r="C154" s="20" t="s">
        <v>13</v>
      </c>
      <c r="D154" s="20" t="s">
        <v>14</v>
      </c>
      <c r="E154" s="20" t="s">
        <v>24</v>
      </c>
      <c r="F154" s="20">
        <v>3456.69</v>
      </c>
      <c r="G154" s="11">
        <f>VLOOKUP(A154,'Operational Data'!$A$2:$E$201,3,FALSE)</f>
        <v>29860</v>
      </c>
      <c r="H154" s="11">
        <f>VLOOKUP(A154,'Operational Data'!$A$2:$E$201,4,FALSE)</f>
        <v>3956.23</v>
      </c>
      <c r="I154" s="11">
        <f>VLOOKUP(A154,'Operational Data'!$A$2:$E$201,5,FALSE)</f>
        <v>57.5</v>
      </c>
      <c r="J154" s="21">
        <f t="shared" si="2"/>
        <v>0.11576322839919626</v>
      </c>
    </row>
    <row r="155" spans="1:10" x14ac:dyDescent="0.25">
      <c r="A155" s="20" t="s">
        <v>47</v>
      </c>
      <c r="B155" s="20" t="s">
        <v>30</v>
      </c>
      <c r="C155" s="20" t="s">
        <v>34</v>
      </c>
      <c r="D155" s="20" t="s">
        <v>28</v>
      </c>
      <c r="E155" s="20" t="s">
        <v>10</v>
      </c>
      <c r="F155" s="20">
        <v>1842.07</v>
      </c>
      <c r="G155" s="11">
        <f>VLOOKUP(A155,'Operational Data'!$A$2:$E$201,3,FALSE)</f>
        <v>53661</v>
      </c>
      <c r="H155" s="11">
        <f>VLOOKUP(A155,'Operational Data'!$A$2:$E$201,4,FALSE)</f>
        <v>6965.81</v>
      </c>
      <c r="I155" s="11">
        <f>VLOOKUP(A155,'Operational Data'!$A$2:$E$201,5,FALSE)</f>
        <v>69.400000000000006</v>
      </c>
      <c r="J155" s="21">
        <f t="shared" si="2"/>
        <v>3.4327910400477064E-2</v>
      </c>
    </row>
    <row r="156" spans="1:10" ht="30" x14ac:dyDescent="0.25">
      <c r="A156" s="20" t="s">
        <v>133</v>
      </c>
      <c r="B156" s="20" t="s">
        <v>17</v>
      </c>
      <c r="C156" s="20" t="s">
        <v>13</v>
      </c>
      <c r="D156" s="20" t="s">
        <v>9</v>
      </c>
      <c r="E156" s="20" t="s">
        <v>15</v>
      </c>
      <c r="F156" s="20">
        <v>670.69</v>
      </c>
      <c r="G156" s="11">
        <f>VLOOKUP(A156,'Operational Data'!$A$2:$E$201,3,FALSE)</f>
        <v>48501</v>
      </c>
      <c r="H156" s="11">
        <f>VLOOKUP(A156,'Operational Data'!$A$2:$E$201,4,FALSE)</f>
        <v>7209.77</v>
      </c>
      <c r="I156" s="11">
        <f>VLOOKUP(A156,'Operational Data'!$A$2:$E$201,5,FALSE)</f>
        <v>92.51</v>
      </c>
      <c r="J156" s="21">
        <f t="shared" si="2"/>
        <v>1.3828374672687162E-2</v>
      </c>
    </row>
    <row r="157" spans="1:10" x14ac:dyDescent="0.25">
      <c r="A157" s="20" t="s">
        <v>134</v>
      </c>
      <c r="B157" s="20" t="s">
        <v>7</v>
      </c>
      <c r="C157" s="20" t="s">
        <v>23</v>
      </c>
      <c r="D157" s="20" t="s">
        <v>9</v>
      </c>
      <c r="E157" s="20" t="s">
        <v>15</v>
      </c>
      <c r="F157" s="20">
        <v>1143.20198</v>
      </c>
      <c r="G157" s="11">
        <f>VLOOKUP(A157,'Operational Data'!$A$2:$E$201,3,FALSE)</f>
        <v>39568</v>
      </c>
      <c r="H157" s="11">
        <f>VLOOKUP(A157,'Operational Data'!$A$2:$E$201,4,FALSE)</f>
        <v>3580.54</v>
      </c>
      <c r="I157" s="11">
        <f>VLOOKUP(A157,'Operational Data'!$A$2:$E$201,5,FALSE)</f>
        <v>78.08</v>
      </c>
      <c r="J157" s="21">
        <f t="shared" si="2"/>
        <v>2.889208400727861E-2</v>
      </c>
    </row>
    <row r="158" spans="1:10" ht="30" x14ac:dyDescent="0.25">
      <c r="A158" s="20" t="s">
        <v>80</v>
      </c>
      <c r="B158" s="20" t="s">
        <v>17</v>
      </c>
      <c r="C158" s="20" t="s">
        <v>23</v>
      </c>
      <c r="D158" s="20" t="s">
        <v>9</v>
      </c>
      <c r="E158" s="20" t="s">
        <v>10</v>
      </c>
      <c r="F158" s="20">
        <v>3475.5149740000002</v>
      </c>
      <c r="G158" s="11">
        <f>VLOOKUP(A158,'Operational Data'!$A$2:$E$201,3,FALSE)</f>
        <v>75508</v>
      </c>
      <c r="H158" s="11">
        <f>VLOOKUP(A158,'Operational Data'!$A$2:$E$201,4,FALSE)</f>
        <v>6856.22</v>
      </c>
      <c r="I158" s="11">
        <f>VLOOKUP(A158,'Operational Data'!$A$2:$E$201,5,FALSE)</f>
        <v>18.2</v>
      </c>
      <c r="J158" s="21">
        <f t="shared" si="2"/>
        <v>4.6028433728876411E-2</v>
      </c>
    </row>
    <row r="159" spans="1:10" x14ac:dyDescent="0.25">
      <c r="A159" s="20" t="s">
        <v>92</v>
      </c>
      <c r="B159" s="20" t="s">
        <v>30</v>
      </c>
      <c r="C159" s="20" t="s">
        <v>34</v>
      </c>
      <c r="D159" s="20" t="s">
        <v>28</v>
      </c>
      <c r="E159" s="20" t="s">
        <v>10</v>
      </c>
      <c r="F159" s="20">
        <v>1313.1</v>
      </c>
      <c r="G159" s="11">
        <f>VLOOKUP(A159,'Operational Data'!$A$2:$E$201,3,FALSE)</f>
        <v>18726</v>
      </c>
      <c r="H159" s="11">
        <f>VLOOKUP(A159,'Operational Data'!$A$2:$E$201,4,FALSE)</f>
        <v>5099.54</v>
      </c>
      <c r="I159" s="11">
        <f>VLOOKUP(A159,'Operational Data'!$A$2:$E$201,5,FALSE)</f>
        <v>71.05</v>
      </c>
      <c r="J159" s="21">
        <f t="shared" si="2"/>
        <v>7.0121755847484771E-2</v>
      </c>
    </row>
    <row r="160" spans="1:10" x14ac:dyDescent="0.25">
      <c r="A160" s="20" t="s">
        <v>90</v>
      </c>
      <c r="B160" s="20" t="s">
        <v>19</v>
      </c>
      <c r="C160" s="20" t="s">
        <v>13</v>
      </c>
      <c r="D160" s="20" t="s">
        <v>14</v>
      </c>
      <c r="E160" s="20" t="s">
        <v>24</v>
      </c>
      <c r="F160" s="20">
        <v>2271.65</v>
      </c>
      <c r="G160" s="11">
        <f>VLOOKUP(A160,'Operational Data'!$A$2:$E$201,3,FALSE)</f>
        <v>97337</v>
      </c>
      <c r="H160" s="11">
        <f>VLOOKUP(A160,'Operational Data'!$A$2:$E$201,4,FALSE)</f>
        <v>3362.06</v>
      </c>
      <c r="I160" s="11">
        <f>VLOOKUP(A160,'Operational Data'!$A$2:$E$201,5,FALSE)</f>
        <v>55.46</v>
      </c>
      <c r="J160" s="21">
        <f t="shared" si="2"/>
        <v>2.3337990692131463E-2</v>
      </c>
    </row>
    <row r="161" spans="1:10" ht="30" x14ac:dyDescent="0.25">
      <c r="A161" s="20" t="s">
        <v>80</v>
      </c>
      <c r="B161" s="20" t="s">
        <v>17</v>
      </c>
      <c r="C161" s="20" t="s">
        <v>8</v>
      </c>
      <c r="D161" s="20" t="s">
        <v>9</v>
      </c>
      <c r="E161" s="20" t="s">
        <v>15</v>
      </c>
      <c r="F161" s="20">
        <v>4185.7462960000003</v>
      </c>
      <c r="G161" s="11">
        <f>VLOOKUP(A161,'Operational Data'!$A$2:$E$201,3,FALSE)</f>
        <v>75508</v>
      </c>
      <c r="H161" s="11">
        <f>VLOOKUP(A161,'Operational Data'!$A$2:$E$201,4,FALSE)</f>
        <v>6856.22</v>
      </c>
      <c r="I161" s="11">
        <f>VLOOKUP(A161,'Operational Data'!$A$2:$E$201,5,FALSE)</f>
        <v>18.2</v>
      </c>
      <c r="J161" s="21">
        <f t="shared" si="2"/>
        <v>5.5434474439794462E-2</v>
      </c>
    </row>
    <row r="162" spans="1:10" x14ac:dyDescent="0.25">
      <c r="A162" s="20" t="s">
        <v>86</v>
      </c>
      <c r="B162" s="20" t="s">
        <v>19</v>
      </c>
      <c r="C162" s="20" t="s">
        <v>13</v>
      </c>
      <c r="D162" s="20" t="s">
        <v>9</v>
      </c>
      <c r="E162" s="20" t="s">
        <v>10</v>
      </c>
      <c r="F162" s="20">
        <v>704.33660399999997</v>
      </c>
      <c r="G162" s="11">
        <f>VLOOKUP(A162,'Operational Data'!$A$2:$E$201,3,FALSE)</f>
        <v>56531</v>
      </c>
      <c r="H162" s="11">
        <f>VLOOKUP(A162,'Operational Data'!$A$2:$E$201,4,FALSE)</f>
        <v>8958.07</v>
      </c>
      <c r="I162" s="11">
        <f>VLOOKUP(A162,'Operational Data'!$A$2:$E$201,5,FALSE)</f>
        <v>83.44</v>
      </c>
      <c r="J162" s="21">
        <f t="shared" si="2"/>
        <v>1.2459298508782791E-2</v>
      </c>
    </row>
    <row r="163" spans="1:10" x14ac:dyDescent="0.25">
      <c r="A163" s="20" t="s">
        <v>135</v>
      </c>
      <c r="B163" s="20" t="s">
        <v>12</v>
      </c>
      <c r="C163" s="20" t="s">
        <v>8</v>
      </c>
      <c r="D163" s="20" t="s">
        <v>9</v>
      </c>
      <c r="E163" s="20" t="s">
        <v>24</v>
      </c>
      <c r="F163" s="20">
        <v>801.11</v>
      </c>
      <c r="G163" s="11">
        <f>VLOOKUP(A163,'Operational Data'!$A$2:$E$201,3,FALSE)</f>
        <v>39560</v>
      </c>
      <c r="H163" s="11">
        <f>VLOOKUP(A163,'Operational Data'!$A$2:$E$201,4,FALSE)</f>
        <v>8380.77</v>
      </c>
      <c r="I163" s="11">
        <f>VLOOKUP(A163,'Operational Data'!$A$2:$E$201,5,FALSE)</f>
        <v>94.01</v>
      </c>
      <c r="J163" s="21">
        <f t="shared" si="2"/>
        <v>2.0250505561172902E-2</v>
      </c>
    </row>
    <row r="164" spans="1:10" x14ac:dyDescent="0.25">
      <c r="A164" s="20" t="s">
        <v>21</v>
      </c>
      <c r="B164" s="20" t="s">
        <v>19</v>
      </c>
      <c r="C164" s="20" t="s">
        <v>13</v>
      </c>
      <c r="D164" s="20" t="s">
        <v>14</v>
      </c>
      <c r="E164" s="20" t="s">
        <v>10</v>
      </c>
      <c r="F164" s="20">
        <v>1685.02</v>
      </c>
      <c r="G164" s="11">
        <f>VLOOKUP(A164,'Operational Data'!$A$2:$E$201,3,FALSE)</f>
        <v>61157</v>
      </c>
      <c r="H164" s="11">
        <f>VLOOKUP(A164,'Operational Data'!$A$2:$E$201,4,FALSE)</f>
        <v>7331.54</v>
      </c>
      <c r="I164" s="11">
        <f>VLOOKUP(A164,'Operational Data'!$A$2:$E$201,5,FALSE)</f>
        <v>55.52</v>
      </c>
      <c r="J164" s="21">
        <f t="shared" si="2"/>
        <v>2.7552365223931848E-2</v>
      </c>
    </row>
    <row r="165" spans="1:10" x14ac:dyDescent="0.25">
      <c r="A165" s="20" t="s">
        <v>132</v>
      </c>
      <c r="B165" s="20" t="s">
        <v>19</v>
      </c>
      <c r="C165" s="20" t="s">
        <v>8</v>
      </c>
      <c r="D165" s="20" t="s">
        <v>14</v>
      </c>
      <c r="E165" s="20" t="s">
        <v>10</v>
      </c>
      <c r="F165" s="20">
        <v>4811.95</v>
      </c>
      <c r="G165" s="11">
        <f>VLOOKUP(A165,'Operational Data'!$A$2:$E$201,3,FALSE)</f>
        <v>29860</v>
      </c>
      <c r="H165" s="11">
        <f>VLOOKUP(A165,'Operational Data'!$A$2:$E$201,4,FALSE)</f>
        <v>3956.23</v>
      </c>
      <c r="I165" s="11">
        <f>VLOOKUP(A165,'Operational Data'!$A$2:$E$201,5,FALSE)</f>
        <v>57.5</v>
      </c>
      <c r="J165" s="21">
        <f t="shared" si="2"/>
        <v>0.16115036838580041</v>
      </c>
    </row>
    <row r="166" spans="1:10" ht="30" x14ac:dyDescent="0.25">
      <c r="A166" s="20" t="s">
        <v>136</v>
      </c>
      <c r="B166" s="20" t="s">
        <v>17</v>
      </c>
      <c r="C166" s="20" t="s">
        <v>23</v>
      </c>
      <c r="D166" s="20" t="s">
        <v>9</v>
      </c>
      <c r="E166" s="20" t="s">
        <v>24</v>
      </c>
      <c r="F166" s="20">
        <v>5093.5156129999996</v>
      </c>
      <c r="G166" s="11">
        <f>VLOOKUP(A166,'Operational Data'!$A$2:$E$201,3,FALSE)</f>
        <v>15128</v>
      </c>
      <c r="H166" s="11">
        <f>VLOOKUP(A166,'Operational Data'!$A$2:$E$201,4,FALSE)</f>
        <v>8847.09</v>
      </c>
      <c r="I166" s="11">
        <f>VLOOKUP(A166,'Operational Data'!$A$2:$E$201,5,FALSE)</f>
        <v>5.25</v>
      </c>
      <c r="J166" s="21">
        <f t="shared" si="2"/>
        <v>0.33669458044685346</v>
      </c>
    </row>
    <row r="167" spans="1:10" x14ac:dyDescent="0.25">
      <c r="A167" s="20" t="s">
        <v>120</v>
      </c>
      <c r="B167" s="20" t="s">
        <v>30</v>
      </c>
      <c r="C167" s="20" t="s">
        <v>23</v>
      </c>
      <c r="D167" s="20" t="s">
        <v>9</v>
      </c>
      <c r="E167" s="20" t="s">
        <v>24</v>
      </c>
      <c r="F167" s="20">
        <v>4205.3747649999996</v>
      </c>
      <c r="G167" s="11">
        <f>VLOOKUP(A167,'Operational Data'!$A$2:$E$201,3,FALSE)</f>
        <v>79495</v>
      </c>
      <c r="H167" s="11">
        <f>VLOOKUP(A167,'Operational Data'!$A$2:$E$201,4,FALSE)</f>
        <v>7157.48</v>
      </c>
      <c r="I167" s="11">
        <f>VLOOKUP(A167,'Operational Data'!$A$2:$E$201,5,FALSE)</f>
        <v>26.84</v>
      </c>
      <c r="J167" s="21">
        <f t="shared" si="2"/>
        <v>5.2901122900811365E-2</v>
      </c>
    </row>
    <row r="168" spans="1:10" x14ac:dyDescent="0.25">
      <c r="A168" s="20" t="s">
        <v>56</v>
      </c>
      <c r="B168" s="20" t="s">
        <v>19</v>
      </c>
      <c r="C168" s="20" t="s">
        <v>23</v>
      </c>
      <c r="D168" s="20" t="s">
        <v>9</v>
      </c>
      <c r="E168" s="20" t="s">
        <v>15</v>
      </c>
      <c r="F168" s="20">
        <v>1288.354116</v>
      </c>
      <c r="G168" s="11">
        <f>VLOOKUP(A168,'Operational Data'!$A$2:$E$201,3,FALSE)</f>
        <v>43747</v>
      </c>
      <c r="H168" s="11">
        <f>VLOOKUP(A168,'Operational Data'!$A$2:$E$201,4,FALSE)</f>
        <v>3453.48</v>
      </c>
      <c r="I168" s="11">
        <f>VLOOKUP(A168,'Operational Data'!$A$2:$E$201,5,FALSE)</f>
        <v>98.78</v>
      </c>
      <c r="J168" s="21">
        <f t="shared" si="2"/>
        <v>2.9450113516355406E-2</v>
      </c>
    </row>
    <row r="169" spans="1:10" x14ac:dyDescent="0.25">
      <c r="A169" s="20" t="s">
        <v>93</v>
      </c>
      <c r="B169" s="20" t="s">
        <v>30</v>
      </c>
      <c r="C169" s="20" t="s">
        <v>8</v>
      </c>
      <c r="D169" s="20" t="s">
        <v>14</v>
      </c>
      <c r="E169" s="20" t="s">
        <v>24</v>
      </c>
      <c r="F169" s="20">
        <v>2663.02</v>
      </c>
      <c r="G169" s="11">
        <f>VLOOKUP(A169,'Operational Data'!$A$2:$E$201,3,FALSE)</f>
        <v>26378</v>
      </c>
      <c r="H169" s="11">
        <f>VLOOKUP(A169,'Operational Data'!$A$2:$E$201,4,FALSE)</f>
        <v>2915.44</v>
      </c>
      <c r="I169" s="11">
        <f>VLOOKUP(A169,'Operational Data'!$A$2:$E$201,5,FALSE)</f>
        <v>29.84</v>
      </c>
      <c r="J169" s="21">
        <f t="shared" si="2"/>
        <v>0.1009560997801198</v>
      </c>
    </row>
    <row r="170" spans="1:10" ht="30" x14ac:dyDescent="0.25">
      <c r="A170" s="20" t="s">
        <v>136</v>
      </c>
      <c r="B170" s="20" t="s">
        <v>17</v>
      </c>
      <c r="C170" s="20" t="s">
        <v>8</v>
      </c>
      <c r="D170" s="20" t="s">
        <v>14</v>
      </c>
      <c r="E170" s="20" t="s">
        <v>10</v>
      </c>
      <c r="F170" s="20">
        <v>2844.55</v>
      </c>
      <c r="G170" s="11">
        <f>VLOOKUP(A170,'Operational Data'!$A$2:$E$201,3,FALSE)</f>
        <v>15128</v>
      </c>
      <c r="H170" s="11">
        <f>VLOOKUP(A170,'Operational Data'!$A$2:$E$201,4,FALSE)</f>
        <v>8847.09</v>
      </c>
      <c r="I170" s="11">
        <f>VLOOKUP(A170,'Operational Data'!$A$2:$E$201,5,FALSE)</f>
        <v>5.25</v>
      </c>
      <c r="J170" s="21">
        <f t="shared" si="2"/>
        <v>0.18803212585933371</v>
      </c>
    </row>
    <row r="171" spans="1:10" ht="30" x14ac:dyDescent="0.25">
      <c r="A171" s="20" t="s">
        <v>137</v>
      </c>
      <c r="B171" s="20" t="s">
        <v>17</v>
      </c>
      <c r="C171" s="20" t="s">
        <v>13</v>
      </c>
      <c r="D171" s="20" t="s">
        <v>28</v>
      </c>
      <c r="E171" s="20" t="s">
        <v>10</v>
      </c>
      <c r="F171" s="20">
        <v>1998.08</v>
      </c>
      <c r="G171" s="11">
        <f>VLOOKUP(A171,'Operational Data'!$A$2:$E$201,3,FALSE)</f>
        <v>19265</v>
      </c>
      <c r="H171" s="11">
        <f>VLOOKUP(A171,'Operational Data'!$A$2:$E$201,4,FALSE)</f>
        <v>776.6</v>
      </c>
      <c r="I171" s="11">
        <f>VLOOKUP(A171,'Operational Data'!$A$2:$E$201,5,FALSE)</f>
        <v>39.75</v>
      </c>
      <c r="J171" s="21">
        <f t="shared" si="2"/>
        <v>0.10371554632753698</v>
      </c>
    </row>
    <row r="172" spans="1:10" x14ac:dyDescent="0.25">
      <c r="A172" s="20" t="s">
        <v>53</v>
      </c>
      <c r="B172" s="20" t="s">
        <v>7</v>
      </c>
      <c r="C172" s="20" t="s">
        <v>23</v>
      </c>
      <c r="D172" s="20" t="s">
        <v>14</v>
      </c>
      <c r="E172" s="20" t="s">
        <v>10</v>
      </c>
      <c r="F172" s="20">
        <v>241.97</v>
      </c>
      <c r="G172" s="11">
        <f>VLOOKUP(A172,'Operational Data'!$A$2:$E$201,3,FALSE)</f>
        <v>90632</v>
      </c>
      <c r="H172" s="11">
        <f>VLOOKUP(A172,'Operational Data'!$A$2:$E$201,4,FALSE)</f>
        <v>5292.17</v>
      </c>
      <c r="I172" s="11">
        <f>VLOOKUP(A172,'Operational Data'!$A$2:$E$201,5,FALSE)</f>
        <v>78.45</v>
      </c>
      <c r="J172" s="21">
        <f t="shared" si="2"/>
        <v>2.6698075734839792E-3</v>
      </c>
    </row>
    <row r="173" spans="1:10" x14ac:dyDescent="0.25">
      <c r="A173" s="20" t="s">
        <v>138</v>
      </c>
      <c r="B173" s="20" t="s">
        <v>12</v>
      </c>
      <c r="C173" s="20" t="s">
        <v>13</v>
      </c>
      <c r="D173" s="20" t="s">
        <v>9</v>
      </c>
      <c r="E173" s="20" t="s">
        <v>15</v>
      </c>
      <c r="F173" s="20">
        <v>2907.8946660000001</v>
      </c>
      <c r="G173" s="11">
        <f>VLOOKUP(A173,'Operational Data'!$A$2:$E$201,3,FALSE)</f>
        <v>57353</v>
      </c>
      <c r="H173" s="11">
        <f>VLOOKUP(A173,'Operational Data'!$A$2:$E$201,4,FALSE)</f>
        <v>2274.71</v>
      </c>
      <c r="I173" s="11">
        <f>VLOOKUP(A173,'Operational Data'!$A$2:$E$201,5,FALSE)</f>
        <v>65.34</v>
      </c>
      <c r="J173" s="21">
        <f t="shared" si="2"/>
        <v>5.0701701149024468E-2</v>
      </c>
    </row>
    <row r="174" spans="1:10" x14ac:dyDescent="0.25">
      <c r="A174" s="20" t="s">
        <v>64</v>
      </c>
      <c r="B174" s="20" t="s">
        <v>30</v>
      </c>
      <c r="C174" s="20" t="s">
        <v>23</v>
      </c>
      <c r="D174" s="20" t="s">
        <v>9</v>
      </c>
      <c r="E174" s="20" t="s">
        <v>15</v>
      </c>
      <c r="F174" s="20">
        <v>4728.95</v>
      </c>
      <c r="G174" s="11">
        <f>VLOOKUP(A174,'Operational Data'!$A$2:$E$201,3,FALSE)</f>
        <v>52836</v>
      </c>
      <c r="H174" s="11">
        <f>VLOOKUP(A174,'Operational Data'!$A$2:$E$201,4,FALSE)</f>
        <v>9330.2999999999993</v>
      </c>
      <c r="I174" s="11">
        <f>VLOOKUP(A174,'Operational Data'!$A$2:$E$201,5,FALSE)</f>
        <v>87.27</v>
      </c>
      <c r="J174" s="21">
        <f t="shared" si="2"/>
        <v>8.9502422590657882E-2</v>
      </c>
    </row>
    <row r="175" spans="1:10" x14ac:dyDescent="0.25">
      <c r="A175" s="20" t="s">
        <v>50</v>
      </c>
      <c r="B175" s="20" t="s">
        <v>19</v>
      </c>
      <c r="C175" s="20" t="s">
        <v>13</v>
      </c>
      <c r="D175" s="20" t="s">
        <v>14</v>
      </c>
      <c r="E175" s="20" t="s">
        <v>24</v>
      </c>
      <c r="F175" s="20">
        <v>4265.8500000000004</v>
      </c>
      <c r="G175" s="11">
        <f>VLOOKUP(A175,'Operational Data'!$A$2:$E$201,3,FALSE)</f>
        <v>40577</v>
      </c>
      <c r="H175" s="11">
        <f>VLOOKUP(A175,'Operational Data'!$A$2:$E$201,4,FALSE)</f>
        <v>4280.82</v>
      </c>
      <c r="I175" s="11">
        <f>VLOOKUP(A175,'Operational Data'!$A$2:$E$201,5,FALSE)</f>
        <v>79.88</v>
      </c>
      <c r="J175" s="21">
        <f t="shared" si="2"/>
        <v>0.10512975330852455</v>
      </c>
    </row>
    <row r="176" spans="1:10" x14ac:dyDescent="0.25">
      <c r="A176" s="20" t="s">
        <v>139</v>
      </c>
      <c r="B176" s="20" t="s">
        <v>7</v>
      </c>
      <c r="C176" s="20" t="s">
        <v>23</v>
      </c>
      <c r="D176" s="20" t="s">
        <v>9</v>
      </c>
      <c r="E176" s="20" t="s">
        <v>24</v>
      </c>
      <c r="F176" s="20">
        <v>2361.5527539999998</v>
      </c>
      <c r="G176" s="11">
        <f>VLOOKUP(A176,'Operational Data'!$A$2:$E$201,3,FALSE)</f>
        <v>10067</v>
      </c>
      <c r="H176" s="11">
        <f>VLOOKUP(A176,'Operational Data'!$A$2:$E$201,4,FALSE)</f>
        <v>1953.33</v>
      </c>
      <c r="I176" s="11">
        <f>VLOOKUP(A176,'Operational Data'!$A$2:$E$201,5,FALSE)</f>
        <v>25.15</v>
      </c>
      <c r="J176" s="21">
        <f t="shared" si="2"/>
        <v>0.23458356551107579</v>
      </c>
    </row>
    <row r="177" spans="1:10" ht="30" x14ac:dyDescent="0.25">
      <c r="A177" s="20" t="s">
        <v>58</v>
      </c>
      <c r="B177" s="20" t="s">
        <v>17</v>
      </c>
      <c r="C177" s="20" t="s">
        <v>23</v>
      </c>
      <c r="D177" s="20" t="s">
        <v>14</v>
      </c>
      <c r="E177" s="20" t="s">
        <v>10</v>
      </c>
      <c r="F177" s="20">
        <v>235.74</v>
      </c>
      <c r="G177" s="11">
        <f>VLOOKUP(A177,'Operational Data'!$A$2:$E$201,3,FALSE)</f>
        <v>32246</v>
      </c>
      <c r="H177" s="11">
        <f>VLOOKUP(A177,'Operational Data'!$A$2:$E$201,4,FALSE)</f>
        <v>7903.93</v>
      </c>
      <c r="I177" s="11">
        <f>VLOOKUP(A177,'Operational Data'!$A$2:$E$201,5,FALSE)</f>
        <v>42.12</v>
      </c>
      <c r="J177" s="21">
        <f t="shared" si="2"/>
        <v>7.3106741921478632E-3</v>
      </c>
    </row>
    <row r="178" spans="1:10" x14ac:dyDescent="0.25">
      <c r="A178" s="20" t="s">
        <v>88</v>
      </c>
      <c r="B178" s="20" t="s">
        <v>7</v>
      </c>
      <c r="C178" s="20" t="s">
        <v>23</v>
      </c>
      <c r="D178" s="20" t="s">
        <v>28</v>
      </c>
      <c r="E178" s="20" t="s">
        <v>10</v>
      </c>
      <c r="F178" s="20">
        <v>2737</v>
      </c>
      <c r="G178" s="11">
        <f>VLOOKUP(A178,'Operational Data'!$A$2:$E$201,3,FALSE)</f>
        <v>44825</v>
      </c>
      <c r="H178" s="11">
        <f>VLOOKUP(A178,'Operational Data'!$A$2:$E$201,4,FALSE)</f>
        <v>6023.03</v>
      </c>
      <c r="I178" s="11">
        <f>VLOOKUP(A178,'Operational Data'!$A$2:$E$201,5,FALSE)</f>
        <v>27.2</v>
      </c>
      <c r="J178" s="21">
        <f t="shared" si="2"/>
        <v>6.1059676519799218E-2</v>
      </c>
    </row>
    <row r="179" spans="1:10" ht="30" x14ac:dyDescent="0.25">
      <c r="A179" s="20" t="s">
        <v>140</v>
      </c>
      <c r="B179" s="20" t="s">
        <v>17</v>
      </c>
      <c r="C179" s="20" t="s">
        <v>8</v>
      </c>
      <c r="D179" s="20" t="s">
        <v>28</v>
      </c>
      <c r="E179" s="20" t="s">
        <v>15</v>
      </c>
      <c r="F179" s="20">
        <v>1539.15</v>
      </c>
      <c r="G179" s="11">
        <f>VLOOKUP(A179,'Operational Data'!$A$2:$E$201,3,FALSE)</f>
        <v>88308</v>
      </c>
      <c r="H179" s="11">
        <f>VLOOKUP(A179,'Operational Data'!$A$2:$E$201,4,FALSE)</f>
        <v>7802.07</v>
      </c>
      <c r="I179" s="11">
        <f>VLOOKUP(A179,'Operational Data'!$A$2:$E$201,5,FALSE)</f>
        <v>36.130000000000003</v>
      </c>
      <c r="J179" s="21">
        <f t="shared" si="2"/>
        <v>1.7429338225302352E-2</v>
      </c>
    </row>
    <row r="180" spans="1:10" ht="30" x14ac:dyDescent="0.25">
      <c r="A180" s="20" t="s">
        <v>82</v>
      </c>
      <c r="B180" s="20" t="s">
        <v>17</v>
      </c>
      <c r="C180" s="20" t="s">
        <v>8</v>
      </c>
      <c r="D180" s="20" t="s">
        <v>28</v>
      </c>
      <c r="E180" s="20" t="s">
        <v>10</v>
      </c>
      <c r="F180" s="20">
        <v>502.47</v>
      </c>
      <c r="G180" s="11">
        <f>VLOOKUP(A180,'Operational Data'!$A$2:$E$201,3,FALSE)</f>
        <v>93409</v>
      </c>
      <c r="H180" s="11">
        <f>VLOOKUP(A180,'Operational Data'!$A$2:$E$201,4,FALSE)</f>
        <v>2375.83</v>
      </c>
      <c r="I180" s="11">
        <f>VLOOKUP(A180,'Operational Data'!$A$2:$E$201,5,FALSE)</f>
        <v>5.83</v>
      </c>
      <c r="J180" s="21">
        <f t="shared" si="2"/>
        <v>5.3792461111884298E-3</v>
      </c>
    </row>
    <row r="181" spans="1:10" x14ac:dyDescent="0.25">
      <c r="A181" s="20" t="s">
        <v>120</v>
      </c>
      <c r="B181" s="20" t="s">
        <v>30</v>
      </c>
      <c r="C181" s="20" t="s">
        <v>8</v>
      </c>
      <c r="D181" s="20" t="s">
        <v>14</v>
      </c>
      <c r="E181" s="20" t="s">
        <v>15</v>
      </c>
      <c r="F181" s="20">
        <v>2710.93</v>
      </c>
      <c r="G181" s="11">
        <f>VLOOKUP(A181,'Operational Data'!$A$2:$E$201,3,FALSE)</f>
        <v>79495</v>
      </c>
      <c r="H181" s="11">
        <f>VLOOKUP(A181,'Operational Data'!$A$2:$E$201,4,FALSE)</f>
        <v>7157.48</v>
      </c>
      <c r="I181" s="11">
        <f>VLOOKUP(A181,'Operational Data'!$A$2:$E$201,5,FALSE)</f>
        <v>26.84</v>
      </c>
      <c r="J181" s="21">
        <f t="shared" si="2"/>
        <v>3.4101893200830236E-2</v>
      </c>
    </row>
    <row r="182" spans="1:10" x14ac:dyDescent="0.25">
      <c r="A182" s="20" t="s">
        <v>141</v>
      </c>
      <c r="B182" s="20" t="s">
        <v>7</v>
      </c>
      <c r="C182" s="20" t="s">
        <v>34</v>
      </c>
      <c r="D182" s="20" t="s">
        <v>9</v>
      </c>
      <c r="E182" s="20" t="s">
        <v>10</v>
      </c>
      <c r="F182" s="20">
        <v>2286.2420430000002</v>
      </c>
      <c r="G182" s="11">
        <f>VLOOKUP(A182,'Operational Data'!$A$2:$E$201,3,FALSE)</f>
        <v>45644</v>
      </c>
      <c r="H182" s="11">
        <f>VLOOKUP(A182,'Operational Data'!$A$2:$E$201,4,FALSE)</f>
        <v>7724.73</v>
      </c>
      <c r="I182" s="11">
        <f>VLOOKUP(A182,'Operational Data'!$A$2:$E$201,5,FALSE)</f>
        <v>31</v>
      </c>
      <c r="J182" s="21">
        <f t="shared" si="2"/>
        <v>5.0088555845237054E-2</v>
      </c>
    </row>
    <row r="183" spans="1:10" x14ac:dyDescent="0.25">
      <c r="A183" s="20" t="s">
        <v>21</v>
      </c>
      <c r="B183" s="20" t="s">
        <v>19</v>
      </c>
      <c r="C183" s="20" t="s">
        <v>23</v>
      </c>
      <c r="D183" s="20" t="s">
        <v>9</v>
      </c>
      <c r="E183" s="20" t="s">
        <v>10</v>
      </c>
      <c r="F183" s="20">
        <v>3819.978924</v>
      </c>
      <c r="G183" s="11">
        <f>VLOOKUP(A183,'Operational Data'!$A$2:$E$201,3,FALSE)</f>
        <v>61157</v>
      </c>
      <c r="H183" s="11">
        <f>VLOOKUP(A183,'Operational Data'!$A$2:$E$201,4,FALSE)</f>
        <v>7331.54</v>
      </c>
      <c r="I183" s="11">
        <f>VLOOKUP(A183,'Operational Data'!$A$2:$E$201,5,FALSE)</f>
        <v>55.52</v>
      </c>
      <c r="J183" s="21">
        <f t="shared" si="2"/>
        <v>6.2461842863449808E-2</v>
      </c>
    </row>
    <row r="184" spans="1:10" x14ac:dyDescent="0.25">
      <c r="A184" s="20" t="s">
        <v>62</v>
      </c>
      <c r="B184" s="20" t="s">
        <v>30</v>
      </c>
      <c r="C184" s="20" t="s">
        <v>8</v>
      </c>
      <c r="D184" s="20" t="s">
        <v>14</v>
      </c>
      <c r="E184" s="20" t="s">
        <v>15</v>
      </c>
      <c r="F184" s="20">
        <v>2138.08</v>
      </c>
      <c r="G184" s="11">
        <f>VLOOKUP(A184,'Operational Data'!$A$2:$E$201,3,FALSE)</f>
        <v>22309</v>
      </c>
      <c r="H184" s="11">
        <f>VLOOKUP(A184,'Operational Data'!$A$2:$E$201,4,FALSE)</f>
        <v>3656.29</v>
      </c>
      <c r="I184" s="11">
        <f>VLOOKUP(A184,'Operational Data'!$A$2:$E$201,5,FALSE)</f>
        <v>75.25</v>
      </c>
      <c r="J184" s="21">
        <f t="shared" si="2"/>
        <v>9.5839347348603693E-2</v>
      </c>
    </row>
    <row r="185" spans="1:10" ht="30" x14ac:dyDescent="0.25">
      <c r="A185" s="20" t="s">
        <v>142</v>
      </c>
      <c r="B185" s="20" t="s">
        <v>17</v>
      </c>
      <c r="C185" s="20" t="s">
        <v>8</v>
      </c>
      <c r="D185" s="20" t="s">
        <v>28</v>
      </c>
      <c r="E185" s="20" t="s">
        <v>24</v>
      </c>
      <c r="F185" s="20">
        <v>747.74</v>
      </c>
      <c r="G185" s="11">
        <f>VLOOKUP(A185,'Operational Data'!$A$2:$E$201,3,FALSE)</f>
        <v>75736</v>
      </c>
      <c r="H185" s="11">
        <f>VLOOKUP(A185,'Operational Data'!$A$2:$E$201,4,FALSE)</f>
        <v>6287.07</v>
      </c>
      <c r="I185" s="11">
        <f>VLOOKUP(A185,'Operational Data'!$A$2:$E$201,5,FALSE)</f>
        <v>63.11</v>
      </c>
      <c r="J185" s="21">
        <f t="shared" si="2"/>
        <v>9.8729798246540608E-3</v>
      </c>
    </row>
    <row r="186" spans="1:10" ht="30" x14ac:dyDescent="0.25">
      <c r="A186" s="20" t="s">
        <v>143</v>
      </c>
      <c r="B186" s="20" t="s">
        <v>17</v>
      </c>
      <c r="C186" s="20" t="s">
        <v>34</v>
      </c>
      <c r="D186" s="20" t="s">
        <v>28</v>
      </c>
      <c r="E186" s="20" t="s">
        <v>24</v>
      </c>
      <c r="F186" s="20">
        <v>1025.55</v>
      </c>
      <c r="G186" s="11">
        <f>VLOOKUP(A186,'Operational Data'!$A$2:$E$201,3,FALSE)</f>
        <v>94704</v>
      </c>
      <c r="H186" s="11">
        <f>VLOOKUP(A186,'Operational Data'!$A$2:$E$201,4,FALSE)</f>
        <v>6632.95</v>
      </c>
      <c r="I186" s="11">
        <f>VLOOKUP(A186,'Operational Data'!$A$2:$E$201,5,FALSE)</f>
        <v>14.76</v>
      </c>
      <c r="J186" s="21">
        <f t="shared" si="2"/>
        <v>1.0829004054738975E-2</v>
      </c>
    </row>
    <row r="187" spans="1:10" x14ac:dyDescent="0.25">
      <c r="A187" s="20" t="s">
        <v>144</v>
      </c>
      <c r="B187" s="20" t="s">
        <v>30</v>
      </c>
      <c r="C187" s="20" t="s">
        <v>8</v>
      </c>
      <c r="D187" s="20" t="s">
        <v>9</v>
      </c>
      <c r="E187" s="20" t="s">
        <v>15</v>
      </c>
      <c r="F187" s="20">
        <v>3382</v>
      </c>
      <c r="G187" s="11">
        <f>VLOOKUP(A187,'Operational Data'!$A$2:$E$201,3,FALSE)</f>
        <v>11426</v>
      </c>
      <c r="H187" s="11">
        <f>VLOOKUP(A187,'Operational Data'!$A$2:$E$201,4,FALSE)</f>
        <v>4439.5600000000004</v>
      </c>
      <c r="I187" s="11">
        <f>VLOOKUP(A187,'Operational Data'!$A$2:$E$201,5,FALSE)</f>
        <v>52.71</v>
      </c>
      <c r="J187" s="21">
        <f t="shared" si="2"/>
        <v>0.29599159810957465</v>
      </c>
    </row>
    <row r="188" spans="1:10" x14ac:dyDescent="0.25">
      <c r="A188" s="20" t="s">
        <v>145</v>
      </c>
      <c r="B188" s="20" t="s">
        <v>7</v>
      </c>
      <c r="C188" s="20" t="s">
        <v>23</v>
      </c>
      <c r="D188" s="20" t="s">
        <v>14</v>
      </c>
      <c r="E188" s="20" t="s">
        <v>24</v>
      </c>
      <c r="F188" s="20">
        <v>1772.18</v>
      </c>
      <c r="G188" s="11">
        <f>VLOOKUP(A188,'Operational Data'!$A$2:$E$201,3,FALSE)</f>
        <v>60710</v>
      </c>
      <c r="H188" s="11">
        <f>VLOOKUP(A188,'Operational Data'!$A$2:$E$201,4,FALSE)</f>
        <v>2726.26</v>
      </c>
      <c r="I188" s="11">
        <f>VLOOKUP(A188,'Operational Data'!$A$2:$E$201,5,FALSE)</f>
        <v>83.02</v>
      </c>
      <c r="J188" s="21">
        <f t="shared" si="2"/>
        <v>2.9190907593477186E-2</v>
      </c>
    </row>
    <row r="189" spans="1:10" x14ac:dyDescent="0.25">
      <c r="A189" s="20" t="s">
        <v>81</v>
      </c>
      <c r="B189" s="20" t="s">
        <v>12</v>
      </c>
      <c r="C189" s="20" t="s">
        <v>13</v>
      </c>
      <c r="D189" s="20" t="s">
        <v>28</v>
      </c>
      <c r="E189" s="20" t="s">
        <v>24</v>
      </c>
      <c r="F189" s="20">
        <v>2150.66</v>
      </c>
      <c r="G189" s="11">
        <f>VLOOKUP(A189,'Operational Data'!$A$2:$E$201,3,FALSE)</f>
        <v>93661</v>
      </c>
      <c r="H189" s="11">
        <f>VLOOKUP(A189,'Operational Data'!$A$2:$E$201,4,FALSE)</f>
        <v>7324.58</v>
      </c>
      <c r="I189" s="11">
        <f>VLOOKUP(A189,'Operational Data'!$A$2:$E$201,5,FALSE)</f>
        <v>23.55</v>
      </c>
      <c r="J189" s="21">
        <f t="shared" si="2"/>
        <v>2.2962172088702874E-2</v>
      </c>
    </row>
    <row r="190" spans="1:10" ht="30" x14ac:dyDescent="0.25">
      <c r="A190" s="20" t="s">
        <v>129</v>
      </c>
      <c r="B190" s="20" t="s">
        <v>17</v>
      </c>
      <c r="C190" s="20" t="s">
        <v>34</v>
      </c>
      <c r="D190" s="20" t="s">
        <v>14</v>
      </c>
      <c r="E190" s="20" t="s">
        <v>15</v>
      </c>
      <c r="F190" s="20">
        <v>3214.91</v>
      </c>
      <c r="G190" s="11">
        <f>VLOOKUP(A190,'Operational Data'!$A$2:$E$201,3,FALSE)</f>
        <v>95292</v>
      </c>
      <c r="H190" s="11">
        <f>VLOOKUP(A190,'Operational Data'!$A$2:$E$201,4,FALSE)</f>
        <v>697.47</v>
      </c>
      <c r="I190" s="11">
        <f>VLOOKUP(A190,'Operational Data'!$A$2:$E$201,5,FALSE)</f>
        <v>88.35</v>
      </c>
      <c r="J190" s="21">
        <f t="shared" si="2"/>
        <v>3.3737459597867607E-2</v>
      </c>
    </row>
    <row r="191" spans="1:10" x14ac:dyDescent="0.25">
      <c r="A191" s="20" t="s">
        <v>54</v>
      </c>
      <c r="B191" s="20" t="s">
        <v>12</v>
      </c>
      <c r="C191" s="20" t="s">
        <v>34</v>
      </c>
      <c r="D191" s="20" t="s">
        <v>14</v>
      </c>
      <c r="E191" s="20" t="s">
        <v>24</v>
      </c>
      <c r="F191" s="20">
        <v>1475.38</v>
      </c>
      <c r="G191" s="11">
        <f>VLOOKUP(A191,'Operational Data'!$A$2:$E$201,3,FALSE)</f>
        <v>58111</v>
      </c>
      <c r="H191" s="11">
        <f>VLOOKUP(A191,'Operational Data'!$A$2:$E$201,4,FALSE)</f>
        <v>4610.8999999999996</v>
      </c>
      <c r="I191" s="11">
        <f>VLOOKUP(A191,'Operational Data'!$A$2:$E$201,5,FALSE)</f>
        <v>21.53</v>
      </c>
      <c r="J191" s="21">
        <f t="shared" si="2"/>
        <v>2.5388996919688184E-2</v>
      </c>
    </row>
    <row r="192" spans="1:10" ht="30" x14ac:dyDescent="0.25">
      <c r="A192" s="20" t="s">
        <v>26</v>
      </c>
      <c r="B192" s="20" t="s">
        <v>17</v>
      </c>
      <c r="C192" s="20" t="s">
        <v>8</v>
      </c>
      <c r="D192" s="20" t="s">
        <v>28</v>
      </c>
      <c r="E192" s="20" t="s">
        <v>24</v>
      </c>
      <c r="F192" s="20">
        <v>2631.42</v>
      </c>
      <c r="G192" s="11">
        <f>VLOOKUP(A192,'Operational Data'!$A$2:$E$201,3,FALSE)</f>
        <v>17311</v>
      </c>
      <c r="H192" s="11">
        <f>VLOOKUP(A192,'Operational Data'!$A$2:$E$201,4,FALSE)</f>
        <v>2257.38</v>
      </c>
      <c r="I192" s="11">
        <f>VLOOKUP(A192,'Operational Data'!$A$2:$E$201,5,FALSE)</f>
        <v>91.07</v>
      </c>
      <c r="J192" s="21">
        <f t="shared" si="2"/>
        <v>0.15200854947721101</v>
      </c>
    </row>
    <row r="193" spans="1:10" x14ac:dyDescent="0.25">
      <c r="A193" s="20" t="s">
        <v>78</v>
      </c>
      <c r="B193" s="20" t="s">
        <v>7</v>
      </c>
      <c r="C193" s="20" t="s">
        <v>13</v>
      </c>
      <c r="D193" s="20" t="s">
        <v>14</v>
      </c>
      <c r="E193" s="20" t="s">
        <v>15</v>
      </c>
      <c r="F193" s="20">
        <v>2973.99</v>
      </c>
      <c r="G193" s="11">
        <f>VLOOKUP(A193,'Operational Data'!$A$2:$E$201,3,FALSE)</f>
        <v>86557</v>
      </c>
      <c r="H193" s="11">
        <f>VLOOKUP(A193,'Operational Data'!$A$2:$E$201,4,FALSE)</f>
        <v>8631.2800000000007</v>
      </c>
      <c r="I193" s="11">
        <f>VLOOKUP(A193,'Operational Data'!$A$2:$E$201,5,FALSE)</f>
        <v>69.53</v>
      </c>
      <c r="J193" s="21">
        <f t="shared" si="2"/>
        <v>3.4358746259690147E-2</v>
      </c>
    </row>
    <row r="194" spans="1:10" x14ac:dyDescent="0.25">
      <c r="A194" s="20" t="s">
        <v>44</v>
      </c>
      <c r="B194" s="20" t="s">
        <v>19</v>
      </c>
      <c r="C194" s="20" t="s">
        <v>8</v>
      </c>
      <c r="D194" s="20" t="s">
        <v>14</v>
      </c>
      <c r="E194" s="20" t="s">
        <v>24</v>
      </c>
      <c r="F194" s="20">
        <v>587.89</v>
      </c>
      <c r="G194" s="11">
        <f>VLOOKUP(A194,'Operational Data'!$A$2:$E$201,3,FALSE)</f>
        <v>16256</v>
      </c>
      <c r="H194" s="11">
        <f>VLOOKUP(A194,'Operational Data'!$A$2:$E$201,4,FALSE)</f>
        <v>2127.1799999999998</v>
      </c>
      <c r="I194" s="11">
        <f>VLOOKUP(A194,'Operational Data'!$A$2:$E$201,5,FALSE)</f>
        <v>38.94</v>
      </c>
      <c r="J194" s="21">
        <f t="shared" si="2"/>
        <v>3.6164493110236222E-2</v>
      </c>
    </row>
    <row r="195" spans="1:10" x14ac:dyDescent="0.25">
      <c r="A195" s="20" t="s">
        <v>146</v>
      </c>
      <c r="B195" s="20" t="s">
        <v>7</v>
      </c>
      <c r="C195" s="20" t="s">
        <v>34</v>
      </c>
      <c r="D195" s="20" t="s">
        <v>14</v>
      </c>
      <c r="E195" s="20" t="s">
        <v>24</v>
      </c>
      <c r="F195" s="20">
        <v>599.52</v>
      </c>
      <c r="G195" s="11">
        <f>VLOOKUP(A195,'Operational Data'!$A$2:$E$201,3,FALSE)</f>
        <v>14170</v>
      </c>
      <c r="H195" s="11">
        <f>VLOOKUP(A195,'Operational Data'!$A$2:$E$201,4,FALSE)</f>
        <v>5455.23</v>
      </c>
      <c r="I195" s="11">
        <f>VLOOKUP(A195,'Operational Data'!$A$2:$E$201,5,FALSE)</f>
        <v>25.46</v>
      </c>
      <c r="J195" s="21">
        <f t="shared" ref="J195:J258" si="3">F195/G195</f>
        <v>4.2309103740296401E-2</v>
      </c>
    </row>
    <row r="196" spans="1:10" ht="30" x14ac:dyDescent="0.25">
      <c r="A196" s="20" t="s">
        <v>147</v>
      </c>
      <c r="B196" s="20" t="s">
        <v>17</v>
      </c>
      <c r="C196" s="20" t="s">
        <v>8</v>
      </c>
      <c r="D196" s="20" t="s">
        <v>28</v>
      </c>
      <c r="E196" s="20" t="s">
        <v>10</v>
      </c>
      <c r="F196" s="20">
        <v>1993.42</v>
      </c>
      <c r="G196" s="11">
        <f>VLOOKUP(A196,'Operational Data'!$A$2:$E$201,3,FALSE)</f>
        <v>24095</v>
      </c>
      <c r="H196" s="11">
        <f>VLOOKUP(A196,'Operational Data'!$A$2:$E$201,4,FALSE)</f>
        <v>3167.52</v>
      </c>
      <c r="I196" s="11">
        <f>VLOOKUP(A196,'Operational Data'!$A$2:$E$201,5,FALSE)</f>
        <v>31.02</v>
      </c>
      <c r="J196" s="21">
        <f t="shared" si="3"/>
        <v>8.2731687072006649E-2</v>
      </c>
    </row>
    <row r="197" spans="1:10" ht="30" x14ac:dyDescent="0.25">
      <c r="A197" s="20" t="s">
        <v>148</v>
      </c>
      <c r="B197" s="20" t="s">
        <v>17</v>
      </c>
      <c r="C197" s="20" t="s">
        <v>13</v>
      </c>
      <c r="D197" s="20" t="s">
        <v>14</v>
      </c>
      <c r="E197" s="20" t="s">
        <v>10</v>
      </c>
      <c r="F197" s="20">
        <v>1395.49</v>
      </c>
      <c r="G197" s="11">
        <f>VLOOKUP(A197,'Operational Data'!$A$2:$E$201,3,FALSE)</f>
        <v>44994</v>
      </c>
      <c r="H197" s="11">
        <f>VLOOKUP(A197,'Operational Data'!$A$2:$E$201,4,FALSE)</f>
        <v>7305.59</v>
      </c>
      <c r="I197" s="11">
        <f>VLOOKUP(A197,'Operational Data'!$A$2:$E$201,5,FALSE)</f>
        <v>91.53</v>
      </c>
      <c r="J197" s="21">
        <f t="shared" si="3"/>
        <v>3.1015024225452284E-2</v>
      </c>
    </row>
    <row r="198" spans="1:10" ht="30" x14ac:dyDescent="0.25">
      <c r="A198" s="20" t="s">
        <v>59</v>
      </c>
      <c r="B198" s="20" t="s">
        <v>17</v>
      </c>
      <c r="C198" s="20" t="s">
        <v>13</v>
      </c>
      <c r="D198" s="20" t="s">
        <v>9</v>
      </c>
      <c r="E198" s="20" t="s">
        <v>15</v>
      </c>
      <c r="F198" s="20">
        <v>2509.14</v>
      </c>
      <c r="G198" s="11">
        <f>VLOOKUP(A198,'Operational Data'!$A$2:$E$201,3,FALSE)</f>
        <v>15553</v>
      </c>
      <c r="H198" s="11">
        <f>VLOOKUP(A198,'Operational Data'!$A$2:$E$201,4,FALSE)</f>
        <v>3909.51</v>
      </c>
      <c r="I198" s="11">
        <f>VLOOKUP(A198,'Operational Data'!$A$2:$E$201,5,FALSE)</f>
        <v>46.44</v>
      </c>
      <c r="J198" s="21">
        <f t="shared" si="3"/>
        <v>0.161328361087893</v>
      </c>
    </row>
    <row r="199" spans="1:10" x14ac:dyDescent="0.25">
      <c r="A199" s="20" t="s">
        <v>101</v>
      </c>
      <c r="B199" s="20" t="s">
        <v>19</v>
      </c>
      <c r="C199" s="20" t="s">
        <v>23</v>
      </c>
      <c r="D199" s="20" t="s">
        <v>9</v>
      </c>
      <c r="E199" s="20" t="s">
        <v>24</v>
      </c>
      <c r="F199" s="20">
        <v>2619.1304719999998</v>
      </c>
      <c r="G199" s="11">
        <f>VLOOKUP(A199,'Operational Data'!$A$2:$E$201,3,FALSE)</f>
        <v>39050</v>
      </c>
      <c r="H199" s="11">
        <f>VLOOKUP(A199,'Operational Data'!$A$2:$E$201,4,FALSE)</f>
        <v>5885.73</v>
      </c>
      <c r="I199" s="11">
        <f>VLOOKUP(A199,'Operational Data'!$A$2:$E$201,5,FALSE)</f>
        <v>93.04</v>
      </c>
      <c r="J199" s="21">
        <f t="shared" si="3"/>
        <v>6.7071202868117796E-2</v>
      </c>
    </row>
    <row r="200" spans="1:10" x14ac:dyDescent="0.25">
      <c r="A200" s="20" t="s">
        <v>61</v>
      </c>
      <c r="B200" s="20" t="s">
        <v>30</v>
      </c>
      <c r="C200" s="20" t="s">
        <v>13</v>
      </c>
      <c r="D200" s="20" t="s">
        <v>14</v>
      </c>
      <c r="E200" s="20" t="s">
        <v>10</v>
      </c>
      <c r="F200" s="20">
        <v>1192.6600000000001</v>
      </c>
      <c r="G200" s="11">
        <f>VLOOKUP(A200,'Operational Data'!$A$2:$E$201,3,FALSE)</f>
        <v>95718</v>
      </c>
      <c r="H200" s="11">
        <f>VLOOKUP(A200,'Operational Data'!$A$2:$E$201,4,FALSE)</f>
        <v>2443.12</v>
      </c>
      <c r="I200" s="11">
        <f>VLOOKUP(A200,'Operational Data'!$A$2:$E$201,5,FALSE)</f>
        <v>35.49</v>
      </c>
      <c r="J200" s="21">
        <f t="shared" si="3"/>
        <v>1.2460143337721224E-2</v>
      </c>
    </row>
    <row r="201" spans="1:10" x14ac:dyDescent="0.25">
      <c r="A201" s="20" t="s">
        <v>101</v>
      </c>
      <c r="B201" s="20" t="s">
        <v>19</v>
      </c>
      <c r="C201" s="20" t="s">
        <v>34</v>
      </c>
      <c r="D201" s="20" t="s">
        <v>9</v>
      </c>
      <c r="E201" s="20" t="s">
        <v>24</v>
      </c>
      <c r="F201" s="20">
        <v>639.35639619999995</v>
      </c>
      <c r="G201" s="11">
        <f>VLOOKUP(A201,'Operational Data'!$A$2:$E$201,3,FALSE)</f>
        <v>39050</v>
      </c>
      <c r="H201" s="11">
        <f>VLOOKUP(A201,'Operational Data'!$A$2:$E$201,4,FALSE)</f>
        <v>5885.73</v>
      </c>
      <c r="I201" s="11">
        <f>VLOOKUP(A201,'Operational Data'!$A$2:$E$201,5,FALSE)</f>
        <v>93.04</v>
      </c>
      <c r="J201" s="21">
        <f t="shared" si="3"/>
        <v>1.6372763026888604E-2</v>
      </c>
    </row>
    <row r="202" spans="1:10" x14ac:dyDescent="0.25">
      <c r="A202" s="20" t="s">
        <v>47</v>
      </c>
      <c r="B202" s="20" t="s">
        <v>30</v>
      </c>
      <c r="C202" s="20" t="s">
        <v>13</v>
      </c>
      <c r="D202" s="20" t="s">
        <v>28</v>
      </c>
      <c r="E202" s="20" t="s">
        <v>24</v>
      </c>
      <c r="F202" s="20">
        <v>3446.07</v>
      </c>
      <c r="G202" s="11">
        <f>VLOOKUP(A202,'Operational Data'!$A$2:$E$201,3,FALSE)</f>
        <v>53661</v>
      </c>
      <c r="H202" s="11">
        <f>VLOOKUP(A202,'Operational Data'!$A$2:$E$201,4,FALSE)</f>
        <v>6965.81</v>
      </c>
      <c r="I202" s="11">
        <f>VLOOKUP(A202,'Operational Data'!$A$2:$E$201,5,FALSE)</f>
        <v>69.400000000000006</v>
      </c>
      <c r="J202" s="21">
        <f t="shared" si="3"/>
        <v>6.4219265388270816E-2</v>
      </c>
    </row>
    <row r="203" spans="1:10" ht="30" x14ac:dyDescent="0.25">
      <c r="A203" s="20" t="s">
        <v>149</v>
      </c>
      <c r="B203" s="20" t="s">
        <v>17</v>
      </c>
      <c r="C203" s="20" t="s">
        <v>13</v>
      </c>
      <c r="D203" s="20" t="s">
        <v>9</v>
      </c>
      <c r="E203" s="20" t="s">
        <v>10</v>
      </c>
      <c r="F203" s="20">
        <v>2973.1976180000001</v>
      </c>
      <c r="G203" s="11">
        <f>VLOOKUP(A203,'Operational Data'!$A$2:$E$201,3,FALSE)</f>
        <v>49885</v>
      </c>
      <c r="H203" s="11">
        <f>VLOOKUP(A203,'Operational Data'!$A$2:$E$201,4,FALSE)</f>
        <v>6845.46</v>
      </c>
      <c r="I203" s="11">
        <f>VLOOKUP(A203,'Operational Data'!$A$2:$E$201,5,FALSE)</f>
        <v>58.4</v>
      </c>
      <c r="J203" s="21">
        <f t="shared" si="3"/>
        <v>5.9601034739901776E-2</v>
      </c>
    </row>
    <row r="204" spans="1:10" x14ac:dyDescent="0.25">
      <c r="A204" s="20" t="s">
        <v>41</v>
      </c>
      <c r="B204" s="20" t="s">
        <v>30</v>
      </c>
      <c r="C204" s="20" t="s">
        <v>13</v>
      </c>
      <c r="D204" s="20" t="s">
        <v>28</v>
      </c>
      <c r="E204" s="20" t="s">
        <v>15</v>
      </c>
      <c r="F204" s="20">
        <v>4562.24</v>
      </c>
      <c r="G204" s="11">
        <f>VLOOKUP(A204,'Operational Data'!$A$2:$E$201,3,FALSE)</f>
        <v>61743</v>
      </c>
      <c r="H204" s="11">
        <f>VLOOKUP(A204,'Operational Data'!$A$2:$E$201,4,FALSE)</f>
        <v>7426.75</v>
      </c>
      <c r="I204" s="11">
        <f>VLOOKUP(A204,'Operational Data'!$A$2:$E$201,5,FALSE)</f>
        <v>26.39</v>
      </c>
      <c r="J204" s="21">
        <f t="shared" si="3"/>
        <v>7.3890805435433971E-2</v>
      </c>
    </row>
    <row r="205" spans="1:10" x14ac:dyDescent="0.25">
      <c r="A205" s="20" t="s">
        <v>74</v>
      </c>
      <c r="B205" s="20" t="s">
        <v>19</v>
      </c>
      <c r="C205" s="20" t="s">
        <v>13</v>
      </c>
      <c r="D205" s="20" t="s">
        <v>28</v>
      </c>
      <c r="E205" s="20" t="s">
        <v>15</v>
      </c>
      <c r="F205" s="20">
        <v>3500.64</v>
      </c>
      <c r="G205" s="11">
        <f>VLOOKUP(A205,'Operational Data'!$A$2:$E$201,3,FALSE)</f>
        <v>18175</v>
      </c>
      <c r="H205" s="11">
        <f>VLOOKUP(A205,'Operational Data'!$A$2:$E$201,4,FALSE)</f>
        <v>8349.49</v>
      </c>
      <c r="I205" s="11">
        <f>VLOOKUP(A205,'Operational Data'!$A$2:$E$201,5,FALSE)</f>
        <v>39.97</v>
      </c>
      <c r="J205" s="21">
        <f t="shared" si="3"/>
        <v>0.19260742778541953</v>
      </c>
    </row>
    <row r="206" spans="1:10" x14ac:dyDescent="0.25">
      <c r="A206" s="20" t="s">
        <v>29</v>
      </c>
      <c r="B206" s="20" t="s">
        <v>30</v>
      </c>
      <c r="C206" s="20" t="s">
        <v>8</v>
      </c>
      <c r="D206" s="20" t="s">
        <v>28</v>
      </c>
      <c r="E206" s="20" t="s">
        <v>24</v>
      </c>
      <c r="F206" s="20">
        <v>3289.66</v>
      </c>
      <c r="G206" s="11">
        <f>VLOOKUP(A206,'Operational Data'!$A$2:$E$201,3,FALSE)</f>
        <v>32131</v>
      </c>
      <c r="H206" s="11">
        <f>VLOOKUP(A206,'Operational Data'!$A$2:$E$201,4,FALSE)</f>
        <v>1474.23</v>
      </c>
      <c r="I206" s="11">
        <f>VLOOKUP(A206,'Operational Data'!$A$2:$E$201,5,FALSE)</f>
        <v>45.47</v>
      </c>
      <c r="J206" s="21">
        <f t="shared" si="3"/>
        <v>0.10238274563505648</v>
      </c>
    </row>
    <row r="207" spans="1:10" x14ac:dyDescent="0.25">
      <c r="A207" s="20" t="s">
        <v>53</v>
      </c>
      <c r="B207" s="20" t="s">
        <v>7</v>
      </c>
      <c r="C207" s="20" t="s">
        <v>34</v>
      </c>
      <c r="D207" s="20" t="s">
        <v>14</v>
      </c>
      <c r="E207" s="20" t="s">
        <v>15</v>
      </c>
      <c r="F207" s="20">
        <v>540.26</v>
      </c>
      <c r="G207" s="11">
        <f>VLOOKUP(A207,'Operational Data'!$A$2:$E$201,3,FALSE)</f>
        <v>90632</v>
      </c>
      <c r="H207" s="11">
        <f>VLOOKUP(A207,'Operational Data'!$A$2:$E$201,4,FALSE)</f>
        <v>5292.17</v>
      </c>
      <c r="I207" s="11">
        <f>VLOOKUP(A207,'Operational Data'!$A$2:$E$201,5,FALSE)</f>
        <v>78.45</v>
      </c>
      <c r="J207" s="21">
        <f t="shared" si="3"/>
        <v>5.9610292170535796E-3</v>
      </c>
    </row>
    <row r="208" spans="1:10" x14ac:dyDescent="0.25">
      <c r="A208" s="20" t="s">
        <v>150</v>
      </c>
      <c r="B208" s="20" t="s">
        <v>30</v>
      </c>
      <c r="C208" s="20" t="s">
        <v>23</v>
      </c>
      <c r="D208" s="20" t="s">
        <v>14</v>
      </c>
      <c r="E208" s="20" t="s">
        <v>15</v>
      </c>
      <c r="F208" s="20">
        <v>3784.31</v>
      </c>
      <c r="G208" s="11">
        <f>VLOOKUP(A208,'Operational Data'!$A$2:$E$201,3,FALSE)</f>
        <v>98356</v>
      </c>
      <c r="H208" s="11">
        <f>VLOOKUP(A208,'Operational Data'!$A$2:$E$201,4,FALSE)</f>
        <v>6968.69</v>
      </c>
      <c r="I208" s="11">
        <f>VLOOKUP(A208,'Operational Data'!$A$2:$E$201,5,FALSE)</f>
        <v>81.72</v>
      </c>
      <c r="J208" s="21">
        <f t="shared" si="3"/>
        <v>3.8475639513603645E-2</v>
      </c>
    </row>
    <row r="209" spans="1:10" x14ac:dyDescent="0.25">
      <c r="A209" s="20" t="s">
        <v>33</v>
      </c>
      <c r="B209" s="20" t="s">
        <v>19</v>
      </c>
      <c r="C209" s="20" t="s">
        <v>13</v>
      </c>
      <c r="D209" s="20" t="s">
        <v>28</v>
      </c>
      <c r="E209" s="20" t="s">
        <v>24</v>
      </c>
      <c r="F209" s="20">
        <v>2320.83</v>
      </c>
      <c r="G209" s="11">
        <f>VLOOKUP(A209,'Operational Data'!$A$2:$E$201,3,FALSE)</f>
        <v>65719</v>
      </c>
      <c r="H209" s="11">
        <f>VLOOKUP(A209,'Operational Data'!$A$2:$E$201,4,FALSE)</f>
        <v>9362.41</v>
      </c>
      <c r="I209" s="11">
        <f>VLOOKUP(A209,'Operational Data'!$A$2:$E$201,5,FALSE)</f>
        <v>86.55</v>
      </c>
      <c r="J209" s="21">
        <f t="shared" si="3"/>
        <v>3.5314444833305439E-2</v>
      </c>
    </row>
    <row r="210" spans="1:10" ht="30" x14ac:dyDescent="0.25">
      <c r="A210" s="20" t="s">
        <v>82</v>
      </c>
      <c r="B210" s="20" t="s">
        <v>17</v>
      </c>
      <c r="C210" s="20" t="s">
        <v>34</v>
      </c>
      <c r="D210" s="20" t="s">
        <v>14</v>
      </c>
      <c r="E210" s="20" t="s">
        <v>15</v>
      </c>
      <c r="F210" s="20">
        <v>2311.4499999999998</v>
      </c>
      <c r="G210" s="11">
        <f>VLOOKUP(A210,'Operational Data'!$A$2:$E$201,3,FALSE)</f>
        <v>93409</v>
      </c>
      <c r="H210" s="11">
        <f>VLOOKUP(A210,'Operational Data'!$A$2:$E$201,4,FALSE)</f>
        <v>2375.83</v>
      </c>
      <c r="I210" s="11">
        <f>VLOOKUP(A210,'Operational Data'!$A$2:$E$201,5,FALSE)</f>
        <v>5.83</v>
      </c>
      <c r="J210" s="21">
        <f t="shared" si="3"/>
        <v>2.4745474204841075E-2</v>
      </c>
    </row>
    <row r="211" spans="1:10" x14ac:dyDescent="0.25">
      <c r="A211" s="20" t="s">
        <v>122</v>
      </c>
      <c r="B211" s="20" t="s">
        <v>19</v>
      </c>
      <c r="C211" s="20" t="s">
        <v>23</v>
      </c>
      <c r="D211" s="20" t="s">
        <v>28</v>
      </c>
      <c r="E211" s="20" t="s">
        <v>10</v>
      </c>
      <c r="F211" s="20">
        <v>4836.59</v>
      </c>
      <c r="G211" s="11">
        <f>VLOOKUP(A211,'Operational Data'!$A$2:$E$201,3,FALSE)</f>
        <v>95962</v>
      </c>
      <c r="H211" s="11">
        <f>VLOOKUP(A211,'Operational Data'!$A$2:$E$201,4,FALSE)</f>
        <v>524.72</v>
      </c>
      <c r="I211" s="11">
        <f>VLOOKUP(A211,'Operational Data'!$A$2:$E$201,5,FALSE)</f>
        <v>49.55</v>
      </c>
      <c r="J211" s="21">
        <f t="shared" si="3"/>
        <v>5.0401096267272461E-2</v>
      </c>
    </row>
    <row r="212" spans="1:10" x14ac:dyDescent="0.25">
      <c r="A212" s="20" t="s">
        <v>64</v>
      </c>
      <c r="B212" s="20" t="s">
        <v>30</v>
      </c>
      <c r="C212" s="20" t="s">
        <v>13</v>
      </c>
      <c r="D212" s="20" t="s">
        <v>28</v>
      </c>
      <c r="E212" s="20" t="s">
        <v>15</v>
      </c>
      <c r="F212" s="20">
        <v>4870.82</v>
      </c>
      <c r="G212" s="11">
        <f>VLOOKUP(A212,'Operational Data'!$A$2:$E$201,3,FALSE)</f>
        <v>52836</v>
      </c>
      <c r="H212" s="11">
        <f>VLOOKUP(A212,'Operational Data'!$A$2:$E$201,4,FALSE)</f>
        <v>9330.2999999999993</v>
      </c>
      <c r="I212" s="11">
        <f>VLOOKUP(A212,'Operational Data'!$A$2:$E$201,5,FALSE)</f>
        <v>87.27</v>
      </c>
      <c r="J212" s="21">
        <f t="shared" si="3"/>
        <v>9.2187523658111892E-2</v>
      </c>
    </row>
    <row r="213" spans="1:10" x14ac:dyDescent="0.25">
      <c r="A213" s="20" t="s">
        <v>151</v>
      </c>
      <c r="B213" s="20" t="s">
        <v>12</v>
      </c>
      <c r="C213" s="20" t="s">
        <v>23</v>
      </c>
      <c r="D213" s="20" t="s">
        <v>28</v>
      </c>
      <c r="E213" s="20" t="s">
        <v>15</v>
      </c>
      <c r="F213" s="20">
        <v>4492.74</v>
      </c>
      <c r="G213" s="11">
        <f>VLOOKUP(A213,'Operational Data'!$A$2:$E$201,3,FALSE)</f>
        <v>61207</v>
      </c>
      <c r="H213" s="11">
        <f>VLOOKUP(A213,'Operational Data'!$A$2:$E$201,4,FALSE)</f>
        <v>6922.33</v>
      </c>
      <c r="I213" s="11">
        <f>VLOOKUP(A213,'Operational Data'!$A$2:$E$201,5,FALSE)</f>
        <v>9.1999999999999993</v>
      </c>
      <c r="J213" s="21">
        <f t="shared" si="3"/>
        <v>7.3402388615681213E-2</v>
      </c>
    </row>
    <row r="214" spans="1:10" x14ac:dyDescent="0.25">
      <c r="A214" s="20" t="s">
        <v>152</v>
      </c>
      <c r="B214" s="20" t="s">
        <v>30</v>
      </c>
      <c r="C214" s="20" t="s">
        <v>34</v>
      </c>
      <c r="D214" s="20" t="s">
        <v>14</v>
      </c>
      <c r="E214" s="20" t="s">
        <v>10</v>
      </c>
      <c r="F214" s="20">
        <v>2776.43</v>
      </c>
      <c r="G214" s="11">
        <f>VLOOKUP(A214,'Operational Data'!$A$2:$E$201,3,FALSE)</f>
        <v>21914</v>
      </c>
      <c r="H214" s="11">
        <f>VLOOKUP(A214,'Operational Data'!$A$2:$E$201,4,FALSE)</f>
        <v>5897.27</v>
      </c>
      <c r="I214" s="11">
        <f>VLOOKUP(A214,'Operational Data'!$A$2:$E$201,5,FALSE)</f>
        <v>49.41</v>
      </c>
      <c r="J214" s="21">
        <f t="shared" si="3"/>
        <v>0.12669663228986036</v>
      </c>
    </row>
    <row r="215" spans="1:10" ht="30" x14ac:dyDescent="0.25">
      <c r="A215" s="20" t="s">
        <v>16</v>
      </c>
      <c r="B215" s="20" t="s">
        <v>17</v>
      </c>
      <c r="C215" s="20" t="s">
        <v>23</v>
      </c>
      <c r="D215" s="20" t="s">
        <v>28</v>
      </c>
      <c r="E215" s="20" t="s">
        <v>10</v>
      </c>
      <c r="F215" s="20">
        <v>4987.59</v>
      </c>
      <c r="G215" s="11">
        <f>VLOOKUP(A215,'Operational Data'!$A$2:$E$201,3,FALSE)</f>
        <v>43512</v>
      </c>
      <c r="H215" s="11">
        <f>VLOOKUP(A215,'Operational Data'!$A$2:$E$201,4,FALSE)</f>
        <v>5352.18</v>
      </c>
      <c r="I215" s="11">
        <f>VLOOKUP(A215,'Operational Data'!$A$2:$E$201,5,FALSE)</f>
        <v>6.17</v>
      </c>
      <c r="J215" s="21">
        <f t="shared" si="3"/>
        <v>0.11462562051847766</v>
      </c>
    </row>
    <row r="216" spans="1:10" x14ac:dyDescent="0.25">
      <c r="A216" s="20" t="s">
        <v>153</v>
      </c>
      <c r="B216" s="20" t="s">
        <v>7</v>
      </c>
      <c r="C216" s="20" t="s">
        <v>8</v>
      </c>
      <c r="D216" s="20" t="s">
        <v>9</v>
      </c>
      <c r="E216" s="20" t="s">
        <v>10</v>
      </c>
      <c r="F216" s="20">
        <v>1335.7609</v>
      </c>
      <c r="G216" s="11">
        <f>VLOOKUP(A216,'Operational Data'!$A$2:$E$201,3,FALSE)</f>
        <v>21388</v>
      </c>
      <c r="H216" s="11">
        <f>VLOOKUP(A216,'Operational Data'!$A$2:$E$201,4,FALSE)</f>
        <v>5249.39</v>
      </c>
      <c r="I216" s="11">
        <f>VLOOKUP(A216,'Operational Data'!$A$2:$E$201,5,FALSE)</f>
        <v>64.2</v>
      </c>
      <c r="J216" s="21">
        <f t="shared" si="3"/>
        <v>6.2453754441743031E-2</v>
      </c>
    </row>
    <row r="217" spans="1:10" x14ac:dyDescent="0.25">
      <c r="A217" s="20" t="s">
        <v>39</v>
      </c>
      <c r="B217" s="20" t="s">
        <v>7</v>
      </c>
      <c r="C217" s="20" t="s">
        <v>34</v>
      </c>
      <c r="D217" s="20" t="s">
        <v>14</v>
      </c>
      <c r="E217" s="20" t="s">
        <v>10</v>
      </c>
      <c r="F217" s="20">
        <v>1293.21</v>
      </c>
      <c r="G217" s="11">
        <f>VLOOKUP(A217,'Operational Data'!$A$2:$E$201,3,FALSE)</f>
        <v>80904</v>
      </c>
      <c r="H217" s="11">
        <f>VLOOKUP(A217,'Operational Data'!$A$2:$E$201,4,FALSE)</f>
        <v>3263.09</v>
      </c>
      <c r="I217" s="11">
        <f>VLOOKUP(A217,'Operational Data'!$A$2:$E$201,5,FALSE)</f>
        <v>58.37</v>
      </c>
      <c r="J217" s="21">
        <f t="shared" si="3"/>
        <v>1.5984500148323939E-2</v>
      </c>
    </row>
    <row r="218" spans="1:10" x14ac:dyDescent="0.25">
      <c r="A218" s="20" t="s">
        <v>154</v>
      </c>
      <c r="B218" s="20" t="s">
        <v>12</v>
      </c>
      <c r="C218" s="20" t="s">
        <v>34</v>
      </c>
      <c r="D218" s="20" t="s">
        <v>28</v>
      </c>
      <c r="E218" s="20" t="s">
        <v>24</v>
      </c>
      <c r="F218" s="20">
        <v>1708</v>
      </c>
      <c r="G218" s="11">
        <f>VLOOKUP(A218,'Operational Data'!$A$2:$E$201,3,FALSE)</f>
        <v>87012</v>
      </c>
      <c r="H218" s="11">
        <f>VLOOKUP(A218,'Operational Data'!$A$2:$E$201,4,FALSE)</f>
        <v>7478.13</v>
      </c>
      <c r="I218" s="11">
        <f>VLOOKUP(A218,'Operational Data'!$A$2:$E$201,5,FALSE)</f>
        <v>27.22</v>
      </c>
      <c r="J218" s="21">
        <f t="shared" si="3"/>
        <v>1.962947639406059E-2</v>
      </c>
    </row>
    <row r="219" spans="1:10" x14ac:dyDescent="0.25">
      <c r="A219" s="20" t="s">
        <v>99</v>
      </c>
      <c r="B219" s="20" t="s">
        <v>19</v>
      </c>
      <c r="C219" s="20" t="s">
        <v>13</v>
      </c>
      <c r="D219" s="20" t="s">
        <v>28</v>
      </c>
      <c r="E219" s="20" t="s">
        <v>24</v>
      </c>
      <c r="F219" s="20">
        <v>4594.9799999999996</v>
      </c>
      <c r="G219" s="11">
        <f>VLOOKUP(A219,'Operational Data'!$A$2:$E$201,3,FALSE)</f>
        <v>77400</v>
      </c>
      <c r="H219" s="11">
        <f>VLOOKUP(A219,'Operational Data'!$A$2:$E$201,4,FALSE)</f>
        <v>7504.8</v>
      </c>
      <c r="I219" s="11">
        <f>VLOOKUP(A219,'Operational Data'!$A$2:$E$201,5,FALSE)</f>
        <v>68.819999999999993</v>
      </c>
      <c r="J219" s="21">
        <f t="shared" si="3"/>
        <v>5.9366666666666658E-2</v>
      </c>
    </row>
    <row r="220" spans="1:10" x14ac:dyDescent="0.25">
      <c r="A220" s="20" t="s">
        <v>155</v>
      </c>
      <c r="B220" s="20" t="s">
        <v>7</v>
      </c>
      <c r="C220" s="20" t="s">
        <v>23</v>
      </c>
      <c r="D220" s="20" t="s">
        <v>14</v>
      </c>
      <c r="E220" s="20" t="s">
        <v>10</v>
      </c>
      <c r="F220" s="20">
        <v>831.81</v>
      </c>
      <c r="G220" s="11">
        <f>VLOOKUP(A220,'Operational Data'!$A$2:$E$201,3,FALSE)</f>
        <v>72224</v>
      </c>
      <c r="H220" s="11">
        <f>VLOOKUP(A220,'Operational Data'!$A$2:$E$201,4,FALSE)</f>
        <v>1613.32</v>
      </c>
      <c r="I220" s="11">
        <f>VLOOKUP(A220,'Operational Data'!$A$2:$E$201,5,FALSE)</f>
        <v>39.21</v>
      </c>
      <c r="J220" s="21">
        <f t="shared" si="3"/>
        <v>1.1517085733274257E-2</v>
      </c>
    </row>
    <row r="221" spans="1:10" ht="30" x14ac:dyDescent="0.25">
      <c r="A221" s="20" t="s">
        <v>156</v>
      </c>
      <c r="B221" s="20" t="s">
        <v>17</v>
      </c>
      <c r="C221" s="20" t="s">
        <v>23</v>
      </c>
      <c r="D221" s="20" t="s">
        <v>14</v>
      </c>
      <c r="E221" s="20" t="s">
        <v>10</v>
      </c>
      <c r="F221" s="20">
        <v>2545.9</v>
      </c>
      <c r="G221" s="11">
        <f>VLOOKUP(A221,'Operational Data'!$A$2:$E$201,3,FALSE)</f>
        <v>81057</v>
      </c>
      <c r="H221" s="11">
        <f>VLOOKUP(A221,'Operational Data'!$A$2:$E$201,4,FALSE)</f>
        <v>675.41</v>
      </c>
      <c r="I221" s="11">
        <f>VLOOKUP(A221,'Operational Data'!$A$2:$E$201,5,FALSE)</f>
        <v>55.44</v>
      </c>
      <c r="J221" s="21">
        <f t="shared" si="3"/>
        <v>3.1408761735568801E-2</v>
      </c>
    </row>
    <row r="222" spans="1:10" ht="30" x14ac:dyDescent="0.25">
      <c r="A222" s="20" t="s">
        <v>149</v>
      </c>
      <c r="B222" s="20" t="s">
        <v>17</v>
      </c>
      <c r="C222" s="20" t="s">
        <v>34</v>
      </c>
      <c r="D222" s="20" t="s">
        <v>9</v>
      </c>
      <c r="E222" s="20" t="s">
        <v>10</v>
      </c>
      <c r="F222" s="20">
        <v>1207.1362979999999</v>
      </c>
      <c r="G222" s="11">
        <f>VLOOKUP(A222,'Operational Data'!$A$2:$E$201,3,FALSE)</f>
        <v>49885</v>
      </c>
      <c r="H222" s="11">
        <f>VLOOKUP(A222,'Operational Data'!$A$2:$E$201,4,FALSE)</f>
        <v>6845.46</v>
      </c>
      <c r="I222" s="11">
        <f>VLOOKUP(A222,'Operational Data'!$A$2:$E$201,5,FALSE)</f>
        <v>58.4</v>
      </c>
      <c r="J222" s="21">
        <f t="shared" si="3"/>
        <v>2.4198382239150044E-2</v>
      </c>
    </row>
    <row r="223" spans="1:10" x14ac:dyDescent="0.25">
      <c r="A223" s="20" t="s">
        <v>33</v>
      </c>
      <c r="B223" s="20" t="s">
        <v>19</v>
      </c>
      <c r="C223" s="20" t="s">
        <v>23</v>
      </c>
      <c r="D223" s="20" t="s">
        <v>9</v>
      </c>
      <c r="E223" s="20" t="s">
        <v>24</v>
      </c>
      <c r="F223" s="20">
        <v>2790.8028279999999</v>
      </c>
      <c r="G223" s="11">
        <f>VLOOKUP(A223,'Operational Data'!$A$2:$E$201,3,FALSE)</f>
        <v>65719</v>
      </c>
      <c r="H223" s="11">
        <f>VLOOKUP(A223,'Operational Data'!$A$2:$E$201,4,FALSE)</f>
        <v>9362.41</v>
      </c>
      <c r="I223" s="11">
        <f>VLOOKUP(A223,'Operational Data'!$A$2:$E$201,5,FALSE)</f>
        <v>86.55</v>
      </c>
      <c r="J223" s="21">
        <f t="shared" si="3"/>
        <v>4.2465692235122261E-2</v>
      </c>
    </row>
    <row r="224" spans="1:10" x14ac:dyDescent="0.25">
      <c r="A224" s="20" t="s">
        <v>157</v>
      </c>
      <c r="B224" s="20" t="s">
        <v>30</v>
      </c>
      <c r="C224" s="20" t="s">
        <v>23</v>
      </c>
      <c r="D224" s="20" t="s">
        <v>28</v>
      </c>
      <c r="E224" s="20" t="s">
        <v>15</v>
      </c>
      <c r="F224" s="20">
        <v>1945.28</v>
      </c>
      <c r="G224" s="11">
        <f>VLOOKUP(A224,'Operational Data'!$A$2:$E$201,3,FALSE)</f>
        <v>76544</v>
      </c>
      <c r="H224" s="11">
        <f>VLOOKUP(A224,'Operational Data'!$A$2:$E$201,4,FALSE)</f>
        <v>8632.77</v>
      </c>
      <c r="I224" s="11">
        <f>VLOOKUP(A224,'Operational Data'!$A$2:$E$201,5,FALSE)</f>
        <v>12.87</v>
      </c>
      <c r="J224" s="21">
        <f t="shared" si="3"/>
        <v>2.5413879598662207E-2</v>
      </c>
    </row>
    <row r="225" spans="1:10" ht="30" x14ac:dyDescent="0.25">
      <c r="A225" s="20" t="s">
        <v>16</v>
      </c>
      <c r="B225" s="20" t="s">
        <v>17</v>
      </c>
      <c r="C225" s="20" t="s">
        <v>34</v>
      </c>
      <c r="D225" s="20" t="s">
        <v>9</v>
      </c>
      <c r="E225" s="20" t="s">
        <v>24</v>
      </c>
      <c r="F225" s="20">
        <v>3670.5421860000001</v>
      </c>
      <c r="G225" s="11">
        <f>VLOOKUP(A225,'Operational Data'!$A$2:$E$201,3,FALSE)</f>
        <v>43512</v>
      </c>
      <c r="H225" s="11">
        <f>VLOOKUP(A225,'Operational Data'!$A$2:$E$201,4,FALSE)</f>
        <v>5352.18</v>
      </c>
      <c r="I225" s="11">
        <f>VLOOKUP(A225,'Operational Data'!$A$2:$E$201,5,FALSE)</f>
        <v>6.17</v>
      </c>
      <c r="J225" s="21">
        <f t="shared" si="3"/>
        <v>8.4357009238830674E-2</v>
      </c>
    </row>
    <row r="226" spans="1:10" x14ac:dyDescent="0.25">
      <c r="A226" s="20" t="s">
        <v>44</v>
      </c>
      <c r="B226" s="20" t="s">
        <v>19</v>
      </c>
      <c r="C226" s="20" t="s">
        <v>13</v>
      </c>
      <c r="D226" s="20" t="s">
        <v>14</v>
      </c>
      <c r="E226" s="20" t="s">
        <v>24</v>
      </c>
      <c r="F226" s="20">
        <v>1954.98</v>
      </c>
      <c r="G226" s="11">
        <f>VLOOKUP(A226,'Operational Data'!$A$2:$E$201,3,FALSE)</f>
        <v>16256</v>
      </c>
      <c r="H226" s="11">
        <f>VLOOKUP(A226,'Operational Data'!$A$2:$E$201,4,FALSE)</f>
        <v>2127.1799999999998</v>
      </c>
      <c r="I226" s="11">
        <f>VLOOKUP(A226,'Operational Data'!$A$2:$E$201,5,FALSE)</f>
        <v>38.94</v>
      </c>
      <c r="J226" s="21">
        <f t="shared" si="3"/>
        <v>0.12026205708661418</v>
      </c>
    </row>
    <row r="227" spans="1:10" x14ac:dyDescent="0.25">
      <c r="A227" s="20" t="s">
        <v>84</v>
      </c>
      <c r="B227" s="20" t="s">
        <v>30</v>
      </c>
      <c r="C227" s="20" t="s">
        <v>13</v>
      </c>
      <c r="D227" s="20" t="s">
        <v>14</v>
      </c>
      <c r="E227" s="20" t="s">
        <v>15</v>
      </c>
      <c r="F227" s="20">
        <v>2205.38</v>
      </c>
      <c r="G227" s="11">
        <f>VLOOKUP(A227,'Operational Data'!$A$2:$E$201,3,FALSE)</f>
        <v>85444</v>
      </c>
      <c r="H227" s="11">
        <f>VLOOKUP(A227,'Operational Data'!$A$2:$E$201,4,FALSE)</f>
        <v>852.57</v>
      </c>
      <c r="I227" s="11">
        <f>VLOOKUP(A227,'Operational Data'!$A$2:$E$201,5,FALSE)</f>
        <v>72.650000000000006</v>
      </c>
      <c r="J227" s="21">
        <f t="shared" si="3"/>
        <v>2.5810823463321007E-2</v>
      </c>
    </row>
    <row r="228" spans="1:10" x14ac:dyDescent="0.25">
      <c r="A228" s="20" t="s">
        <v>40</v>
      </c>
      <c r="B228" s="20" t="s">
        <v>19</v>
      </c>
      <c r="C228" s="20" t="s">
        <v>23</v>
      </c>
      <c r="D228" s="20" t="s">
        <v>14</v>
      </c>
      <c r="E228" s="20" t="s">
        <v>24</v>
      </c>
      <c r="F228" s="20">
        <v>1900.73</v>
      </c>
      <c r="G228" s="11">
        <f>VLOOKUP(A228,'Operational Data'!$A$2:$E$201,3,FALSE)</f>
        <v>96474</v>
      </c>
      <c r="H228" s="11">
        <f>VLOOKUP(A228,'Operational Data'!$A$2:$E$201,4,FALSE)</f>
        <v>7574.39</v>
      </c>
      <c r="I228" s="11">
        <f>VLOOKUP(A228,'Operational Data'!$A$2:$E$201,5,FALSE)</f>
        <v>95.54</v>
      </c>
      <c r="J228" s="21">
        <f t="shared" si="3"/>
        <v>1.970199224661567E-2</v>
      </c>
    </row>
    <row r="229" spans="1:10" x14ac:dyDescent="0.25">
      <c r="A229" s="20" t="s">
        <v>49</v>
      </c>
      <c r="B229" s="20" t="s">
        <v>19</v>
      </c>
      <c r="C229" s="20" t="s">
        <v>13</v>
      </c>
      <c r="D229" s="20" t="s">
        <v>9</v>
      </c>
      <c r="E229" s="20" t="s">
        <v>10</v>
      </c>
      <c r="F229" s="20">
        <v>2512.7800000000002</v>
      </c>
      <c r="G229" s="11">
        <f>VLOOKUP(A229,'Operational Data'!$A$2:$E$201,3,FALSE)</f>
        <v>50306</v>
      </c>
      <c r="H229" s="11">
        <f>VLOOKUP(A229,'Operational Data'!$A$2:$E$201,4,FALSE)</f>
        <v>7031.37</v>
      </c>
      <c r="I229" s="11">
        <f>VLOOKUP(A229,'Operational Data'!$A$2:$E$201,5,FALSE)</f>
        <v>13.27</v>
      </c>
      <c r="J229" s="21">
        <f t="shared" si="3"/>
        <v>4.9949906571780708E-2</v>
      </c>
    </row>
    <row r="230" spans="1:10" x14ac:dyDescent="0.25">
      <c r="A230" s="20" t="s">
        <v>134</v>
      </c>
      <c r="B230" s="20" t="s">
        <v>7</v>
      </c>
      <c r="C230" s="20" t="s">
        <v>23</v>
      </c>
      <c r="D230" s="20" t="s">
        <v>9</v>
      </c>
      <c r="E230" s="20" t="s">
        <v>15</v>
      </c>
      <c r="F230" s="20">
        <v>3560.2940319999998</v>
      </c>
      <c r="G230" s="11">
        <f>VLOOKUP(A230,'Operational Data'!$A$2:$E$201,3,FALSE)</f>
        <v>39568</v>
      </c>
      <c r="H230" s="11">
        <f>VLOOKUP(A230,'Operational Data'!$A$2:$E$201,4,FALSE)</f>
        <v>3580.54</v>
      </c>
      <c r="I230" s="11">
        <f>VLOOKUP(A230,'Operational Data'!$A$2:$E$201,5,FALSE)</f>
        <v>78.08</v>
      </c>
      <c r="J230" s="21">
        <f t="shared" si="3"/>
        <v>8.9979125353821271E-2</v>
      </c>
    </row>
    <row r="231" spans="1:10" x14ac:dyDescent="0.25">
      <c r="A231" s="20" t="s">
        <v>66</v>
      </c>
      <c r="B231" s="20" t="s">
        <v>30</v>
      </c>
      <c r="C231" s="20" t="s">
        <v>23</v>
      </c>
      <c r="D231" s="20" t="s">
        <v>14</v>
      </c>
      <c r="E231" s="20" t="s">
        <v>10</v>
      </c>
      <c r="F231" s="20">
        <v>4844.28</v>
      </c>
      <c r="G231" s="11">
        <f>VLOOKUP(A231,'Operational Data'!$A$2:$E$201,3,FALSE)</f>
        <v>98396</v>
      </c>
      <c r="H231" s="11">
        <f>VLOOKUP(A231,'Operational Data'!$A$2:$E$201,4,FALSE)</f>
        <v>5174.07</v>
      </c>
      <c r="I231" s="11">
        <f>VLOOKUP(A231,'Operational Data'!$A$2:$E$201,5,FALSE)</f>
        <v>63.38</v>
      </c>
      <c r="J231" s="21">
        <f t="shared" si="3"/>
        <v>4.9232489125574208E-2</v>
      </c>
    </row>
    <row r="232" spans="1:10" x14ac:dyDescent="0.25">
      <c r="A232" s="20" t="s">
        <v>94</v>
      </c>
      <c r="B232" s="20" t="s">
        <v>7</v>
      </c>
      <c r="C232" s="20" t="s">
        <v>13</v>
      </c>
      <c r="D232" s="20" t="s">
        <v>14</v>
      </c>
      <c r="E232" s="20" t="s">
        <v>15</v>
      </c>
      <c r="F232" s="20">
        <v>3100.15</v>
      </c>
      <c r="G232" s="11">
        <f>VLOOKUP(A232,'Operational Data'!$A$2:$E$201,3,FALSE)</f>
        <v>26338</v>
      </c>
      <c r="H232" s="11">
        <f>VLOOKUP(A232,'Operational Data'!$A$2:$E$201,4,FALSE)</f>
        <v>578.73</v>
      </c>
      <c r="I232" s="11">
        <f>VLOOKUP(A232,'Operational Data'!$A$2:$E$201,5,FALSE)</f>
        <v>72.52</v>
      </c>
      <c r="J232" s="21">
        <f t="shared" si="3"/>
        <v>0.11770635583567469</v>
      </c>
    </row>
    <row r="233" spans="1:10" x14ac:dyDescent="0.25">
      <c r="A233" s="20" t="s">
        <v>53</v>
      </c>
      <c r="B233" s="20" t="s">
        <v>7</v>
      </c>
      <c r="C233" s="20" t="s">
        <v>8</v>
      </c>
      <c r="D233" s="20" t="s">
        <v>28</v>
      </c>
      <c r="E233" s="20" t="s">
        <v>15</v>
      </c>
      <c r="F233" s="20">
        <v>2791.16</v>
      </c>
      <c r="G233" s="11">
        <f>VLOOKUP(A233,'Operational Data'!$A$2:$E$201,3,FALSE)</f>
        <v>90632</v>
      </c>
      <c r="H233" s="11">
        <f>VLOOKUP(A233,'Operational Data'!$A$2:$E$201,4,FALSE)</f>
        <v>5292.17</v>
      </c>
      <c r="I233" s="11">
        <f>VLOOKUP(A233,'Operational Data'!$A$2:$E$201,5,FALSE)</f>
        <v>78.45</v>
      </c>
      <c r="J233" s="21">
        <f t="shared" si="3"/>
        <v>3.0796628122517433E-2</v>
      </c>
    </row>
    <row r="234" spans="1:10" x14ac:dyDescent="0.25">
      <c r="A234" s="20" t="s">
        <v>130</v>
      </c>
      <c r="B234" s="20" t="s">
        <v>12</v>
      </c>
      <c r="C234" s="20" t="s">
        <v>8</v>
      </c>
      <c r="D234" s="20" t="s">
        <v>14</v>
      </c>
      <c r="E234" s="20" t="s">
        <v>15</v>
      </c>
      <c r="F234" s="20">
        <v>774.95</v>
      </c>
      <c r="G234" s="11">
        <f>VLOOKUP(A234,'Operational Data'!$A$2:$E$201,3,FALSE)</f>
        <v>82332</v>
      </c>
      <c r="H234" s="11">
        <f>VLOOKUP(A234,'Operational Data'!$A$2:$E$201,4,FALSE)</f>
        <v>7134.86</v>
      </c>
      <c r="I234" s="11">
        <f>VLOOKUP(A234,'Operational Data'!$A$2:$E$201,5,FALSE)</f>
        <v>22.44</v>
      </c>
      <c r="J234" s="21">
        <f t="shared" si="3"/>
        <v>9.4125006072972844E-3</v>
      </c>
    </row>
    <row r="235" spans="1:10" x14ac:dyDescent="0.25">
      <c r="A235" s="20" t="s">
        <v>29</v>
      </c>
      <c r="B235" s="20" t="s">
        <v>30</v>
      </c>
      <c r="C235" s="20" t="s">
        <v>8</v>
      </c>
      <c r="D235" s="20" t="s">
        <v>9</v>
      </c>
      <c r="E235" s="20" t="s">
        <v>15</v>
      </c>
      <c r="F235" s="20">
        <v>2907.121024</v>
      </c>
      <c r="G235" s="11">
        <f>VLOOKUP(A235,'Operational Data'!$A$2:$E$201,3,FALSE)</f>
        <v>32131</v>
      </c>
      <c r="H235" s="11">
        <f>VLOOKUP(A235,'Operational Data'!$A$2:$E$201,4,FALSE)</f>
        <v>1474.23</v>
      </c>
      <c r="I235" s="11">
        <f>VLOOKUP(A235,'Operational Data'!$A$2:$E$201,5,FALSE)</f>
        <v>45.47</v>
      </c>
      <c r="J235" s="21">
        <f t="shared" si="3"/>
        <v>9.0477141203199399E-2</v>
      </c>
    </row>
    <row r="236" spans="1:10" x14ac:dyDescent="0.25">
      <c r="A236" s="20" t="s">
        <v>158</v>
      </c>
      <c r="B236" s="20" t="s">
        <v>30</v>
      </c>
      <c r="C236" s="20" t="s">
        <v>23</v>
      </c>
      <c r="D236" s="20" t="s">
        <v>9</v>
      </c>
      <c r="E236" s="20" t="s">
        <v>10</v>
      </c>
      <c r="F236" s="20">
        <v>1885.37</v>
      </c>
      <c r="G236" s="11">
        <f>VLOOKUP(A236,'Operational Data'!$A$2:$E$201,3,FALSE)</f>
        <v>85488</v>
      </c>
      <c r="H236" s="11">
        <f>VLOOKUP(A236,'Operational Data'!$A$2:$E$201,4,FALSE)</f>
        <v>9691.57</v>
      </c>
      <c r="I236" s="11">
        <f>VLOOKUP(A236,'Operational Data'!$A$2:$E$201,5,FALSE)</f>
        <v>96.98</v>
      </c>
      <c r="J236" s="21">
        <f t="shared" si="3"/>
        <v>2.2054206438330524E-2</v>
      </c>
    </row>
    <row r="237" spans="1:10" x14ac:dyDescent="0.25">
      <c r="A237" s="20" t="s">
        <v>55</v>
      </c>
      <c r="B237" s="20" t="s">
        <v>12</v>
      </c>
      <c r="C237" s="20" t="s">
        <v>23</v>
      </c>
      <c r="D237" s="20" t="s">
        <v>9</v>
      </c>
      <c r="E237" s="20" t="s">
        <v>10</v>
      </c>
      <c r="F237" s="20">
        <v>3784.5787529999998</v>
      </c>
      <c r="G237" s="11">
        <f>VLOOKUP(A237,'Operational Data'!$A$2:$E$201,3,FALSE)</f>
        <v>38181</v>
      </c>
      <c r="H237" s="11">
        <f>VLOOKUP(A237,'Operational Data'!$A$2:$E$201,4,FALSE)</f>
        <v>691.84</v>
      </c>
      <c r="I237" s="11">
        <f>VLOOKUP(A237,'Operational Data'!$A$2:$E$201,5,FALSE)</f>
        <v>33.53</v>
      </c>
      <c r="J237" s="21">
        <f t="shared" si="3"/>
        <v>9.912204376522353E-2</v>
      </c>
    </row>
    <row r="238" spans="1:10" x14ac:dyDescent="0.25">
      <c r="A238" s="20" t="s">
        <v>102</v>
      </c>
      <c r="B238" s="20" t="s">
        <v>19</v>
      </c>
      <c r="C238" s="20" t="s">
        <v>34</v>
      </c>
      <c r="D238" s="20" t="s">
        <v>28</v>
      </c>
      <c r="E238" s="20" t="s">
        <v>10</v>
      </c>
      <c r="F238" s="20">
        <v>2788.31</v>
      </c>
      <c r="G238" s="11">
        <f>VLOOKUP(A238,'Operational Data'!$A$2:$E$201,3,FALSE)</f>
        <v>86263</v>
      </c>
      <c r="H238" s="11">
        <f>VLOOKUP(A238,'Operational Data'!$A$2:$E$201,4,FALSE)</f>
        <v>3213.71</v>
      </c>
      <c r="I238" s="11">
        <f>VLOOKUP(A238,'Operational Data'!$A$2:$E$201,5,FALSE)</f>
        <v>98.39</v>
      </c>
      <c r="J238" s="21">
        <f t="shared" si="3"/>
        <v>3.2323359957339766E-2</v>
      </c>
    </row>
    <row r="239" spans="1:10" x14ac:dyDescent="0.25">
      <c r="A239" s="20" t="s">
        <v>150</v>
      </c>
      <c r="B239" s="20" t="s">
        <v>30</v>
      </c>
      <c r="C239" s="20" t="s">
        <v>13</v>
      </c>
      <c r="D239" s="20" t="s">
        <v>14</v>
      </c>
      <c r="E239" s="20" t="s">
        <v>15</v>
      </c>
      <c r="F239" s="20">
        <v>3315.9</v>
      </c>
      <c r="G239" s="11">
        <f>VLOOKUP(A239,'Operational Data'!$A$2:$E$201,3,FALSE)</f>
        <v>98356</v>
      </c>
      <c r="H239" s="11">
        <f>VLOOKUP(A239,'Operational Data'!$A$2:$E$201,4,FALSE)</f>
        <v>6968.69</v>
      </c>
      <c r="I239" s="11">
        <f>VLOOKUP(A239,'Operational Data'!$A$2:$E$201,5,FALSE)</f>
        <v>81.72</v>
      </c>
      <c r="J239" s="21">
        <f t="shared" si="3"/>
        <v>3.3713245760299319E-2</v>
      </c>
    </row>
    <row r="240" spans="1:10" x14ac:dyDescent="0.25">
      <c r="A240" s="20" t="s">
        <v>159</v>
      </c>
      <c r="B240" s="20" t="s">
        <v>7</v>
      </c>
      <c r="C240" s="20" t="s">
        <v>34</v>
      </c>
      <c r="D240" s="20" t="s">
        <v>28</v>
      </c>
      <c r="E240" s="20" t="s">
        <v>24</v>
      </c>
      <c r="F240" s="20">
        <v>1940.67</v>
      </c>
      <c r="G240" s="11">
        <f>VLOOKUP(A240,'Operational Data'!$A$2:$E$201,3,FALSE)</f>
        <v>47727</v>
      </c>
      <c r="H240" s="11">
        <f>VLOOKUP(A240,'Operational Data'!$A$2:$E$201,4,FALSE)</f>
        <v>8907.33</v>
      </c>
      <c r="I240" s="11">
        <f>VLOOKUP(A240,'Operational Data'!$A$2:$E$201,5,FALSE)</f>
        <v>47.4</v>
      </c>
      <c r="J240" s="21">
        <f t="shared" si="3"/>
        <v>4.0661889496511408E-2</v>
      </c>
    </row>
    <row r="241" spans="1:10" x14ac:dyDescent="0.25">
      <c r="A241" s="20" t="s">
        <v>160</v>
      </c>
      <c r="B241" s="20" t="s">
        <v>30</v>
      </c>
      <c r="C241" s="20" t="s">
        <v>13</v>
      </c>
      <c r="D241" s="20" t="s">
        <v>9</v>
      </c>
      <c r="E241" s="20" t="s">
        <v>24</v>
      </c>
      <c r="F241" s="20">
        <v>4052.32</v>
      </c>
      <c r="G241" s="11">
        <f>VLOOKUP(A241,'Operational Data'!$A$2:$E$201,3,FALSE)</f>
        <v>18341</v>
      </c>
      <c r="H241" s="11">
        <f>VLOOKUP(A241,'Operational Data'!$A$2:$E$201,4,FALSE)</f>
        <v>8465.57</v>
      </c>
      <c r="I241" s="11">
        <f>VLOOKUP(A241,'Operational Data'!$A$2:$E$201,5,FALSE)</f>
        <v>38.39</v>
      </c>
      <c r="J241" s="21">
        <f t="shared" si="3"/>
        <v>0.22094324191701653</v>
      </c>
    </row>
    <row r="242" spans="1:10" x14ac:dyDescent="0.25">
      <c r="A242" s="20" t="s">
        <v>161</v>
      </c>
      <c r="B242" s="20" t="s">
        <v>7</v>
      </c>
      <c r="C242" s="20" t="s">
        <v>34</v>
      </c>
      <c r="D242" s="20" t="s">
        <v>9</v>
      </c>
      <c r="E242" s="20" t="s">
        <v>10</v>
      </c>
      <c r="F242" s="20">
        <v>1277.295351</v>
      </c>
      <c r="G242" s="11">
        <f>VLOOKUP(A242,'Operational Data'!$A$2:$E$201,3,FALSE)</f>
        <v>15788</v>
      </c>
      <c r="H242" s="11">
        <f>VLOOKUP(A242,'Operational Data'!$A$2:$E$201,4,FALSE)</f>
        <v>1824.14</v>
      </c>
      <c r="I242" s="11">
        <f>VLOOKUP(A242,'Operational Data'!$A$2:$E$201,5,FALSE)</f>
        <v>52.78</v>
      </c>
      <c r="J242" s="21">
        <f t="shared" si="3"/>
        <v>8.0902923169495822E-2</v>
      </c>
    </row>
    <row r="243" spans="1:10" ht="30" x14ac:dyDescent="0.25">
      <c r="A243" s="20" t="s">
        <v>149</v>
      </c>
      <c r="B243" s="20" t="s">
        <v>17</v>
      </c>
      <c r="C243" s="20" t="s">
        <v>13</v>
      </c>
      <c r="D243" s="20" t="s">
        <v>28</v>
      </c>
      <c r="E243" s="20" t="s">
        <v>15</v>
      </c>
      <c r="F243" s="20">
        <v>1024.25</v>
      </c>
      <c r="G243" s="11">
        <f>VLOOKUP(A243,'Operational Data'!$A$2:$E$201,3,FALSE)</f>
        <v>49885</v>
      </c>
      <c r="H243" s="11">
        <f>VLOOKUP(A243,'Operational Data'!$A$2:$E$201,4,FALSE)</f>
        <v>6845.46</v>
      </c>
      <c r="I243" s="11">
        <f>VLOOKUP(A243,'Operational Data'!$A$2:$E$201,5,FALSE)</f>
        <v>58.4</v>
      </c>
      <c r="J243" s="21">
        <f t="shared" si="3"/>
        <v>2.0532224115465569E-2</v>
      </c>
    </row>
    <row r="244" spans="1:10" x14ac:dyDescent="0.25">
      <c r="A244" s="20" t="s">
        <v>64</v>
      </c>
      <c r="B244" s="20" t="s">
        <v>30</v>
      </c>
      <c r="C244" s="20" t="s">
        <v>8</v>
      </c>
      <c r="D244" s="20" t="s">
        <v>28</v>
      </c>
      <c r="E244" s="20" t="s">
        <v>10</v>
      </c>
      <c r="F244" s="20">
        <v>167.21</v>
      </c>
      <c r="G244" s="11">
        <f>VLOOKUP(A244,'Operational Data'!$A$2:$E$201,3,FALSE)</f>
        <v>52836</v>
      </c>
      <c r="H244" s="11">
        <f>VLOOKUP(A244,'Operational Data'!$A$2:$E$201,4,FALSE)</f>
        <v>9330.2999999999993</v>
      </c>
      <c r="I244" s="11">
        <f>VLOOKUP(A244,'Operational Data'!$A$2:$E$201,5,FALSE)</f>
        <v>87.27</v>
      </c>
      <c r="J244" s="21">
        <f t="shared" si="3"/>
        <v>3.1646983117571354E-3</v>
      </c>
    </row>
    <row r="245" spans="1:10" x14ac:dyDescent="0.25">
      <c r="A245" s="20" t="s">
        <v>162</v>
      </c>
      <c r="B245" s="20" t="s">
        <v>30</v>
      </c>
      <c r="C245" s="20" t="s">
        <v>23</v>
      </c>
      <c r="D245" s="20" t="s">
        <v>28</v>
      </c>
      <c r="E245" s="20" t="s">
        <v>10</v>
      </c>
      <c r="F245" s="20">
        <v>996.06</v>
      </c>
      <c r="G245" s="11">
        <f>VLOOKUP(A245,'Operational Data'!$A$2:$E$201,3,FALSE)</f>
        <v>94347</v>
      </c>
      <c r="H245" s="11">
        <f>VLOOKUP(A245,'Operational Data'!$A$2:$E$201,4,FALSE)</f>
        <v>2272.58</v>
      </c>
      <c r="I245" s="11">
        <f>VLOOKUP(A245,'Operational Data'!$A$2:$E$201,5,FALSE)</f>
        <v>34.75</v>
      </c>
      <c r="J245" s="21">
        <f t="shared" si="3"/>
        <v>1.0557410410505898E-2</v>
      </c>
    </row>
    <row r="246" spans="1:10" x14ac:dyDescent="0.25">
      <c r="A246" s="20" t="s">
        <v>163</v>
      </c>
      <c r="B246" s="20" t="s">
        <v>19</v>
      </c>
      <c r="C246" s="20" t="s">
        <v>34</v>
      </c>
      <c r="D246" s="20" t="s">
        <v>28</v>
      </c>
      <c r="E246" s="20" t="s">
        <v>10</v>
      </c>
      <c r="F246" s="20">
        <v>1827.8</v>
      </c>
      <c r="G246" s="11">
        <f>VLOOKUP(A246,'Operational Data'!$A$2:$E$201,3,FALSE)</f>
        <v>87482</v>
      </c>
      <c r="H246" s="11">
        <f>VLOOKUP(A246,'Operational Data'!$A$2:$E$201,4,FALSE)</f>
        <v>2231.7399999999998</v>
      </c>
      <c r="I246" s="11">
        <f>VLOOKUP(A246,'Operational Data'!$A$2:$E$201,5,FALSE)</f>
        <v>45.43</v>
      </c>
      <c r="J246" s="21">
        <f t="shared" si="3"/>
        <v>2.0893440936421207E-2</v>
      </c>
    </row>
    <row r="247" spans="1:10" x14ac:dyDescent="0.25">
      <c r="A247" s="20" t="s">
        <v>29</v>
      </c>
      <c r="B247" s="20" t="s">
        <v>30</v>
      </c>
      <c r="C247" s="20" t="s">
        <v>34</v>
      </c>
      <c r="D247" s="20" t="s">
        <v>28</v>
      </c>
      <c r="E247" s="20" t="s">
        <v>24</v>
      </c>
      <c r="F247" s="20">
        <v>4065.52</v>
      </c>
      <c r="G247" s="11">
        <f>VLOOKUP(A247,'Operational Data'!$A$2:$E$201,3,FALSE)</f>
        <v>32131</v>
      </c>
      <c r="H247" s="11">
        <f>VLOOKUP(A247,'Operational Data'!$A$2:$E$201,4,FALSE)</f>
        <v>1474.23</v>
      </c>
      <c r="I247" s="11">
        <f>VLOOKUP(A247,'Operational Data'!$A$2:$E$201,5,FALSE)</f>
        <v>45.47</v>
      </c>
      <c r="J247" s="21">
        <f t="shared" si="3"/>
        <v>0.12652951977840715</v>
      </c>
    </row>
    <row r="248" spans="1:10" x14ac:dyDescent="0.25">
      <c r="A248" s="20" t="s">
        <v>121</v>
      </c>
      <c r="B248" s="20" t="s">
        <v>30</v>
      </c>
      <c r="C248" s="20" t="s">
        <v>23</v>
      </c>
      <c r="D248" s="20" t="s">
        <v>9</v>
      </c>
      <c r="E248" s="20" t="s">
        <v>10</v>
      </c>
      <c r="F248" s="20">
        <v>484.81994279999998</v>
      </c>
      <c r="G248" s="11">
        <f>VLOOKUP(A248,'Operational Data'!$A$2:$E$201,3,FALSE)</f>
        <v>58895</v>
      </c>
      <c r="H248" s="11">
        <f>VLOOKUP(A248,'Operational Data'!$A$2:$E$201,4,FALSE)</f>
        <v>3039.17</v>
      </c>
      <c r="I248" s="11">
        <f>VLOOKUP(A248,'Operational Data'!$A$2:$E$201,5,FALSE)</f>
        <v>59.82</v>
      </c>
      <c r="J248" s="21">
        <f t="shared" si="3"/>
        <v>8.2319372238729947E-3</v>
      </c>
    </row>
    <row r="249" spans="1:10" x14ac:dyDescent="0.25">
      <c r="A249" s="20" t="s">
        <v>164</v>
      </c>
      <c r="B249" s="20" t="s">
        <v>19</v>
      </c>
      <c r="C249" s="20" t="s">
        <v>8</v>
      </c>
      <c r="D249" s="20" t="s">
        <v>9</v>
      </c>
      <c r="E249" s="20" t="s">
        <v>24</v>
      </c>
      <c r="F249" s="20">
        <v>4023.0128370000002</v>
      </c>
      <c r="G249" s="11">
        <f>VLOOKUP(A249,'Operational Data'!$A$2:$E$201,3,FALSE)</f>
        <v>69636</v>
      </c>
      <c r="H249" s="11">
        <f>VLOOKUP(A249,'Operational Data'!$A$2:$E$201,4,FALSE)</f>
        <v>4246.55</v>
      </c>
      <c r="I249" s="11">
        <f>VLOOKUP(A249,'Operational Data'!$A$2:$E$201,5,FALSE)</f>
        <v>69.290000000000006</v>
      </c>
      <c r="J249" s="21">
        <f t="shared" si="3"/>
        <v>5.7772026494916424E-2</v>
      </c>
    </row>
    <row r="250" spans="1:10" x14ac:dyDescent="0.25">
      <c r="A250" s="20" t="s">
        <v>87</v>
      </c>
      <c r="B250" s="20" t="s">
        <v>12</v>
      </c>
      <c r="C250" s="20" t="s">
        <v>8</v>
      </c>
      <c r="D250" s="20" t="s">
        <v>9</v>
      </c>
      <c r="E250" s="20" t="s">
        <v>24</v>
      </c>
      <c r="F250" s="20">
        <v>895.43359580000003</v>
      </c>
      <c r="G250" s="11">
        <f>VLOOKUP(A250,'Operational Data'!$A$2:$E$201,3,FALSE)</f>
        <v>15333</v>
      </c>
      <c r="H250" s="11">
        <f>VLOOKUP(A250,'Operational Data'!$A$2:$E$201,4,FALSE)</f>
        <v>2570.54</v>
      </c>
      <c r="I250" s="11">
        <f>VLOOKUP(A250,'Operational Data'!$A$2:$E$201,5,FALSE)</f>
        <v>41.07</v>
      </c>
      <c r="J250" s="21">
        <f t="shared" si="3"/>
        <v>5.8399112750277184E-2</v>
      </c>
    </row>
    <row r="251" spans="1:10" x14ac:dyDescent="0.25">
      <c r="A251" s="20" t="s">
        <v>94</v>
      </c>
      <c r="B251" s="20" t="s">
        <v>7</v>
      </c>
      <c r="C251" s="20" t="s">
        <v>23</v>
      </c>
      <c r="D251" s="20" t="s">
        <v>9</v>
      </c>
      <c r="E251" s="20" t="s">
        <v>24</v>
      </c>
      <c r="F251" s="20">
        <v>1949.1030049999999</v>
      </c>
      <c r="G251" s="11">
        <f>VLOOKUP(A251,'Operational Data'!$A$2:$E$201,3,FALSE)</f>
        <v>26338</v>
      </c>
      <c r="H251" s="11">
        <f>VLOOKUP(A251,'Operational Data'!$A$2:$E$201,4,FALSE)</f>
        <v>578.73</v>
      </c>
      <c r="I251" s="11">
        <f>VLOOKUP(A251,'Operational Data'!$A$2:$E$201,5,FALSE)</f>
        <v>72.52</v>
      </c>
      <c r="J251" s="21">
        <f t="shared" si="3"/>
        <v>7.400345527374895E-2</v>
      </c>
    </row>
    <row r="252" spans="1:10" x14ac:dyDescent="0.25">
      <c r="A252" s="20" t="s">
        <v>29</v>
      </c>
      <c r="B252" s="20" t="s">
        <v>30</v>
      </c>
      <c r="C252" s="20" t="s">
        <v>23</v>
      </c>
      <c r="D252" s="20" t="s">
        <v>28</v>
      </c>
      <c r="E252" s="20" t="s">
        <v>24</v>
      </c>
      <c r="F252" s="20">
        <v>3777.75</v>
      </c>
      <c r="G252" s="11">
        <f>VLOOKUP(A252,'Operational Data'!$A$2:$E$201,3,FALSE)</f>
        <v>32131</v>
      </c>
      <c r="H252" s="11">
        <f>VLOOKUP(A252,'Operational Data'!$A$2:$E$201,4,FALSE)</f>
        <v>1474.23</v>
      </c>
      <c r="I252" s="11">
        <f>VLOOKUP(A252,'Operational Data'!$A$2:$E$201,5,FALSE)</f>
        <v>45.47</v>
      </c>
      <c r="J252" s="21">
        <f t="shared" si="3"/>
        <v>0.11757337151037939</v>
      </c>
    </row>
    <row r="253" spans="1:10" x14ac:dyDescent="0.25">
      <c r="A253" s="20" t="s">
        <v>35</v>
      </c>
      <c r="B253" s="20" t="s">
        <v>19</v>
      </c>
      <c r="C253" s="20" t="s">
        <v>13</v>
      </c>
      <c r="D253" s="20" t="s">
        <v>14</v>
      </c>
      <c r="E253" s="20" t="s">
        <v>24</v>
      </c>
      <c r="F253" s="20">
        <v>3625.63</v>
      </c>
      <c r="G253" s="11">
        <f>VLOOKUP(A253,'Operational Data'!$A$2:$E$201,3,FALSE)</f>
        <v>42382</v>
      </c>
      <c r="H253" s="11">
        <f>VLOOKUP(A253,'Operational Data'!$A$2:$E$201,4,FALSE)</f>
        <v>5116.6899999999996</v>
      </c>
      <c r="I253" s="11">
        <f>VLOOKUP(A253,'Operational Data'!$A$2:$E$201,5,FALSE)</f>
        <v>80.42</v>
      </c>
      <c r="J253" s="21">
        <f t="shared" si="3"/>
        <v>8.5546458402151859E-2</v>
      </c>
    </row>
    <row r="254" spans="1:10" x14ac:dyDescent="0.25">
      <c r="A254" s="20" t="s">
        <v>18</v>
      </c>
      <c r="B254" s="20" t="s">
        <v>19</v>
      </c>
      <c r="C254" s="20" t="s">
        <v>34</v>
      </c>
      <c r="D254" s="20" t="s">
        <v>14</v>
      </c>
      <c r="E254" s="20" t="s">
        <v>24</v>
      </c>
      <c r="F254" s="20">
        <v>2991.57</v>
      </c>
      <c r="G254" s="11">
        <f>VLOOKUP(A254,'Operational Data'!$A$2:$E$201,3,FALSE)</f>
        <v>98682</v>
      </c>
      <c r="H254" s="11">
        <f>VLOOKUP(A254,'Operational Data'!$A$2:$E$201,4,FALSE)</f>
        <v>6220.56</v>
      </c>
      <c r="I254" s="11">
        <f>VLOOKUP(A254,'Operational Data'!$A$2:$E$201,5,FALSE)</f>
        <v>70.099999999999994</v>
      </c>
      <c r="J254" s="21">
        <f t="shared" si="3"/>
        <v>3.0315255061713384E-2</v>
      </c>
    </row>
    <row r="255" spans="1:10" x14ac:dyDescent="0.25">
      <c r="A255" s="20" t="s">
        <v>65</v>
      </c>
      <c r="B255" s="20" t="s">
        <v>30</v>
      </c>
      <c r="C255" s="20" t="s">
        <v>8</v>
      </c>
      <c r="D255" s="20" t="s">
        <v>14</v>
      </c>
      <c r="E255" s="20" t="s">
        <v>15</v>
      </c>
      <c r="F255" s="20">
        <v>1016.04</v>
      </c>
      <c r="G255" s="11">
        <f>VLOOKUP(A255,'Operational Data'!$A$2:$E$201,3,FALSE)</f>
        <v>99026</v>
      </c>
      <c r="H255" s="11">
        <f>VLOOKUP(A255,'Operational Data'!$A$2:$E$201,4,FALSE)</f>
        <v>5453.2</v>
      </c>
      <c r="I255" s="11">
        <f>VLOOKUP(A255,'Operational Data'!$A$2:$E$201,5,FALSE)</f>
        <v>57.49</v>
      </c>
      <c r="J255" s="21">
        <f t="shared" si="3"/>
        <v>1.0260335669420152E-2</v>
      </c>
    </row>
    <row r="256" spans="1:10" ht="30" x14ac:dyDescent="0.25">
      <c r="A256" s="20" t="s">
        <v>156</v>
      </c>
      <c r="B256" s="20" t="s">
        <v>17</v>
      </c>
      <c r="C256" s="20" t="s">
        <v>13</v>
      </c>
      <c r="D256" s="20" t="s">
        <v>14</v>
      </c>
      <c r="E256" s="20" t="s">
        <v>24</v>
      </c>
      <c r="F256" s="20">
        <v>162.68</v>
      </c>
      <c r="G256" s="11">
        <f>VLOOKUP(A256,'Operational Data'!$A$2:$E$201,3,FALSE)</f>
        <v>81057</v>
      </c>
      <c r="H256" s="11">
        <f>VLOOKUP(A256,'Operational Data'!$A$2:$E$201,4,FALSE)</f>
        <v>675.41</v>
      </c>
      <c r="I256" s="11">
        <f>VLOOKUP(A256,'Operational Data'!$A$2:$E$201,5,FALSE)</f>
        <v>55.44</v>
      </c>
      <c r="J256" s="21">
        <f t="shared" si="3"/>
        <v>2.0069827405406072E-3</v>
      </c>
    </row>
    <row r="257" spans="1:10" x14ac:dyDescent="0.25">
      <c r="A257" s="20" t="s">
        <v>48</v>
      </c>
      <c r="B257" s="20" t="s">
        <v>19</v>
      </c>
      <c r="C257" s="20" t="s">
        <v>23</v>
      </c>
      <c r="D257" s="20" t="s">
        <v>9</v>
      </c>
      <c r="E257" s="20" t="s">
        <v>10</v>
      </c>
      <c r="F257" s="20">
        <v>2442.2862220000002</v>
      </c>
      <c r="G257" s="11">
        <f>VLOOKUP(A257,'Operational Data'!$A$2:$E$201,3,FALSE)</f>
        <v>11952</v>
      </c>
      <c r="H257" s="11">
        <f>VLOOKUP(A257,'Operational Data'!$A$2:$E$201,4,FALSE)</f>
        <v>4637.74</v>
      </c>
      <c r="I257" s="11">
        <f>VLOOKUP(A257,'Operational Data'!$A$2:$E$201,5,FALSE)</f>
        <v>63.78</v>
      </c>
      <c r="J257" s="21">
        <f t="shared" si="3"/>
        <v>0.20434121670013389</v>
      </c>
    </row>
    <row r="258" spans="1:10" x14ac:dyDescent="0.25">
      <c r="A258" s="20" t="s">
        <v>165</v>
      </c>
      <c r="B258" s="20" t="s">
        <v>7</v>
      </c>
      <c r="C258" s="20" t="s">
        <v>8</v>
      </c>
      <c r="D258" s="20" t="s">
        <v>14</v>
      </c>
      <c r="E258" s="20" t="s">
        <v>15</v>
      </c>
      <c r="F258" s="20">
        <v>2499.21</v>
      </c>
      <c r="G258" s="11">
        <f>VLOOKUP(A258,'Operational Data'!$A$2:$E$201,3,FALSE)</f>
        <v>32991</v>
      </c>
      <c r="H258" s="11">
        <f>VLOOKUP(A258,'Operational Data'!$A$2:$E$201,4,FALSE)</f>
        <v>8540.14</v>
      </c>
      <c r="I258" s="11">
        <f>VLOOKUP(A258,'Operational Data'!$A$2:$E$201,5,FALSE)</f>
        <v>37.75</v>
      </c>
      <c r="J258" s="21">
        <f t="shared" si="3"/>
        <v>7.5754296626352649E-2</v>
      </c>
    </row>
    <row r="259" spans="1:10" ht="30" x14ac:dyDescent="0.25">
      <c r="A259" s="20" t="s">
        <v>156</v>
      </c>
      <c r="B259" s="20" t="s">
        <v>17</v>
      </c>
      <c r="C259" s="20" t="s">
        <v>13</v>
      </c>
      <c r="D259" s="20" t="s">
        <v>14</v>
      </c>
      <c r="E259" s="20" t="s">
        <v>15</v>
      </c>
      <c r="F259" s="20">
        <v>880</v>
      </c>
      <c r="G259" s="11">
        <f>VLOOKUP(A259,'Operational Data'!$A$2:$E$201,3,FALSE)</f>
        <v>81057</v>
      </c>
      <c r="H259" s="11">
        <f>VLOOKUP(A259,'Operational Data'!$A$2:$E$201,4,FALSE)</f>
        <v>675.41</v>
      </c>
      <c r="I259" s="11">
        <f>VLOOKUP(A259,'Operational Data'!$A$2:$E$201,5,FALSE)</f>
        <v>55.44</v>
      </c>
      <c r="J259" s="21">
        <f t="shared" ref="J259:J322" si="4">F259/G259</f>
        <v>1.0856557730979434E-2</v>
      </c>
    </row>
    <row r="260" spans="1:10" x14ac:dyDescent="0.25">
      <c r="A260" s="20" t="s">
        <v>166</v>
      </c>
      <c r="B260" s="20" t="s">
        <v>7</v>
      </c>
      <c r="C260" s="20" t="s">
        <v>8</v>
      </c>
      <c r="D260" s="20" t="s">
        <v>9</v>
      </c>
      <c r="E260" s="20" t="s">
        <v>24</v>
      </c>
      <c r="F260" s="20">
        <v>1240.920038</v>
      </c>
      <c r="G260" s="11">
        <f>VLOOKUP(A260,'Operational Data'!$A$2:$E$201,3,FALSE)</f>
        <v>34318</v>
      </c>
      <c r="H260" s="11">
        <f>VLOOKUP(A260,'Operational Data'!$A$2:$E$201,4,FALSE)</f>
        <v>675.67</v>
      </c>
      <c r="I260" s="11">
        <f>VLOOKUP(A260,'Operational Data'!$A$2:$E$201,5,FALSE)</f>
        <v>41.05</v>
      </c>
      <c r="J260" s="21">
        <f t="shared" si="4"/>
        <v>3.6159450958680575E-2</v>
      </c>
    </row>
    <row r="261" spans="1:10" x14ac:dyDescent="0.25">
      <c r="A261" s="20" t="s">
        <v>47</v>
      </c>
      <c r="B261" s="20" t="s">
        <v>30</v>
      </c>
      <c r="C261" s="20" t="s">
        <v>23</v>
      </c>
      <c r="D261" s="20" t="s">
        <v>14</v>
      </c>
      <c r="E261" s="20" t="s">
        <v>15</v>
      </c>
      <c r="F261" s="20">
        <v>960.86</v>
      </c>
      <c r="G261" s="11">
        <f>VLOOKUP(A261,'Operational Data'!$A$2:$E$201,3,FALSE)</f>
        <v>53661</v>
      </c>
      <c r="H261" s="11">
        <f>VLOOKUP(A261,'Operational Data'!$A$2:$E$201,4,FALSE)</f>
        <v>6965.81</v>
      </c>
      <c r="I261" s="11">
        <f>VLOOKUP(A261,'Operational Data'!$A$2:$E$201,5,FALSE)</f>
        <v>69.400000000000006</v>
      </c>
      <c r="J261" s="21">
        <f t="shared" si="4"/>
        <v>1.7906114310206667E-2</v>
      </c>
    </row>
    <row r="262" spans="1:10" ht="30" x14ac:dyDescent="0.25">
      <c r="A262" s="20" t="s">
        <v>20</v>
      </c>
      <c r="B262" s="20" t="s">
        <v>17</v>
      </c>
      <c r="C262" s="20" t="s">
        <v>8</v>
      </c>
      <c r="D262" s="20" t="s">
        <v>9</v>
      </c>
      <c r="E262" s="20" t="s">
        <v>15</v>
      </c>
      <c r="F262" s="20">
        <v>4165.4782670000004</v>
      </c>
      <c r="G262" s="11">
        <f>VLOOKUP(A262,'Operational Data'!$A$2:$E$201,3,FALSE)</f>
        <v>29895</v>
      </c>
      <c r="H262" s="11">
        <f>VLOOKUP(A262,'Operational Data'!$A$2:$E$201,4,FALSE)</f>
        <v>1631.08</v>
      </c>
      <c r="I262" s="11">
        <f>VLOOKUP(A262,'Operational Data'!$A$2:$E$201,5,FALSE)</f>
        <v>39.93</v>
      </c>
      <c r="J262" s="21">
        <f t="shared" si="4"/>
        <v>0.13933695490884765</v>
      </c>
    </row>
    <row r="263" spans="1:10" x14ac:dyDescent="0.25">
      <c r="A263" s="20" t="s">
        <v>74</v>
      </c>
      <c r="B263" s="20" t="s">
        <v>19</v>
      </c>
      <c r="C263" s="20" t="s">
        <v>23</v>
      </c>
      <c r="D263" s="20" t="s">
        <v>28</v>
      </c>
      <c r="E263" s="20" t="s">
        <v>10</v>
      </c>
      <c r="F263" s="20">
        <v>2805.55</v>
      </c>
      <c r="G263" s="11">
        <f>VLOOKUP(A263,'Operational Data'!$A$2:$E$201,3,FALSE)</f>
        <v>18175</v>
      </c>
      <c r="H263" s="11">
        <f>VLOOKUP(A263,'Operational Data'!$A$2:$E$201,4,FALSE)</f>
        <v>8349.49</v>
      </c>
      <c r="I263" s="11">
        <f>VLOOKUP(A263,'Operational Data'!$A$2:$E$201,5,FALSE)</f>
        <v>39.97</v>
      </c>
      <c r="J263" s="21">
        <f t="shared" si="4"/>
        <v>0.15436313617606603</v>
      </c>
    </row>
    <row r="264" spans="1:10" x14ac:dyDescent="0.25">
      <c r="A264" s="20" t="s">
        <v>163</v>
      </c>
      <c r="B264" s="20" t="s">
        <v>19</v>
      </c>
      <c r="C264" s="20" t="s">
        <v>13</v>
      </c>
      <c r="D264" s="20" t="s">
        <v>9</v>
      </c>
      <c r="E264" s="20" t="s">
        <v>24</v>
      </c>
      <c r="F264" s="20">
        <v>5115.6804760000005</v>
      </c>
      <c r="G264" s="11">
        <f>VLOOKUP(A264,'Operational Data'!$A$2:$E$201,3,FALSE)</f>
        <v>87482</v>
      </c>
      <c r="H264" s="11">
        <f>VLOOKUP(A264,'Operational Data'!$A$2:$E$201,4,FALSE)</f>
        <v>2231.7399999999998</v>
      </c>
      <c r="I264" s="11">
        <f>VLOOKUP(A264,'Operational Data'!$A$2:$E$201,5,FALSE)</f>
        <v>45.43</v>
      </c>
      <c r="J264" s="21">
        <f t="shared" si="4"/>
        <v>5.8476949269564031E-2</v>
      </c>
    </row>
    <row r="265" spans="1:10" x14ac:dyDescent="0.25">
      <c r="A265" s="20" t="s">
        <v>167</v>
      </c>
      <c r="B265" s="20" t="s">
        <v>30</v>
      </c>
      <c r="C265" s="20" t="s">
        <v>34</v>
      </c>
      <c r="D265" s="20" t="s">
        <v>9</v>
      </c>
      <c r="E265" s="20" t="s">
        <v>10</v>
      </c>
      <c r="F265" s="20">
        <v>771.92290009999999</v>
      </c>
      <c r="G265" s="11">
        <f>VLOOKUP(A265,'Operational Data'!$A$2:$E$201,3,FALSE)</f>
        <v>67213</v>
      </c>
      <c r="H265" s="11">
        <f>VLOOKUP(A265,'Operational Data'!$A$2:$E$201,4,FALSE)</f>
        <v>5533.81</v>
      </c>
      <c r="I265" s="11">
        <f>VLOOKUP(A265,'Operational Data'!$A$2:$E$201,5,FALSE)</f>
        <v>90.88</v>
      </c>
      <c r="J265" s="21">
        <f t="shared" si="4"/>
        <v>1.1484726170532486E-2</v>
      </c>
    </row>
    <row r="266" spans="1:10" x14ac:dyDescent="0.25">
      <c r="A266" s="20" t="s">
        <v>163</v>
      </c>
      <c r="B266" s="20" t="s">
        <v>19</v>
      </c>
      <c r="C266" s="20" t="s">
        <v>8</v>
      </c>
      <c r="D266" s="20" t="s">
        <v>28</v>
      </c>
      <c r="E266" s="20" t="s">
        <v>10</v>
      </c>
      <c r="F266" s="20">
        <v>2773.86</v>
      </c>
      <c r="G266" s="11">
        <f>VLOOKUP(A266,'Operational Data'!$A$2:$E$201,3,FALSE)</f>
        <v>87482</v>
      </c>
      <c r="H266" s="11">
        <f>VLOOKUP(A266,'Operational Data'!$A$2:$E$201,4,FALSE)</f>
        <v>2231.7399999999998</v>
      </c>
      <c r="I266" s="11">
        <f>VLOOKUP(A266,'Operational Data'!$A$2:$E$201,5,FALSE)</f>
        <v>45.43</v>
      </c>
      <c r="J266" s="21">
        <f t="shared" si="4"/>
        <v>3.1707779886148008E-2</v>
      </c>
    </row>
    <row r="267" spans="1:10" ht="30" x14ac:dyDescent="0.25">
      <c r="A267" s="20" t="s">
        <v>168</v>
      </c>
      <c r="B267" s="20" t="s">
        <v>17</v>
      </c>
      <c r="C267" s="20" t="s">
        <v>34</v>
      </c>
      <c r="D267" s="20" t="s">
        <v>14</v>
      </c>
      <c r="E267" s="20" t="s">
        <v>10</v>
      </c>
      <c r="F267" s="20">
        <v>3950.71</v>
      </c>
      <c r="G267" s="11">
        <f>VLOOKUP(A267,'Operational Data'!$A$2:$E$201,3,FALSE)</f>
        <v>41050</v>
      </c>
      <c r="H267" s="11">
        <f>VLOOKUP(A267,'Operational Data'!$A$2:$E$201,4,FALSE)</f>
        <v>6025.84</v>
      </c>
      <c r="I267" s="11">
        <f>VLOOKUP(A267,'Operational Data'!$A$2:$E$201,5,FALSE)</f>
        <v>53.53</v>
      </c>
      <c r="J267" s="21">
        <f t="shared" si="4"/>
        <v>9.624141291108404E-2</v>
      </c>
    </row>
    <row r="268" spans="1:10" x14ac:dyDescent="0.25">
      <c r="A268" s="20" t="s">
        <v>97</v>
      </c>
      <c r="B268" s="20" t="s">
        <v>7</v>
      </c>
      <c r="C268" s="20" t="s">
        <v>34</v>
      </c>
      <c r="D268" s="20" t="s">
        <v>28</v>
      </c>
      <c r="E268" s="20" t="s">
        <v>24</v>
      </c>
      <c r="F268" s="20">
        <v>2266.44</v>
      </c>
      <c r="G268" s="11">
        <f>VLOOKUP(A268,'Operational Data'!$A$2:$E$201,3,FALSE)</f>
        <v>78624</v>
      </c>
      <c r="H268" s="11">
        <f>VLOOKUP(A268,'Operational Data'!$A$2:$E$201,4,FALSE)</f>
        <v>2373.27</v>
      </c>
      <c r="I268" s="11">
        <f>VLOOKUP(A268,'Operational Data'!$A$2:$E$201,5,FALSE)</f>
        <v>25.07</v>
      </c>
      <c r="J268" s="21">
        <f t="shared" si="4"/>
        <v>2.8826312576312577E-2</v>
      </c>
    </row>
    <row r="269" spans="1:10" x14ac:dyDescent="0.25">
      <c r="A269" s="20" t="s">
        <v>46</v>
      </c>
      <c r="B269" s="20" t="s">
        <v>30</v>
      </c>
      <c r="C269" s="20" t="s">
        <v>23</v>
      </c>
      <c r="D269" s="20" t="s">
        <v>28</v>
      </c>
      <c r="E269" s="20" t="s">
        <v>24</v>
      </c>
      <c r="F269" s="20">
        <v>4964.76</v>
      </c>
      <c r="G269" s="11">
        <f>VLOOKUP(A269,'Operational Data'!$A$2:$E$201,3,FALSE)</f>
        <v>43490</v>
      </c>
      <c r="H269" s="11">
        <f>VLOOKUP(A269,'Operational Data'!$A$2:$E$201,4,FALSE)</f>
        <v>9300.8799999999992</v>
      </c>
      <c r="I269" s="11">
        <f>VLOOKUP(A269,'Operational Data'!$A$2:$E$201,5,FALSE)</f>
        <v>58.43</v>
      </c>
      <c r="J269" s="21">
        <f t="shared" si="4"/>
        <v>0.11415865716256611</v>
      </c>
    </row>
    <row r="270" spans="1:10" x14ac:dyDescent="0.25">
      <c r="A270" s="20" t="s">
        <v>100</v>
      </c>
      <c r="B270" s="20" t="s">
        <v>7</v>
      </c>
      <c r="C270" s="20" t="s">
        <v>13</v>
      </c>
      <c r="D270" s="20" t="s">
        <v>14</v>
      </c>
      <c r="E270" s="20" t="s">
        <v>15</v>
      </c>
      <c r="F270" s="20">
        <v>2700.64</v>
      </c>
      <c r="G270" s="11">
        <f>VLOOKUP(A270,'Operational Data'!$A$2:$E$201,3,FALSE)</f>
        <v>17468</v>
      </c>
      <c r="H270" s="11">
        <f>VLOOKUP(A270,'Operational Data'!$A$2:$E$201,4,FALSE)</f>
        <v>6359.73</v>
      </c>
      <c r="I270" s="11">
        <f>VLOOKUP(A270,'Operational Data'!$A$2:$E$201,5,FALSE)</f>
        <v>5.22</v>
      </c>
      <c r="J270" s="21">
        <f t="shared" si="4"/>
        <v>0.15460499198534464</v>
      </c>
    </row>
    <row r="271" spans="1:10" x14ac:dyDescent="0.25">
      <c r="A271" s="20" t="s">
        <v>132</v>
      </c>
      <c r="B271" s="20" t="s">
        <v>19</v>
      </c>
      <c r="C271" s="20" t="s">
        <v>8</v>
      </c>
      <c r="D271" s="20" t="s">
        <v>14</v>
      </c>
      <c r="E271" s="20" t="s">
        <v>10</v>
      </c>
      <c r="F271" s="20">
        <v>4643.79</v>
      </c>
      <c r="G271" s="11">
        <f>VLOOKUP(A271,'Operational Data'!$A$2:$E$201,3,FALSE)</f>
        <v>29860</v>
      </c>
      <c r="H271" s="11">
        <f>VLOOKUP(A271,'Operational Data'!$A$2:$E$201,4,FALSE)</f>
        <v>3956.23</v>
      </c>
      <c r="I271" s="11">
        <f>VLOOKUP(A271,'Operational Data'!$A$2:$E$201,5,FALSE)</f>
        <v>57.5</v>
      </c>
      <c r="J271" s="21">
        <f t="shared" si="4"/>
        <v>0.15551875418620228</v>
      </c>
    </row>
    <row r="272" spans="1:10" ht="30" x14ac:dyDescent="0.25">
      <c r="A272" s="20" t="s">
        <v>20</v>
      </c>
      <c r="B272" s="20" t="s">
        <v>17</v>
      </c>
      <c r="C272" s="20" t="s">
        <v>8</v>
      </c>
      <c r="D272" s="20" t="s">
        <v>9</v>
      </c>
      <c r="E272" s="20" t="s">
        <v>24</v>
      </c>
      <c r="F272" s="20">
        <v>4947.7396909999998</v>
      </c>
      <c r="G272" s="11">
        <f>VLOOKUP(A272,'Operational Data'!$A$2:$E$201,3,FALSE)</f>
        <v>29895</v>
      </c>
      <c r="H272" s="11">
        <f>VLOOKUP(A272,'Operational Data'!$A$2:$E$201,4,FALSE)</f>
        <v>1631.08</v>
      </c>
      <c r="I272" s="11">
        <f>VLOOKUP(A272,'Operational Data'!$A$2:$E$201,5,FALSE)</f>
        <v>39.93</v>
      </c>
      <c r="J272" s="21">
        <f t="shared" si="4"/>
        <v>0.16550392008697107</v>
      </c>
    </row>
    <row r="273" spans="1:10" x14ac:dyDescent="0.25">
      <c r="A273" s="20" t="s">
        <v>107</v>
      </c>
      <c r="B273" s="20" t="s">
        <v>30</v>
      </c>
      <c r="C273" s="20" t="s">
        <v>8</v>
      </c>
      <c r="D273" s="20" t="s">
        <v>9</v>
      </c>
      <c r="E273" s="20" t="s">
        <v>10</v>
      </c>
      <c r="F273" s="20">
        <v>2116.6523769999999</v>
      </c>
      <c r="G273" s="11">
        <f>VLOOKUP(A273,'Operational Data'!$A$2:$E$201,3,FALSE)</f>
        <v>69305</v>
      </c>
      <c r="H273" s="11">
        <f>VLOOKUP(A273,'Operational Data'!$A$2:$E$201,4,FALSE)</f>
        <v>3203.67</v>
      </c>
      <c r="I273" s="11">
        <f>VLOOKUP(A273,'Operational Data'!$A$2:$E$201,5,FALSE)</f>
        <v>83.65</v>
      </c>
      <c r="J273" s="21">
        <f t="shared" si="4"/>
        <v>3.0541120799365124E-2</v>
      </c>
    </row>
    <row r="274" spans="1:10" x14ac:dyDescent="0.25">
      <c r="A274" s="20" t="s">
        <v>169</v>
      </c>
      <c r="B274" s="20" t="s">
        <v>12</v>
      </c>
      <c r="C274" s="20" t="s">
        <v>13</v>
      </c>
      <c r="D274" s="20" t="s">
        <v>14</v>
      </c>
      <c r="E274" s="20" t="s">
        <v>10</v>
      </c>
      <c r="F274" s="20">
        <v>425.91</v>
      </c>
      <c r="G274" s="11">
        <f>VLOOKUP(A274,'Operational Data'!$A$2:$E$201,3,FALSE)</f>
        <v>82377</v>
      </c>
      <c r="H274" s="11">
        <f>VLOOKUP(A274,'Operational Data'!$A$2:$E$201,4,FALSE)</f>
        <v>7974.74</v>
      </c>
      <c r="I274" s="11">
        <f>VLOOKUP(A274,'Operational Data'!$A$2:$E$201,5,FALSE)</f>
        <v>9.17</v>
      </c>
      <c r="J274" s="21">
        <f t="shared" si="4"/>
        <v>5.1702538329873636E-3</v>
      </c>
    </row>
    <row r="275" spans="1:10" x14ac:dyDescent="0.25">
      <c r="A275" s="20" t="s">
        <v>170</v>
      </c>
      <c r="B275" s="20" t="s">
        <v>12</v>
      </c>
      <c r="C275" s="20" t="s">
        <v>34</v>
      </c>
      <c r="D275" s="20" t="s">
        <v>28</v>
      </c>
      <c r="E275" s="20" t="s">
        <v>10</v>
      </c>
      <c r="F275" s="20">
        <v>466.45</v>
      </c>
      <c r="G275" s="11">
        <f>VLOOKUP(A275,'Operational Data'!$A$2:$E$201,3,FALSE)</f>
        <v>54133</v>
      </c>
      <c r="H275" s="11">
        <f>VLOOKUP(A275,'Operational Data'!$A$2:$E$201,4,FALSE)</f>
        <v>8543.68</v>
      </c>
      <c r="I275" s="11">
        <f>VLOOKUP(A275,'Operational Data'!$A$2:$E$201,5,FALSE)</f>
        <v>24</v>
      </c>
      <c r="J275" s="21">
        <f t="shared" si="4"/>
        <v>8.6167402508636141E-3</v>
      </c>
    </row>
    <row r="276" spans="1:10" x14ac:dyDescent="0.25">
      <c r="A276" s="20" t="s">
        <v>97</v>
      </c>
      <c r="B276" s="20" t="s">
        <v>7</v>
      </c>
      <c r="C276" s="20" t="s">
        <v>23</v>
      </c>
      <c r="D276" s="20" t="s">
        <v>28</v>
      </c>
      <c r="E276" s="20" t="s">
        <v>15</v>
      </c>
      <c r="F276" s="20">
        <v>1868.24</v>
      </c>
      <c r="G276" s="11">
        <f>VLOOKUP(A276,'Operational Data'!$A$2:$E$201,3,FALSE)</f>
        <v>78624</v>
      </c>
      <c r="H276" s="11">
        <f>VLOOKUP(A276,'Operational Data'!$A$2:$E$201,4,FALSE)</f>
        <v>2373.27</v>
      </c>
      <c r="I276" s="11">
        <f>VLOOKUP(A276,'Operational Data'!$A$2:$E$201,5,FALSE)</f>
        <v>25.07</v>
      </c>
      <c r="J276" s="21">
        <f t="shared" si="4"/>
        <v>2.3761701261701261E-2</v>
      </c>
    </row>
    <row r="277" spans="1:10" ht="30" x14ac:dyDescent="0.25">
      <c r="A277" s="20" t="s">
        <v>156</v>
      </c>
      <c r="B277" s="20" t="s">
        <v>17</v>
      </c>
      <c r="C277" s="20" t="s">
        <v>13</v>
      </c>
      <c r="D277" s="20" t="s">
        <v>9</v>
      </c>
      <c r="E277" s="20" t="s">
        <v>10</v>
      </c>
      <c r="F277" s="20">
        <v>3497.3453829999999</v>
      </c>
      <c r="G277" s="11">
        <f>VLOOKUP(A277,'Operational Data'!$A$2:$E$201,3,FALSE)</f>
        <v>81057</v>
      </c>
      <c r="H277" s="11">
        <f>VLOOKUP(A277,'Operational Data'!$A$2:$E$201,4,FALSE)</f>
        <v>675.41</v>
      </c>
      <c r="I277" s="11">
        <f>VLOOKUP(A277,'Operational Data'!$A$2:$E$201,5,FALSE)</f>
        <v>55.44</v>
      </c>
      <c r="J277" s="21">
        <f t="shared" si="4"/>
        <v>4.3146740972402134E-2</v>
      </c>
    </row>
    <row r="278" spans="1:10" x14ac:dyDescent="0.25">
      <c r="A278" s="20" t="s">
        <v>25</v>
      </c>
      <c r="B278" s="20" t="s">
        <v>19</v>
      </c>
      <c r="C278" s="20" t="s">
        <v>8</v>
      </c>
      <c r="D278" s="20" t="s">
        <v>14</v>
      </c>
      <c r="E278" s="20" t="s">
        <v>15</v>
      </c>
      <c r="F278" s="20">
        <v>3774.06</v>
      </c>
      <c r="G278" s="11">
        <f>VLOOKUP(A278,'Operational Data'!$A$2:$E$201,3,FALSE)</f>
        <v>95306</v>
      </c>
      <c r="H278" s="11">
        <f>VLOOKUP(A278,'Operational Data'!$A$2:$E$201,4,FALSE)</f>
        <v>9037.76</v>
      </c>
      <c r="I278" s="11">
        <f>VLOOKUP(A278,'Operational Data'!$A$2:$E$201,5,FALSE)</f>
        <v>13.35</v>
      </c>
      <c r="J278" s="21">
        <f t="shared" si="4"/>
        <v>3.9599395630915156E-2</v>
      </c>
    </row>
    <row r="279" spans="1:10" ht="30" x14ac:dyDescent="0.25">
      <c r="A279" s="20" t="s">
        <v>129</v>
      </c>
      <c r="B279" s="20" t="s">
        <v>17</v>
      </c>
      <c r="C279" s="20" t="s">
        <v>8</v>
      </c>
      <c r="D279" s="20" t="s">
        <v>28</v>
      </c>
      <c r="E279" s="20" t="s">
        <v>24</v>
      </c>
      <c r="F279" s="20">
        <v>518.79999999999995</v>
      </c>
      <c r="G279" s="11">
        <f>VLOOKUP(A279,'Operational Data'!$A$2:$E$201,3,FALSE)</f>
        <v>95292</v>
      </c>
      <c r="H279" s="11">
        <f>VLOOKUP(A279,'Operational Data'!$A$2:$E$201,4,FALSE)</f>
        <v>697.47</v>
      </c>
      <c r="I279" s="11">
        <f>VLOOKUP(A279,'Operational Data'!$A$2:$E$201,5,FALSE)</f>
        <v>88.35</v>
      </c>
      <c r="J279" s="21">
        <f t="shared" si="4"/>
        <v>5.4443185157201021E-3</v>
      </c>
    </row>
    <row r="280" spans="1:10" ht="30" x14ac:dyDescent="0.25">
      <c r="A280" s="20" t="s">
        <v>171</v>
      </c>
      <c r="B280" s="20" t="s">
        <v>17</v>
      </c>
      <c r="C280" s="20" t="s">
        <v>8</v>
      </c>
      <c r="D280" s="20" t="s">
        <v>28</v>
      </c>
      <c r="E280" s="20" t="s">
        <v>15</v>
      </c>
      <c r="F280" s="20">
        <v>2317.02</v>
      </c>
      <c r="G280" s="11">
        <f>VLOOKUP(A280,'Operational Data'!$A$2:$E$201,3,FALSE)</f>
        <v>24502</v>
      </c>
      <c r="H280" s="11">
        <f>VLOOKUP(A280,'Operational Data'!$A$2:$E$201,4,FALSE)</f>
        <v>7466.86</v>
      </c>
      <c r="I280" s="11">
        <f>VLOOKUP(A280,'Operational Data'!$A$2:$E$201,5,FALSE)</f>
        <v>88.83</v>
      </c>
      <c r="J280" s="21">
        <f t="shared" si="4"/>
        <v>9.456452534486981E-2</v>
      </c>
    </row>
    <row r="281" spans="1:10" x14ac:dyDescent="0.25">
      <c r="A281" s="20" t="s">
        <v>172</v>
      </c>
      <c r="B281" s="20" t="s">
        <v>7</v>
      </c>
      <c r="C281" s="20" t="s">
        <v>8</v>
      </c>
      <c r="D281" s="20" t="s">
        <v>14</v>
      </c>
      <c r="E281" s="20" t="s">
        <v>24</v>
      </c>
      <c r="F281" s="20">
        <v>3340.8</v>
      </c>
      <c r="G281" s="11">
        <f>VLOOKUP(A281,'Operational Data'!$A$2:$E$201,3,FALSE)</f>
        <v>68820</v>
      </c>
      <c r="H281" s="11">
        <f>VLOOKUP(A281,'Operational Data'!$A$2:$E$201,4,FALSE)</f>
        <v>9612.25</v>
      </c>
      <c r="I281" s="11">
        <f>VLOOKUP(A281,'Operational Data'!$A$2:$E$201,5,FALSE)</f>
        <v>83.51</v>
      </c>
      <c r="J281" s="21">
        <f t="shared" si="4"/>
        <v>4.854402789886661E-2</v>
      </c>
    </row>
    <row r="282" spans="1:10" x14ac:dyDescent="0.25">
      <c r="A282" s="20" t="s">
        <v>173</v>
      </c>
      <c r="B282" s="20" t="s">
        <v>30</v>
      </c>
      <c r="C282" s="20" t="s">
        <v>13</v>
      </c>
      <c r="D282" s="20" t="s">
        <v>28</v>
      </c>
      <c r="E282" s="20" t="s">
        <v>15</v>
      </c>
      <c r="F282" s="20">
        <v>3888.93</v>
      </c>
      <c r="G282" s="11">
        <f>VLOOKUP(A282,'Operational Data'!$A$2:$E$201,3,FALSE)</f>
        <v>49620</v>
      </c>
      <c r="H282" s="11">
        <f>VLOOKUP(A282,'Operational Data'!$A$2:$E$201,4,FALSE)</f>
        <v>2424.31</v>
      </c>
      <c r="I282" s="11">
        <f>VLOOKUP(A282,'Operational Data'!$A$2:$E$201,5,FALSE)</f>
        <v>62.09</v>
      </c>
      <c r="J282" s="21">
        <f t="shared" si="4"/>
        <v>7.8374244256348244E-2</v>
      </c>
    </row>
    <row r="283" spans="1:10" x14ac:dyDescent="0.25">
      <c r="A283" s="20" t="s">
        <v>47</v>
      </c>
      <c r="B283" s="20" t="s">
        <v>30</v>
      </c>
      <c r="C283" s="20" t="s">
        <v>23</v>
      </c>
      <c r="D283" s="20" t="s">
        <v>9</v>
      </c>
      <c r="E283" s="20" t="s">
        <v>24</v>
      </c>
      <c r="F283" s="20">
        <v>4696.2290000000003</v>
      </c>
      <c r="G283" s="11">
        <f>VLOOKUP(A283,'Operational Data'!$A$2:$E$201,3,FALSE)</f>
        <v>53661</v>
      </c>
      <c r="H283" s="11">
        <f>VLOOKUP(A283,'Operational Data'!$A$2:$E$201,4,FALSE)</f>
        <v>6965.81</v>
      </c>
      <c r="I283" s="11">
        <f>VLOOKUP(A283,'Operational Data'!$A$2:$E$201,5,FALSE)</f>
        <v>69.400000000000006</v>
      </c>
      <c r="J283" s="21">
        <f t="shared" si="4"/>
        <v>8.7516613555468595E-2</v>
      </c>
    </row>
    <row r="284" spans="1:10" x14ac:dyDescent="0.25">
      <c r="A284" s="20" t="s">
        <v>44</v>
      </c>
      <c r="B284" s="20" t="s">
        <v>19</v>
      </c>
      <c r="C284" s="20" t="s">
        <v>23</v>
      </c>
      <c r="D284" s="20" t="s">
        <v>28</v>
      </c>
      <c r="E284" s="20" t="s">
        <v>15</v>
      </c>
      <c r="F284" s="20">
        <v>149.05000000000001</v>
      </c>
      <c r="G284" s="11">
        <f>VLOOKUP(A284,'Operational Data'!$A$2:$E$201,3,FALSE)</f>
        <v>16256</v>
      </c>
      <c r="H284" s="11">
        <f>VLOOKUP(A284,'Operational Data'!$A$2:$E$201,4,FALSE)</f>
        <v>2127.1799999999998</v>
      </c>
      <c r="I284" s="11">
        <f>VLOOKUP(A284,'Operational Data'!$A$2:$E$201,5,FALSE)</f>
        <v>38.94</v>
      </c>
      <c r="J284" s="21">
        <f t="shared" si="4"/>
        <v>9.1689222440944889E-3</v>
      </c>
    </row>
    <row r="285" spans="1:10" x14ac:dyDescent="0.25">
      <c r="A285" s="20" t="s">
        <v>77</v>
      </c>
      <c r="B285" s="20" t="s">
        <v>30</v>
      </c>
      <c r="C285" s="20" t="s">
        <v>13</v>
      </c>
      <c r="D285" s="20" t="s">
        <v>9</v>
      </c>
      <c r="E285" s="20" t="s">
        <v>24</v>
      </c>
      <c r="F285" s="20">
        <v>3665.9483260000002</v>
      </c>
      <c r="G285" s="11">
        <f>VLOOKUP(A285,'Operational Data'!$A$2:$E$201,3,FALSE)</f>
        <v>61942</v>
      </c>
      <c r="H285" s="11">
        <f>VLOOKUP(A285,'Operational Data'!$A$2:$E$201,4,FALSE)</f>
        <v>4891.32</v>
      </c>
      <c r="I285" s="11">
        <f>VLOOKUP(A285,'Operational Data'!$A$2:$E$201,5,FALSE)</f>
        <v>91.59</v>
      </c>
      <c r="J285" s="21">
        <f t="shared" si="4"/>
        <v>5.9183564076071164E-2</v>
      </c>
    </row>
    <row r="286" spans="1:10" x14ac:dyDescent="0.25">
      <c r="A286" s="20" t="s">
        <v>49</v>
      </c>
      <c r="B286" s="20" t="s">
        <v>19</v>
      </c>
      <c r="C286" s="20" t="s">
        <v>13</v>
      </c>
      <c r="D286" s="20" t="s">
        <v>14</v>
      </c>
      <c r="E286" s="20" t="s">
        <v>10</v>
      </c>
      <c r="F286" s="20">
        <v>4101.93</v>
      </c>
      <c r="G286" s="11">
        <f>VLOOKUP(A286,'Operational Data'!$A$2:$E$201,3,FALSE)</f>
        <v>50306</v>
      </c>
      <c r="H286" s="11">
        <f>VLOOKUP(A286,'Operational Data'!$A$2:$E$201,4,FALSE)</f>
        <v>7031.37</v>
      </c>
      <c r="I286" s="11">
        <f>VLOOKUP(A286,'Operational Data'!$A$2:$E$201,5,FALSE)</f>
        <v>13.27</v>
      </c>
      <c r="J286" s="21">
        <f t="shared" si="4"/>
        <v>8.1539577783962161E-2</v>
      </c>
    </row>
    <row r="287" spans="1:10" x14ac:dyDescent="0.25">
      <c r="A287" s="20" t="s">
        <v>123</v>
      </c>
      <c r="B287" s="20" t="s">
        <v>30</v>
      </c>
      <c r="C287" s="20" t="s">
        <v>34</v>
      </c>
      <c r="D287" s="20" t="s">
        <v>14</v>
      </c>
      <c r="E287" s="20" t="s">
        <v>24</v>
      </c>
      <c r="F287" s="20">
        <v>2897.14</v>
      </c>
      <c r="G287" s="11">
        <f>VLOOKUP(A287,'Operational Data'!$A$2:$E$201,3,FALSE)</f>
        <v>73977</v>
      </c>
      <c r="H287" s="11">
        <f>VLOOKUP(A287,'Operational Data'!$A$2:$E$201,4,FALSE)</f>
        <v>1646.75</v>
      </c>
      <c r="I287" s="11">
        <f>VLOOKUP(A287,'Operational Data'!$A$2:$E$201,5,FALSE)</f>
        <v>43.77</v>
      </c>
      <c r="J287" s="21">
        <f t="shared" si="4"/>
        <v>3.9162712735039268E-2</v>
      </c>
    </row>
    <row r="288" spans="1:10" x14ac:dyDescent="0.25">
      <c r="A288" s="20" t="s">
        <v>63</v>
      </c>
      <c r="B288" s="20" t="s">
        <v>12</v>
      </c>
      <c r="C288" s="20" t="s">
        <v>34</v>
      </c>
      <c r="D288" s="20" t="s">
        <v>14</v>
      </c>
      <c r="E288" s="20" t="s">
        <v>15</v>
      </c>
      <c r="F288" s="20">
        <v>828.73</v>
      </c>
      <c r="G288" s="11">
        <f>VLOOKUP(A288,'Operational Data'!$A$2:$E$201,3,FALSE)</f>
        <v>33688</v>
      </c>
      <c r="H288" s="11">
        <f>VLOOKUP(A288,'Operational Data'!$A$2:$E$201,4,FALSE)</f>
        <v>9495.48</v>
      </c>
      <c r="I288" s="11">
        <f>VLOOKUP(A288,'Operational Data'!$A$2:$E$201,5,FALSE)</f>
        <v>55.55</v>
      </c>
      <c r="J288" s="21">
        <f t="shared" si="4"/>
        <v>2.4600154357634768E-2</v>
      </c>
    </row>
    <row r="289" spans="1:10" x14ac:dyDescent="0.25">
      <c r="A289" s="20" t="s">
        <v>122</v>
      </c>
      <c r="B289" s="20" t="s">
        <v>19</v>
      </c>
      <c r="C289" s="20" t="s">
        <v>34</v>
      </c>
      <c r="D289" s="20" t="s">
        <v>28</v>
      </c>
      <c r="E289" s="20" t="s">
        <v>15</v>
      </c>
      <c r="F289" s="20">
        <v>3155.64</v>
      </c>
      <c r="G289" s="11">
        <f>VLOOKUP(A289,'Operational Data'!$A$2:$E$201,3,FALSE)</f>
        <v>95962</v>
      </c>
      <c r="H289" s="11">
        <f>VLOOKUP(A289,'Operational Data'!$A$2:$E$201,4,FALSE)</f>
        <v>524.72</v>
      </c>
      <c r="I289" s="11">
        <f>VLOOKUP(A289,'Operational Data'!$A$2:$E$201,5,FALSE)</f>
        <v>49.55</v>
      </c>
      <c r="J289" s="21">
        <f t="shared" si="4"/>
        <v>3.2884266688897684E-2</v>
      </c>
    </row>
    <row r="290" spans="1:10" x14ac:dyDescent="0.25">
      <c r="A290" s="20" t="s">
        <v>48</v>
      </c>
      <c r="B290" s="20" t="s">
        <v>19</v>
      </c>
      <c r="C290" s="20" t="s">
        <v>34</v>
      </c>
      <c r="D290" s="20" t="s">
        <v>14</v>
      </c>
      <c r="E290" s="20" t="s">
        <v>15</v>
      </c>
      <c r="F290" s="20">
        <v>3573.8</v>
      </c>
      <c r="G290" s="11">
        <f>VLOOKUP(A290,'Operational Data'!$A$2:$E$201,3,FALSE)</f>
        <v>11952</v>
      </c>
      <c r="H290" s="11">
        <f>VLOOKUP(A290,'Operational Data'!$A$2:$E$201,4,FALSE)</f>
        <v>4637.74</v>
      </c>
      <c r="I290" s="11">
        <f>VLOOKUP(A290,'Operational Data'!$A$2:$E$201,5,FALSE)</f>
        <v>63.78</v>
      </c>
      <c r="J290" s="21">
        <f t="shared" si="4"/>
        <v>0.29901271753681391</v>
      </c>
    </row>
    <row r="291" spans="1:10" x14ac:dyDescent="0.25">
      <c r="A291" s="20" t="s">
        <v>145</v>
      </c>
      <c r="B291" s="20" t="s">
        <v>7</v>
      </c>
      <c r="C291" s="20" t="s">
        <v>8</v>
      </c>
      <c r="D291" s="20" t="s">
        <v>28</v>
      </c>
      <c r="E291" s="20" t="s">
        <v>24</v>
      </c>
      <c r="F291" s="20">
        <v>4315.67</v>
      </c>
      <c r="G291" s="11">
        <f>VLOOKUP(A291,'Operational Data'!$A$2:$E$201,3,FALSE)</f>
        <v>60710</v>
      </c>
      <c r="H291" s="11">
        <f>VLOOKUP(A291,'Operational Data'!$A$2:$E$201,4,FALSE)</f>
        <v>2726.26</v>
      </c>
      <c r="I291" s="11">
        <f>VLOOKUP(A291,'Operational Data'!$A$2:$E$201,5,FALSE)</f>
        <v>83.02</v>
      </c>
      <c r="J291" s="21">
        <f t="shared" si="4"/>
        <v>7.1086641409981888E-2</v>
      </c>
    </row>
    <row r="292" spans="1:10" x14ac:dyDescent="0.25">
      <c r="A292" s="20" t="s">
        <v>48</v>
      </c>
      <c r="B292" s="20" t="s">
        <v>19</v>
      </c>
      <c r="C292" s="20" t="s">
        <v>13</v>
      </c>
      <c r="D292" s="20" t="s">
        <v>14</v>
      </c>
      <c r="E292" s="20" t="s">
        <v>10</v>
      </c>
      <c r="F292" s="20">
        <v>265.31</v>
      </c>
      <c r="G292" s="11">
        <f>VLOOKUP(A292,'Operational Data'!$A$2:$E$201,3,FALSE)</f>
        <v>11952</v>
      </c>
      <c r="H292" s="11">
        <f>VLOOKUP(A292,'Operational Data'!$A$2:$E$201,4,FALSE)</f>
        <v>4637.74</v>
      </c>
      <c r="I292" s="11">
        <f>VLOOKUP(A292,'Operational Data'!$A$2:$E$201,5,FALSE)</f>
        <v>63.78</v>
      </c>
      <c r="J292" s="21">
        <f t="shared" si="4"/>
        <v>2.2197958500669343E-2</v>
      </c>
    </row>
    <row r="293" spans="1:10" x14ac:dyDescent="0.25">
      <c r="A293" s="20" t="s">
        <v>40</v>
      </c>
      <c r="B293" s="20" t="s">
        <v>19</v>
      </c>
      <c r="C293" s="20" t="s">
        <v>8</v>
      </c>
      <c r="D293" s="20" t="s">
        <v>28</v>
      </c>
      <c r="E293" s="20" t="s">
        <v>24</v>
      </c>
      <c r="F293" s="20">
        <v>392.52</v>
      </c>
      <c r="G293" s="11">
        <f>VLOOKUP(A293,'Operational Data'!$A$2:$E$201,3,FALSE)</f>
        <v>96474</v>
      </c>
      <c r="H293" s="11">
        <f>VLOOKUP(A293,'Operational Data'!$A$2:$E$201,4,FALSE)</f>
        <v>7574.39</v>
      </c>
      <c r="I293" s="11">
        <f>VLOOKUP(A293,'Operational Data'!$A$2:$E$201,5,FALSE)</f>
        <v>95.54</v>
      </c>
      <c r="J293" s="21">
        <f t="shared" si="4"/>
        <v>4.0686609863797496E-3</v>
      </c>
    </row>
    <row r="294" spans="1:10" x14ac:dyDescent="0.25">
      <c r="A294" s="20" t="s">
        <v>139</v>
      </c>
      <c r="B294" s="20" t="s">
        <v>7</v>
      </c>
      <c r="C294" s="20" t="s">
        <v>23</v>
      </c>
      <c r="D294" s="20" t="s">
        <v>28</v>
      </c>
      <c r="E294" s="20" t="s">
        <v>24</v>
      </c>
      <c r="F294" s="20">
        <v>3807.44</v>
      </c>
      <c r="G294" s="11">
        <f>VLOOKUP(A294,'Operational Data'!$A$2:$E$201,3,FALSE)</f>
        <v>10067</v>
      </c>
      <c r="H294" s="11">
        <f>VLOOKUP(A294,'Operational Data'!$A$2:$E$201,4,FALSE)</f>
        <v>1953.33</v>
      </c>
      <c r="I294" s="11">
        <f>VLOOKUP(A294,'Operational Data'!$A$2:$E$201,5,FALSE)</f>
        <v>25.15</v>
      </c>
      <c r="J294" s="21">
        <f t="shared" si="4"/>
        <v>0.37820999304658787</v>
      </c>
    </row>
    <row r="295" spans="1:10" x14ac:dyDescent="0.25">
      <c r="A295" s="20" t="s">
        <v>90</v>
      </c>
      <c r="B295" s="20" t="s">
        <v>19</v>
      </c>
      <c r="C295" s="20" t="s">
        <v>8</v>
      </c>
      <c r="D295" s="20" t="s">
        <v>9</v>
      </c>
      <c r="E295" s="20" t="s">
        <v>24</v>
      </c>
      <c r="F295" s="20">
        <v>3118.1759889999998</v>
      </c>
      <c r="G295" s="11">
        <f>VLOOKUP(A295,'Operational Data'!$A$2:$E$201,3,FALSE)</f>
        <v>97337</v>
      </c>
      <c r="H295" s="11">
        <f>VLOOKUP(A295,'Operational Data'!$A$2:$E$201,4,FALSE)</f>
        <v>3362.06</v>
      </c>
      <c r="I295" s="11">
        <f>VLOOKUP(A295,'Operational Data'!$A$2:$E$201,5,FALSE)</f>
        <v>55.46</v>
      </c>
      <c r="J295" s="21">
        <f t="shared" si="4"/>
        <v>3.203484788929184E-2</v>
      </c>
    </row>
    <row r="296" spans="1:10" x14ac:dyDescent="0.25">
      <c r="A296" s="20" t="s">
        <v>174</v>
      </c>
      <c r="B296" s="20" t="s">
        <v>19</v>
      </c>
      <c r="C296" s="20" t="s">
        <v>34</v>
      </c>
      <c r="D296" s="20" t="s">
        <v>14</v>
      </c>
      <c r="E296" s="20" t="s">
        <v>24</v>
      </c>
      <c r="F296" s="20">
        <v>1947.59</v>
      </c>
      <c r="G296" s="11">
        <f>VLOOKUP(A296,'Operational Data'!$A$2:$E$201,3,FALSE)</f>
        <v>66163</v>
      </c>
      <c r="H296" s="11">
        <f>VLOOKUP(A296,'Operational Data'!$A$2:$E$201,4,FALSE)</f>
        <v>1416.57</v>
      </c>
      <c r="I296" s="11">
        <f>VLOOKUP(A296,'Operational Data'!$A$2:$E$201,5,FALSE)</f>
        <v>68.73</v>
      </c>
      <c r="J296" s="21">
        <f t="shared" si="4"/>
        <v>2.9436240799238244E-2</v>
      </c>
    </row>
    <row r="297" spans="1:10" x14ac:dyDescent="0.25">
      <c r="A297" s="20" t="s">
        <v>175</v>
      </c>
      <c r="B297" s="20" t="s">
        <v>7</v>
      </c>
      <c r="C297" s="20" t="s">
        <v>8</v>
      </c>
      <c r="D297" s="20" t="s">
        <v>28</v>
      </c>
      <c r="E297" s="20" t="s">
        <v>24</v>
      </c>
      <c r="F297" s="20">
        <v>4464.43</v>
      </c>
      <c r="G297" s="11">
        <f>VLOOKUP(A297,'Operational Data'!$A$2:$E$201,3,FALSE)</f>
        <v>83923</v>
      </c>
      <c r="H297" s="11">
        <f>VLOOKUP(A297,'Operational Data'!$A$2:$E$201,4,FALSE)</f>
        <v>8768.7999999999993</v>
      </c>
      <c r="I297" s="11">
        <f>VLOOKUP(A297,'Operational Data'!$A$2:$E$201,5,FALSE)</f>
        <v>65.290000000000006</v>
      </c>
      <c r="J297" s="21">
        <f t="shared" si="4"/>
        <v>5.3196739868689162E-2</v>
      </c>
    </row>
    <row r="298" spans="1:10" x14ac:dyDescent="0.25">
      <c r="A298" s="20" t="s">
        <v>176</v>
      </c>
      <c r="B298" s="20" t="s">
        <v>19</v>
      </c>
      <c r="C298" s="20" t="s">
        <v>13</v>
      </c>
      <c r="D298" s="20" t="s">
        <v>14</v>
      </c>
      <c r="E298" s="20" t="s">
        <v>10</v>
      </c>
      <c r="F298" s="20">
        <v>2252.36</v>
      </c>
      <c r="G298" s="11">
        <f>VLOOKUP(A298,'Operational Data'!$A$2:$E$201,3,FALSE)</f>
        <v>10907</v>
      </c>
      <c r="H298" s="11">
        <f>VLOOKUP(A298,'Operational Data'!$A$2:$E$201,4,FALSE)</f>
        <v>4748.66</v>
      </c>
      <c r="I298" s="11">
        <f>VLOOKUP(A298,'Operational Data'!$A$2:$E$201,5,FALSE)</f>
        <v>39.36</v>
      </c>
      <c r="J298" s="21">
        <f t="shared" si="4"/>
        <v>0.20650591363344642</v>
      </c>
    </row>
    <row r="299" spans="1:10" x14ac:dyDescent="0.25">
      <c r="A299" s="20" t="s">
        <v>64</v>
      </c>
      <c r="B299" s="20" t="s">
        <v>30</v>
      </c>
      <c r="C299" s="20" t="s">
        <v>8</v>
      </c>
      <c r="D299" s="20" t="s">
        <v>9</v>
      </c>
      <c r="E299" s="20" t="s">
        <v>15</v>
      </c>
      <c r="F299" s="20">
        <v>2203.84</v>
      </c>
      <c r="G299" s="11">
        <f>VLOOKUP(A299,'Operational Data'!$A$2:$E$201,3,FALSE)</f>
        <v>52836</v>
      </c>
      <c r="H299" s="11">
        <f>VLOOKUP(A299,'Operational Data'!$A$2:$E$201,4,FALSE)</f>
        <v>9330.2999999999993</v>
      </c>
      <c r="I299" s="11">
        <f>VLOOKUP(A299,'Operational Data'!$A$2:$E$201,5,FALSE)</f>
        <v>87.27</v>
      </c>
      <c r="J299" s="21">
        <f t="shared" si="4"/>
        <v>4.1710954652131128E-2</v>
      </c>
    </row>
    <row r="300" spans="1:10" x14ac:dyDescent="0.25">
      <c r="A300" s="20" t="s">
        <v>71</v>
      </c>
      <c r="B300" s="20" t="s">
        <v>7</v>
      </c>
      <c r="C300" s="20" t="s">
        <v>34</v>
      </c>
      <c r="D300" s="20" t="s">
        <v>14</v>
      </c>
      <c r="E300" s="20" t="s">
        <v>15</v>
      </c>
      <c r="F300" s="20">
        <v>673.38</v>
      </c>
      <c r="G300" s="11">
        <f>VLOOKUP(A300,'Operational Data'!$A$2:$E$201,3,FALSE)</f>
        <v>68018</v>
      </c>
      <c r="H300" s="11">
        <f>VLOOKUP(A300,'Operational Data'!$A$2:$E$201,4,FALSE)</f>
        <v>3523.4</v>
      </c>
      <c r="I300" s="11">
        <f>VLOOKUP(A300,'Operational Data'!$A$2:$E$201,5,FALSE)</f>
        <v>92.26</v>
      </c>
      <c r="J300" s="21">
        <f t="shared" si="4"/>
        <v>9.9000264635831694E-3</v>
      </c>
    </row>
    <row r="301" spans="1:10" x14ac:dyDescent="0.25">
      <c r="A301" s="20" t="s">
        <v>153</v>
      </c>
      <c r="B301" s="20" t="s">
        <v>7</v>
      </c>
      <c r="C301" s="20" t="s">
        <v>23</v>
      </c>
      <c r="D301" s="20" t="s">
        <v>28</v>
      </c>
      <c r="E301" s="20" t="s">
        <v>10</v>
      </c>
      <c r="F301" s="20">
        <v>3879.17</v>
      </c>
      <c r="G301" s="11">
        <f>VLOOKUP(A301,'Operational Data'!$A$2:$E$201,3,FALSE)</f>
        <v>21388</v>
      </c>
      <c r="H301" s="11">
        <f>VLOOKUP(A301,'Operational Data'!$A$2:$E$201,4,FALSE)</f>
        <v>5249.39</v>
      </c>
      <c r="I301" s="11">
        <f>VLOOKUP(A301,'Operational Data'!$A$2:$E$201,5,FALSE)</f>
        <v>64.2</v>
      </c>
      <c r="J301" s="21">
        <f t="shared" si="4"/>
        <v>0.18137132971759864</v>
      </c>
    </row>
    <row r="302" spans="1:10" x14ac:dyDescent="0.25">
      <c r="A302" s="20" t="s">
        <v>150</v>
      </c>
      <c r="B302" s="20" t="s">
        <v>30</v>
      </c>
      <c r="C302" s="20" t="s">
        <v>8</v>
      </c>
      <c r="D302" s="20" t="s">
        <v>28</v>
      </c>
      <c r="E302" s="20" t="s">
        <v>15</v>
      </c>
      <c r="F302" s="20">
        <v>404.42</v>
      </c>
      <c r="G302" s="11">
        <f>VLOOKUP(A302,'Operational Data'!$A$2:$E$201,3,FALSE)</f>
        <v>98356</v>
      </c>
      <c r="H302" s="11">
        <f>VLOOKUP(A302,'Operational Data'!$A$2:$E$201,4,FALSE)</f>
        <v>6968.69</v>
      </c>
      <c r="I302" s="11">
        <f>VLOOKUP(A302,'Operational Data'!$A$2:$E$201,5,FALSE)</f>
        <v>81.72</v>
      </c>
      <c r="J302" s="21">
        <f t="shared" si="4"/>
        <v>4.1117979584366993E-3</v>
      </c>
    </row>
    <row r="303" spans="1:10" ht="30" x14ac:dyDescent="0.25">
      <c r="A303" s="20" t="s">
        <v>82</v>
      </c>
      <c r="B303" s="20" t="s">
        <v>17</v>
      </c>
      <c r="C303" s="20" t="s">
        <v>23</v>
      </c>
      <c r="D303" s="20" t="s">
        <v>9</v>
      </c>
      <c r="E303" s="20" t="s">
        <v>24</v>
      </c>
      <c r="F303" s="20">
        <v>3415.97</v>
      </c>
      <c r="G303" s="11">
        <f>VLOOKUP(A303,'Operational Data'!$A$2:$E$201,3,FALSE)</f>
        <v>93409</v>
      </c>
      <c r="H303" s="11">
        <f>VLOOKUP(A303,'Operational Data'!$A$2:$E$201,4,FALSE)</f>
        <v>2375.83</v>
      </c>
      <c r="I303" s="11">
        <f>VLOOKUP(A303,'Operational Data'!$A$2:$E$201,5,FALSE)</f>
        <v>5.83</v>
      </c>
      <c r="J303" s="21">
        <f t="shared" si="4"/>
        <v>3.6570030725090727E-2</v>
      </c>
    </row>
    <row r="304" spans="1:10" x14ac:dyDescent="0.25">
      <c r="A304" s="20" t="s">
        <v>124</v>
      </c>
      <c r="B304" s="20" t="s">
        <v>12</v>
      </c>
      <c r="C304" s="20" t="s">
        <v>23</v>
      </c>
      <c r="D304" s="20" t="s">
        <v>9</v>
      </c>
      <c r="E304" s="20" t="s">
        <v>10</v>
      </c>
      <c r="F304" s="20">
        <v>3091.3923770000001</v>
      </c>
      <c r="G304" s="11">
        <f>VLOOKUP(A304,'Operational Data'!$A$2:$E$201,3,FALSE)</f>
        <v>47491</v>
      </c>
      <c r="H304" s="11">
        <f>VLOOKUP(A304,'Operational Data'!$A$2:$E$201,4,FALSE)</f>
        <v>5781.05</v>
      </c>
      <c r="I304" s="11">
        <f>VLOOKUP(A304,'Operational Data'!$A$2:$E$201,5,FALSE)</f>
        <v>92.18</v>
      </c>
      <c r="J304" s="21">
        <f t="shared" si="4"/>
        <v>6.5094278431702846E-2</v>
      </c>
    </row>
    <row r="305" spans="1:10" x14ac:dyDescent="0.25">
      <c r="A305" s="20" t="s">
        <v>66</v>
      </c>
      <c r="B305" s="20" t="s">
        <v>30</v>
      </c>
      <c r="C305" s="20" t="s">
        <v>23</v>
      </c>
      <c r="D305" s="20" t="s">
        <v>28</v>
      </c>
      <c r="E305" s="20" t="s">
        <v>24</v>
      </c>
      <c r="F305" s="20">
        <v>3216.77</v>
      </c>
      <c r="G305" s="11">
        <f>VLOOKUP(A305,'Operational Data'!$A$2:$E$201,3,FALSE)</f>
        <v>98396</v>
      </c>
      <c r="H305" s="11">
        <f>VLOOKUP(A305,'Operational Data'!$A$2:$E$201,4,FALSE)</f>
        <v>5174.07</v>
      </c>
      <c r="I305" s="11">
        <f>VLOOKUP(A305,'Operational Data'!$A$2:$E$201,5,FALSE)</f>
        <v>63.38</v>
      </c>
      <c r="J305" s="21">
        <f t="shared" si="4"/>
        <v>3.2692080978901583E-2</v>
      </c>
    </row>
    <row r="306" spans="1:10" x14ac:dyDescent="0.25">
      <c r="A306" s="20" t="s">
        <v>40</v>
      </c>
      <c r="B306" s="20" t="s">
        <v>19</v>
      </c>
      <c r="C306" s="20" t="s">
        <v>8</v>
      </c>
      <c r="D306" s="20" t="s">
        <v>9</v>
      </c>
      <c r="E306" s="20" t="s">
        <v>10</v>
      </c>
      <c r="F306" s="20">
        <v>2200.2044230000001</v>
      </c>
      <c r="G306" s="11">
        <f>VLOOKUP(A306,'Operational Data'!$A$2:$E$201,3,FALSE)</f>
        <v>96474</v>
      </c>
      <c r="H306" s="11">
        <f>VLOOKUP(A306,'Operational Data'!$A$2:$E$201,4,FALSE)</f>
        <v>7574.39</v>
      </c>
      <c r="I306" s="11">
        <f>VLOOKUP(A306,'Operational Data'!$A$2:$E$201,5,FALSE)</f>
        <v>95.54</v>
      </c>
      <c r="J306" s="21">
        <f t="shared" si="4"/>
        <v>2.2806190507286939E-2</v>
      </c>
    </row>
    <row r="307" spans="1:10" x14ac:dyDescent="0.25">
      <c r="A307" s="20" t="s">
        <v>72</v>
      </c>
      <c r="B307" s="20" t="s">
        <v>19</v>
      </c>
      <c r="C307" s="20" t="s">
        <v>8</v>
      </c>
      <c r="D307" s="20" t="s">
        <v>14</v>
      </c>
      <c r="E307" s="20" t="s">
        <v>15</v>
      </c>
      <c r="F307" s="20">
        <v>4874.88</v>
      </c>
      <c r="G307" s="11">
        <f>VLOOKUP(A307,'Operational Data'!$A$2:$E$201,3,FALSE)</f>
        <v>29318</v>
      </c>
      <c r="H307" s="11">
        <f>VLOOKUP(A307,'Operational Data'!$A$2:$E$201,4,FALSE)</f>
        <v>9860.6200000000008</v>
      </c>
      <c r="I307" s="11">
        <f>VLOOKUP(A307,'Operational Data'!$A$2:$E$201,5,FALSE)</f>
        <v>14.58</v>
      </c>
      <c r="J307" s="21">
        <f t="shared" si="4"/>
        <v>0.16627600791322739</v>
      </c>
    </row>
    <row r="308" spans="1:10" x14ac:dyDescent="0.25">
      <c r="A308" s="20" t="s">
        <v>63</v>
      </c>
      <c r="B308" s="20" t="s">
        <v>12</v>
      </c>
      <c r="C308" s="20" t="s">
        <v>34</v>
      </c>
      <c r="D308" s="20" t="s">
        <v>14</v>
      </c>
      <c r="E308" s="20" t="s">
        <v>24</v>
      </c>
      <c r="F308" s="20">
        <v>3104.55</v>
      </c>
      <c r="G308" s="11">
        <f>VLOOKUP(A308,'Operational Data'!$A$2:$E$201,3,FALSE)</f>
        <v>33688</v>
      </c>
      <c r="H308" s="11">
        <f>VLOOKUP(A308,'Operational Data'!$A$2:$E$201,4,FALSE)</f>
        <v>9495.48</v>
      </c>
      <c r="I308" s="11">
        <f>VLOOKUP(A308,'Operational Data'!$A$2:$E$201,5,FALSE)</f>
        <v>55.55</v>
      </c>
      <c r="J308" s="21">
        <f t="shared" si="4"/>
        <v>9.2155960579434815E-2</v>
      </c>
    </row>
    <row r="309" spans="1:10" x14ac:dyDescent="0.25">
      <c r="A309" s="20" t="s">
        <v>62</v>
      </c>
      <c r="B309" s="20" t="s">
        <v>30</v>
      </c>
      <c r="C309" s="20" t="s">
        <v>8</v>
      </c>
      <c r="D309" s="20" t="s">
        <v>9</v>
      </c>
      <c r="E309" s="20" t="s">
        <v>24</v>
      </c>
      <c r="F309" s="20">
        <v>3500.3246159999999</v>
      </c>
      <c r="G309" s="11">
        <f>VLOOKUP(A309,'Operational Data'!$A$2:$E$201,3,FALSE)</f>
        <v>22309</v>
      </c>
      <c r="H309" s="11">
        <f>VLOOKUP(A309,'Operational Data'!$A$2:$E$201,4,FALSE)</f>
        <v>3656.29</v>
      </c>
      <c r="I309" s="11">
        <f>VLOOKUP(A309,'Operational Data'!$A$2:$E$201,5,FALSE)</f>
        <v>75.25</v>
      </c>
      <c r="J309" s="21">
        <f t="shared" si="4"/>
        <v>0.15690190577793714</v>
      </c>
    </row>
    <row r="310" spans="1:10" x14ac:dyDescent="0.25">
      <c r="A310" s="20" t="s">
        <v>153</v>
      </c>
      <c r="B310" s="20" t="s">
        <v>7</v>
      </c>
      <c r="C310" s="20" t="s">
        <v>23</v>
      </c>
      <c r="D310" s="20" t="s">
        <v>9</v>
      </c>
      <c r="E310" s="20" t="s">
        <v>10</v>
      </c>
      <c r="F310" s="20">
        <v>3041.1635329999999</v>
      </c>
      <c r="G310" s="11">
        <f>VLOOKUP(A310,'Operational Data'!$A$2:$E$201,3,FALSE)</f>
        <v>21388</v>
      </c>
      <c r="H310" s="11">
        <f>VLOOKUP(A310,'Operational Data'!$A$2:$E$201,4,FALSE)</f>
        <v>5249.39</v>
      </c>
      <c r="I310" s="11">
        <f>VLOOKUP(A310,'Operational Data'!$A$2:$E$201,5,FALSE)</f>
        <v>64.2</v>
      </c>
      <c r="J310" s="21">
        <f t="shared" si="4"/>
        <v>0.1421901782775388</v>
      </c>
    </row>
    <row r="311" spans="1:10" x14ac:dyDescent="0.25">
      <c r="A311" s="20" t="s">
        <v>177</v>
      </c>
      <c r="B311" s="20" t="s">
        <v>7</v>
      </c>
      <c r="C311" s="20" t="s">
        <v>8</v>
      </c>
      <c r="D311" s="20" t="s">
        <v>9</v>
      </c>
      <c r="E311" s="20" t="s">
        <v>10</v>
      </c>
      <c r="F311" s="20">
        <v>4584.1555330000001</v>
      </c>
      <c r="G311" s="11">
        <f>VLOOKUP(A311,'Operational Data'!$A$2:$E$201,3,FALSE)</f>
        <v>17097</v>
      </c>
      <c r="H311" s="11">
        <f>VLOOKUP(A311,'Operational Data'!$A$2:$E$201,4,FALSE)</f>
        <v>9061.7800000000007</v>
      </c>
      <c r="I311" s="11">
        <f>VLOOKUP(A311,'Operational Data'!$A$2:$E$201,5,FALSE)</f>
        <v>95.92</v>
      </c>
      <c r="J311" s="21">
        <f t="shared" si="4"/>
        <v>0.26812631063929343</v>
      </c>
    </row>
    <row r="312" spans="1:10" x14ac:dyDescent="0.25">
      <c r="A312" s="20" t="s">
        <v>139</v>
      </c>
      <c r="B312" s="20" t="s">
        <v>7</v>
      </c>
      <c r="C312" s="20" t="s">
        <v>34</v>
      </c>
      <c r="D312" s="20" t="s">
        <v>9</v>
      </c>
      <c r="E312" s="20" t="s">
        <v>10</v>
      </c>
      <c r="F312" s="20">
        <v>3894.0086139999999</v>
      </c>
      <c r="G312" s="11">
        <f>VLOOKUP(A312,'Operational Data'!$A$2:$E$201,3,FALSE)</f>
        <v>10067</v>
      </c>
      <c r="H312" s="11">
        <f>VLOOKUP(A312,'Operational Data'!$A$2:$E$201,4,FALSE)</f>
        <v>1953.33</v>
      </c>
      <c r="I312" s="11">
        <f>VLOOKUP(A312,'Operational Data'!$A$2:$E$201,5,FALSE)</f>
        <v>25.15</v>
      </c>
      <c r="J312" s="21">
        <f t="shared" si="4"/>
        <v>0.38680923949538093</v>
      </c>
    </row>
    <row r="313" spans="1:10" x14ac:dyDescent="0.25">
      <c r="A313" s="20" t="s">
        <v>62</v>
      </c>
      <c r="B313" s="20" t="s">
        <v>30</v>
      </c>
      <c r="C313" s="20" t="s">
        <v>13</v>
      </c>
      <c r="D313" s="20" t="s">
        <v>14</v>
      </c>
      <c r="E313" s="20" t="s">
        <v>10</v>
      </c>
      <c r="F313" s="20">
        <v>1782.56</v>
      </c>
      <c r="G313" s="11">
        <f>VLOOKUP(A313,'Operational Data'!$A$2:$E$201,3,FALSE)</f>
        <v>22309</v>
      </c>
      <c r="H313" s="11">
        <f>VLOOKUP(A313,'Operational Data'!$A$2:$E$201,4,FALSE)</f>
        <v>3656.29</v>
      </c>
      <c r="I313" s="11">
        <f>VLOOKUP(A313,'Operational Data'!$A$2:$E$201,5,FALSE)</f>
        <v>75.25</v>
      </c>
      <c r="J313" s="21">
        <f t="shared" si="4"/>
        <v>7.9903178089560267E-2</v>
      </c>
    </row>
    <row r="314" spans="1:10" x14ac:dyDescent="0.25">
      <c r="A314" s="20" t="s">
        <v>29</v>
      </c>
      <c r="B314" s="20" t="s">
        <v>30</v>
      </c>
      <c r="C314" s="20" t="s">
        <v>34</v>
      </c>
      <c r="D314" s="20" t="s">
        <v>28</v>
      </c>
      <c r="E314" s="20" t="s">
        <v>10</v>
      </c>
      <c r="F314" s="20">
        <v>4386.96</v>
      </c>
      <c r="G314" s="11">
        <f>VLOOKUP(A314,'Operational Data'!$A$2:$E$201,3,FALSE)</f>
        <v>32131</v>
      </c>
      <c r="H314" s="11">
        <f>VLOOKUP(A314,'Operational Data'!$A$2:$E$201,4,FALSE)</f>
        <v>1474.23</v>
      </c>
      <c r="I314" s="11">
        <f>VLOOKUP(A314,'Operational Data'!$A$2:$E$201,5,FALSE)</f>
        <v>45.47</v>
      </c>
      <c r="J314" s="21">
        <f t="shared" si="4"/>
        <v>0.13653356571535277</v>
      </c>
    </row>
    <row r="315" spans="1:10" x14ac:dyDescent="0.25">
      <c r="A315" s="20" t="s">
        <v>113</v>
      </c>
      <c r="B315" s="20" t="s">
        <v>30</v>
      </c>
      <c r="C315" s="20" t="s">
        <v>8</v>
      </c>
      <c r="D315" s="20" t="s">
        <v>28</v>
      </c>
      <c r="E315" s="20" t="s">
        <v>24</v>
      </c>
      <c r="F315" s="20">
        <v>644.96</v>
      </c>
      <c r="G315" s="11">
        <f>VLOOKUP(A315,'Operational Data'!$A$2:$E$201,3,FALSE)</f>
        <v>90679</v>
      </c>
      <c r="H315" s="11">
        <f>VLOOKUP(A315,'Operational Data'!$A$2:$E$201,4,FALSE)</f>
        <v>7266.82</v>
      </c>
      <c r="I315" s="11">
        <f>VLOOKUP(A315,'Operational Data'!$A$2:$E$201,5,FALSE)</f>
        <v>23.3</v>
      </c>
      <c r="J315" s="21">
        <f t="shared" si="4"/>
        <v>7.1125618941541048E-3</v>
      </c>
    </row>
    <row r="316" spans="1:10" x14ac:dyDescent="0.25">
      <c r="A316" s="20" t="s">
        <v>178</v>
      </c>
      <c r="B316" s="20" t="s">
        <v>30</v>
      </c>
      <c r="C316" s="20" t="s">
        <v>34</v>
      </c>
      <c r="D316" s="20" t="s">
        <v>14</v>
      </c>
      <c r="E316" s="20" t="s">
        <v>10</v>
      </c>
      <c r="F316" s="20">
        <v>1942.26</v>
      </c>
      <c r="G316" s="11">
        <f>VLOOKUP(A316,'Operational Data'!$A$2:$E$201,3,FALSE)</f>
        <v>88188</v>
      </c>
      <c r="H316" s="11">
        <f>VLOOKUP(A316,'Operational Data'!$A$2:$E$201,4,FALSE)</f>
        <v>815.86</v>
      </c>
      <c r="I316" s="11">
        <f>VLOOKUP(A316,'Operational Data'!$A$2:$E$201,5,FALSE)</f>
        <v>57.53</v>
      </c>
      <c r="J316" s="21">
        <f t="shared" si="4"/>
        <v>2.2024084909511497E-2</v>
      </c>
    </row>
    <row r="317" spans="1:10" x14ac:dyDescent="0.25">
      <c r="A317" s="20" t="s">
        <v>81</v>
      </c>
      <c r="B317" s="20" t="s">
        <v>12</v>
      </c>
      <c r="C317" s="20" t="s">
        <v>34</v>
      </c>
      <c r="D317" s="20" t="s">
        <v>28</v>
      </c>
      <c r="E317" s="20" t="s">
        <v>10</v>
      </c>
      <c r="F317" s="20">
        <v>1990.87</v>
      </c>
      <c r="G317" s="11">
        <f>VLOOKUP(A317,'Operational Data'!$A$2:$E$201,3,FALSE)</f>
        <v>93661</v>
      </c>
      <c r="H317" s="11">
        <f>VLOOKUP(A317,'Operational Data'!$A$2:$E$201,4,FALSE)</f>
        <v>7324.58</v>
      </c>
      <c r="I317" s="11">
        <f>VLOOKUP(A317,'Operational Data'!$A$2:$E$201,5,FALSE)</f>
        <v>23.55</v>
      </c>
      <c r="J317" s="21">
        <f t="shared" si="4"/>
        <v>2.1256125815440792E-2</v>
      </c>
    </row>
    <row r="318" spans="1:10" x14ac:dyDescent="0.25">
      <c r="A318" s="20" t="s">
        <v>71</v>
      </c>
      <c r="B318" s="20" t="s">
        <v>7</v>
      </c>
      <c r="C318" s="20" t="s">
        <v>23</v>
      </c>
      <c r="D318" s="20" t="s">
        <v>14</v>
      </c>
      <c r="E318" s="20" t="s">
        <v>15</v>
      </c>
      <c r="F318" s="20">
        <v>3260.58</v>
      </c>
      <c r="G318" s="11">
        <f>VLOOKUP(A318,'Operational Data'!$A$2:$E$201,3,FALSE)</f>
        <v>68018</v>
      </c>
      <c r="H318" s="11">
        <f>VLOOKUP(A318,'Operational Data'!$A$2:$E$201,4,FALSE)</f>
        <v>3523.4</v>
      </c>
      <c r="I318" s="11">
        <f>VLOOKUP(A318,'Operational Data'!$A$2:$E$201,5,FALSE)</f>
        <v>92.26</v>
      </c>
      <c r="J318" s="21">
        <f t="shared" si="4"/>
        <v>4.7937016672057395E-2</v>
      </c>
    </row>
    <row r="319" spans="1:10" x14ac:dyDescent="0.25">
      <c r="A319" s="20" t="s">
        <v>50</v>
      </c>
      <c r="B319" s="20" t="s">
        <v>19</v>
      </c>
      <c r="C319" s="20" t="s">
        <v>34</v>
      </c>
      <c r="D319" s="20" t="s">
        <v>14</v>
      </c>
      <c r="E319" s="20" t="s">
        <v>10</v>
      </c>
      <c r="F319" s="20">
        <v>1079.0999999999999</v>
      </c>
      <c r="G319" s="11">
        <f>VLOOKUP(A319,'Operational Data'!$A$2:$E$201,3,FALSE)</f>
        <v>40577</v>
      </c>
      <c r="H319" s="11">
        <f>VLOOKUP(A319,'Operational Data'!$A$2:$E$201,4,FALSE)</f>
        <v>4280.82</v>
      </c>
      <c r="I319" s="11">
        <f>VLOOKUP(A319,'Operational Data'!$A$2:$E$201,5,FALSE)</f>
        <v>79.88</v>
      </c>
      <c r="J319" s="21">
        <f t="shared" si="4"/>
        <v>2.6593883234344577E-2</v>
      </c>
    </row>
    <row r="320" spans="1:10" x14ac:dyDescent="0.25">
      <c r="A320" s="20" t="s">
        <v>95</v>
      </c>
      <c r="B320" s="20" t="s">
        <v>30</v>
      </c>
      <c r="C320" s="20" t="s">
        <v>23</v>
      </c>
      <c r="D320" s="20" t="s">
        <v>28</v>
      </c>
      <c r="E320" s="20" t="s">
        <v>15</v>
      </c>
      <c r="F320" s="20">
        <v>2675.56</v>
      </c>
      <c r="G320" s="11">
        <f>VLOOKUP(A320,'Operational Data'!$A$2:$E$201,3,FALSE)</f>
        <v>51800</v>
      </c>
      <c r="H320" s="11">
        <f>VLOOKUP(A320,'Operational Data'!$A$2:$E$201,4,FALSE)</f>
        <v>3042.95</v>
      </c>
      <c r="I320" s="11">
        <f>VLOOKUP(A320,'Operational Data'!$A$2:$E$201,5,FALSE)</f>
        <v>71.87</v>
      </c>
      <c r="J320" s="21">
        <f t="shared" si="4"/>
        <v>5.1651737451737449E-2</v>
      </c>
    </row>
    <row r="321" spans="1:10" x14ac:dyDescent="0.25">
      <c r="A321" s="20" t="s">
        <v>11</v>
      </c>
      <c r="B321" s="20" t="s">
        <v>12</v>
      </c>
      <c r="C321" s="20" t="s">
        <v>13</v>
      </c>
      <c r="D321" s="20" t="s">
        <v>28</v>
      </c>
      <c r="E321" s="20" t="s">
        <v>15</v>
      </c>
      <c r="F321" s="20">
        <v>1583.52</v>
      </c>
      <c r="G321" s="11">
        <f>VLOOKUP(A321,'Operational Data'!$A$2:$E$201,3,FALSE)</f>
        <v>44657</v>
      </c>
      <c r="H321" s="11">
        <f>VLOOKUP(A321,'Operational Data'!$A$2:$E$201,4,FALSE)</f>
        <v>7867.98</v>
      </c>
      <c r="I321" s="11">
        <f>VLOOKUP(A321,'Operational Data'!$A$2:$E$201,5,FALSE)</f>
        <v>96.01</v>
      </c>
      <c r="J321" s="21">
        <f t="shared" si="4"/>
        <v>3.5459614394159927E-2</v>
      </c>
    </row>
    <row r="322" spans="1:10" x14ac:dyDescent="0.25">
      <c r="A322" s="20" t="s">
        <v>179</v>
      </c>
      <c r="B322" s="20" t="s">
        <v>7</v>
      </c>
      <c r="C322" s="20" t="s">
        <v>23</v>
      </c>
      <c r="D322" s="20" t="s">
        <v>28</v>
      </c>
      <c r="E322" s="20" t="s">
        <v>15</v>
      </c>
      <c r="F322" s="20">
        <v>4798.47</v>
      </c>
      <c r="G322" s="11">
        <f>VLOOKUP(A322,'Operational Data'!$A$2:$E$201,3,FALSE)</f>
        <v>94393</v>
      </c>
      <c r="H322" s="11">
        <f>VLOOKUP(A322,'Operational Data'!$A$2:$E$201,4,FALSE)</f>
        <v>6691.7</v>
      </c>
      <c r="I322" s="11">
        <f>VLOOKUP(A322,'Operational Data'!$A$2:$E$201,5,FALSE)</f>
        <v>74.790000000000006</v>
      </c>
      <c r="J322" s="21">
        <f t="shared" si="4"/>
        <v>5.0835019545940913E-2</v>
      </c>
    </row>
    <row r="323" spans="1:10" ht="30" x14ac:dyDescent="0.25">
      <c r="A323" s="20" t="s">
        <v>148</v>
      </c>
      <c r="B323" s="20" t="s">
        <v>17</v>
      </c>
      <c r="C323" s="20" t="s">
        <v>13</v>
      </c>
      <c r="D323" s="20" t="s">
        <v>28</v>
      </c>
      <c r="E323" s="20" t="s">
        <v>24</v>
      </c>
      <c r="F323" s="20">
        <v>856.9</v>
      </c>
      <c r="G323" s="11">
        <f>VLOOKUP(A323,'Operational Data'!$A$2:$E$201,3,FALSE)</f>
        <v>44994</v>
      </c>
      <c r="H323" s="11">
        <f>VLOOKUP(A323,'Operational Data'!$A$2:$E$201,4,FALSE)</f>
        <v>7305.59</v>
      </c>
      <c r="I323" s="11">
        <f>VLOOKUP(A323,'Operational Data'!$A$2:$E$201,5,FALSE)</f>
        <v>91.53</v>
      </c>
      <c r="J323" s="21">
        <f t="shared" ref="J323:J386" si="5">F323/G323</f>
        <v>1.9044761523758724E-2</v>
      </c>
    </row>
    <row r="324" spans="1:10" x14ac:dyDescent="0.25">
      <c r="A324" s="20" t="s">
        <v>44</v>
      </c>
      <c r="B324" s="20" t="s">
        <v>19</v>
      </c>
      <c r="C324" s="20" t="s">
        <v>8</v>
      </c>
      <c r="D324" s="20" t="s">
        <v>9</v>
      </c>
      <c r="E324" s="20" t="s">
        <v>10</v>
      </c>
      <c r="F324" s="20">
        <v>1158.628164</v>
      </c>
      <c r="G324" s="11">
        <f>VLOOKUP(A324,'Operational Data'!$A$2:$E$201,3,FALSE)</f>
        <v>16256</v>
      </c>
      <c r="H324" s="11">
        <f>VLOOKUP(A324,'Operational Data'!$A$2:$E$201,4,FALSE)</f>
        <v>2127.1799999999998</v>
      </c>
      <c r="I324" s="11">
        <f>VLOOKUP(A324,'Operational Data'!$A$2:$E$201,5,FALSE)</f>
        <v>38.94</v>
      </c>
      <c r="J324" s="21">
        <f t="shared" si="5"/>
        <v>7.1273878198818891E-2</v>
      </c>
    </row>
    <row r="325" spans="1:10" x14ac:dyDescent="0.25">
      <c r="A325" s="20" t="s">
        <v>164</v>
      </c>
      <c r="B325" s="20" t="s">
        <v>19</v>
      </c>
      <c r="C325" s="20" t="s">
        <v>8</v>
      </c>
      <c r="D325" s="20" t="s">
        <v>9</v>
      </c>
      <c r="E325" s="20" t="s">
        <v>15</v>
      </c>
      <c r="F325" s="20">
        <v>5208.6131420000002</v>
      </c>
      <c r="G325" s="11">
        <f>VLOOKUP(A325,'Operational Data'!$A$2:$E$201,3,FALSE)</f>
        <v>69636</v>
      </c>
      <c r="H325" s="11">
        <f>VLOOKUP(A325,'Operational Data'!$A$2:$E$201,4,FALSE)</f>
        <v>4246.55</v>
      </c>
      <c r="I325" s="11">
        <f>VLOOKUP(A325,'Operational Data'!$A$2:$E$201,5,FALSE)</f>
        <v>69.290000000000006</v>
      </c>
      <c r="J325" s="21">
        <f t="shared" si="5"/>
        <v>7.4797707249124018E-2</v>
      </c>
    </row>
    <row r="326" spans="1:10" x14ac:dyDescent="0.25">
      <c r="A326" s="20" t="s">
        <v>180</v>
      </c>
      <c r="B326" s="20" t="s">
        <v>30</v>
      </c>
      <c r="C326" s="20" t="s">
        <v>8</v>
      </c>
      <c r="D326" s="20" t="s">
        <v>28</v>
      </c>
      <c r="E326" s="20" t="s">
        <v>15</v>
      </c>
      <c r="F326" s="20">
        <v>4745.3</v>
      </c>
      <c r="G326" s="11">
        <f>VLOOKUP(A326,'Operational Data'!$A$2:$E$201,3,FALSE)</f>
        <v>72846</v>
      </c>
      <c r="H326" s="11">
        <f>VLOOKUP(A326,'Operational Data'!$A$2:$E$201,4,FALSE)</f>
        <v>5169.53</v>
      </c>
      <c r="I326" s="11">
        <f>VLOOKUP(A326,'Operational Data'!$A$2:$E$201,5,FALSE)</f>
        <v>76.709999999999994</v>
      </c>
      <c r="J326" s="21">
        <f t="shared" si="5"/>
        <v>6.514153144990803E-2</v>
      </c>
    </row>
    <row r="327" spans="1:10" x14ac:dyDescent="0.25">
      <c r="A327" s="20" t="s">
        <v>181</v>
      </c>
      <c r="B327" s="20" t="s">
        <v>30</v>
      </c>
      <c r="C327" s="20" t="s">
        <v>34</v>
      </c>
      <c r="D327" s="20" t="s">
        <v>9</v>
      </c>
      <c r="E327" s="20" t="s">
        <v>10</v>
      </c>
      <c r="F327" s="20">
        <v>693.43404539999995</v>
      </c>
      <c r="G327" s="11">
        <f>VLOOKUP(A327,'Operational Data'!$A$2:$E$201,3,FALSE)</f>
        <v>28704</v>
      </c>
      <c r="H327" s="11">
        <f>VLOOKUP(A327,'Operational Data'!$A$2:$E$201,4,FALSE)</f>
        <v>6009.24</v>
      </c>
      <c r="I327" s="11">
        <f>VLOOKUP(A327,'Operational Data'!$A$2:$E$201,5,FALSE)</f>
        <v>39.31</v>
      </c>
      <c r="J327" s="21">
        <f t="shared" si="5"/>
        <v>2.4158098014214046E-2</v>
      </c>
    </row>
    <row r="328" spans="1:10" x14ac:dyDescent="0.25">
      <c r="A328" s="20" t="s">
        <v>151</v>
      </c>
      <c r="B328" s="20" t="s">
        <v>12</v>
      </c>
      <c r="C328" s="20" t="s">
        <v>8</v>
      </c>
      <c r="D328" s="20" t="s">
        <v>14</v>
      </c>
      <c r="E328" s="20" t="s">
        <v>15</v>
      </c>
      <c r="F328" s="20">
        <v>3285.65</v>
      </c>
      <c r="G328" s="11">
        <f>VLOOKUP(A328,'Operational Data'!$A$2:$E$201,3,FALSE)</f>
        <v>61207</v>
      </c>
      <c r="H328" s="11">
        <f>VLOOKUP(A328,'Operational Data'!$A$2:$E$201,4,FALSE)</f>
        <v>6922.33</v>
      </c>
      <c r="I328" s="11">
        <f>VLOOKUP(A328,'Operational Data'!$A$2:$E$201,5,FALSE)</f>
        <v>9.1999999999999993</v>
      </c>
      <c r="J328" s="21">
        <f t="shared" si="5"/>
        <v>5.3680951525152357E-2</v>
      </c>
    </row>
    <row r="329" spans="1:10" x14ac:dyDescent="0.25">
      <c r="A329" s="20" t="s">
        <v>86</v>
      </c>
      <c r="B329" s="20" t="s">
        <v>19</v>
      </c>
      <c r="C329" s="20" t="s">
        <v>34</v>
      </c>
      <c r="D329" s="20" t="s">
        <v>28</v>
      </c>
      <c r="E329" s="20" t="s">
        <v>24</v>
      </c>
      <c r="F329" s="20">
        <v>2731.22</v>
      </c>
      <c r="G329" s="11">
        <f>VLOOKUP(A329,'Operational Data'!$A$2:$E$201,3,FALSE)</f>
        <v>56531</v>
      </c>
      <c r="H329" s="11">
        <f>VLOOKUP(A329,'Operational Data'!$A$2:$E$201,4,FALSE)</f>
        <v>8958.07</v>
      </c>
      <c r="I329" s="11">
        <f>VLOOKUP(A329,'Operational Data'!$A$2:$E$201,5,FALSE)</f>
        <v>83.44</v>
      </c>
      <c r="J329" s="21">
        <f t="shared" si="5"/>
        <v>4.8313668606605222E-2</v>
      </c>
    </row>
    <row r="330" spans="1:10" x14ac:dyDescent="0.25">
      <c r="A330" s="20" t="s">
        <v>96</v>
      </c>
      <c r="B330" s="20" t="s">
        <v>19</v>
      </c>
      <c r="C330" s="20" t="s">
        <v>8</v>
      </c>
      <c r="D330" s="20" t="s">
        <v>9</v>
      </c>
      <c r="E330" s="20" t="s">
        <v>10</v>
      </c>
      <c r="F330" s="20">
        <v>2767.5414519999999</v>
      </c>
      <c r="G330" s="11">
        <f>VLOOKUP(A330,'Operational Data'!$A$2:$E$201,3,FALSE)</f>
        <v>53942</v>
      </c>
      <c r="H330" s="11">
        <f>VLOOKUP(A330,'Operational Data'!$A$2:$E$201,4,FALSE)</f>
        <v>5904.31</v>
      </c>
      <c r="I330" s="11">
        <f>VLOOKUP(A330,'Operational Data'!$A$2:$E$201,5,FALSE)</f>
        <v>32.78</v>
      </c>
      <c r="J330" s="21">
        <f t="shared" si="5"/>
        <v>5.1305873938674869E-2</v>
      </c>
    </row>
    <row r="331" spans="1:10" x14ac:dyDescent="0.25">
      <c r="A331" s="20" t="s">
        <v>182</v>
      </c>
      <c r="B331" s="20" t="s">
        <v>12</v>
      </c>
      <c r="C331" s="20" t="s">
        <v>13</v>
      </c>
      <c r="D331" s="20" t="s">
        <v>28</v>
      </c>
      <c r="E331" s="20" t="s">
        <v>24</v>
      </c>
      <c r="F331" s="20">
        <v>1719.12</v>
      </c>
      <c r="G331" s="11">
        <f>VLOOKUP(A331,'Operational Data'!$A$2:$E$201,3,FALSE)</f>
        <v>21081</v>
      </c>
      <c r="H331" s="11">
        <f>VLOOKUP(A331,'Operational Data'!$A$2:$E$201,4,FALSE)</f>
        <v>9001.77</v>
      </c>
      <c r="I331" s="11">
        <f>VLOOKUP(A331,'Operational Data'!$A$2:$E$201,5,FALSE)</f>
        <v>49.27</v>
      </c>
      <c r="J331" s="21">
        <f t="shared" si="5"/>
        <v>8.1548313647360177E-2</v>
      </c>
    </row>
    <row r="332" spans="1:10" x14ac:dyDescent="0.25">
      <c r="A332" s="20" t="s">
        <v>45</v>
      </c>
      <c r="B332" s="20" t="s">
        <v>7</v>
      </c>
      <c r="C332" s="20" t="s">
        <v>34</v>
      </c>
      <c r="D332" s="20" t="s">
        <v>14</v>
      </c>
      <c r="E332" s="20" t="s">
        <v>24</v>
      </c>
      <c r="F332" s="20">
        <v>2475.83</v>
      </c>
      <c r="G332" s="11">
        <f>VLOOKUP(A332,'Operational Data'!$A$2:$E$201,3,FALSE)</f>
        <v>49924</v>
      </c>
      <c r="H332" s="11">
        <f>VLOOKUP(A332,'Operational Data'!$A$2:$E$201,4,FALSE)</f>
        <v>2199.16</v>
      </c>
      <c r="I332" s="11">
        <f>VLOOKUP(A332,'Operational Data'!$A$2:$E$201,5,FALSE)</f>
        <v>75.48</v>
      </c>
      <c r="J332" s="21">
        <f t="shared" si="5"/>
        <v>4.9591979809310148E-2</v>
      </c>
    </row>
    <row r="333" spans="1:10" x14ac:dyDescent="0.25">
      <c r="A333" s="20" t="s">
        <v>146</v>
      </c>
      <c r="B333" s="20" t="s">
        <v>7</v>
      </c>
      <c r="C333" s="20" t="s">
        <v>13</v>
      </c>
      <c r="D333" s="20" t="s">
        <v>9</v>
      </c>
      <c r="E333" s="20" t="s">
        <v>10</v>
      </c>
      <c r="F333" s="20">
        <v>891.04242390000002</v>
      </c>
      <c r="G333" s="11">
        <f>VLOOKUP(A333,'Operational Data'!$A$2:$E$201,3,FALSE)</f>
        <v>14170</v>
      </c>
      <c r="H333" s="11">
        <f>VLOOKUP(A333,'Operational Data'!$A$2:$E$201,4,FALSE)</f>
        <v>5455.23</v>
      </c>
      <c r="I333" s="11">
        <f>VLOOKUP(A333,'Operational Data'!$A$2:$E$201,5,FALSE)</f>
        <v>25.46</v>
      </c>
      <c r="J333" s="21">
        <f t="shared" si="5"/>
        <v>6.2882316436132679E-2</v>
      </c>
    </row>
    <row r="334" spans="1:10" x14ac:dyDescent="0.25">
      <c r="A334" s="20" t="s">
        <v>183</v>
      </c>
      <c r="B334" s="20" t="s">
        <v>7</v>
      </c>
      <c r="C334" s="20" t="s">
        <v>34</v>
      </c>
      <c r="D334" s="20" t="s">
        <v>14</v>
      </c>
      <c r="E334" s="20" t="s">
        <v>10</v>
      </c>
      <c r="F334" s="20">
        <v>4421.93</v>
      </c>
      <c r="G334" s="11">
        <f>VLOOKUP(A334,'Operational Data'!$A$2:$E$201,3,FALSE)</f>
        <v>14009</v>
      </c>
      <c r="H334" s="11">
        <f>VLOOKUP(A334,'Operational Data'!$A$2:$E$201,4,FALSE)</f>
        <v>7528.98</v>
      </c>
      <c r="I334" s="11">
        <f>VLOOKUP(A334,'Operational Data'!$A$2:$E$201,5,FALSE)</f>
        <v>77.62</v>
      </c>
      <c r="J334" s="21">
        <f t="shared" si="5"/>
        <v>0.31564922549789426</v>
      </c>
    </row>
    <row r="335" spans="1:10" x14ac:dyDescent="0.25">
      <c r="A335" s="20" t="s">
        <v>46</v>
      </c>
      <c r="B335" s="20" t="s">
        <v>30</v>
      </c>
      <c r="C335" s="20" t="s">
        <v>23</v>
      </c>
      <c r="D335" s="20" t="s">
        <v>14</v>
      </c>
      <c r="E335" s="20" t="s">
        <v>10</v>
      </c>
      <c r="F335" s="20">
        <v>3545.18</v>
      </c>
      <c r="G335" s="11">
        <f>VLOOKUP(A335,'Operational Data'!$A$2:$E$201,3,FALSE)</f>
        <v>43490</v>
      </c>
      <c r="H335" s="11">
        <f>VLOOKUP(A335,'Operational Data'!$A$2:$E$201,4,FALSE)</f>
        <v>9300.8799999999992</v>
      </c>
      <c r="I335" s="11">
        <f>VLOOKUP(A335,'Operational Data'!$A$2:$E$201,5,FALSE)</f>
        <v>58.43</v>
      </c>
      <c r="J335" s="21">
        <f t="shared" si="5"/>
        <v>8.1517130374798796E-2</v>
      </c>
    </row>
    <row r="336" spans="1:10" x14ac:dyDescent="0.25">
      <c r="A336" s="20" t="s">
        <v>120</v>
      </c>
      <c r="B336" s="20" t="s">
        <v>30</v>
      </c>
      <c r="C336" s="20" t="s">
        <v>34</v>
      </c>
      <c r="D336" s="20" t="s">
        <v>14</v>
      </c>
      <c r="E336" s="20" t="s">
        <v>15</v>
      </c>
      <c r="F336" s="20">
        <v>3073.82</v>
      </c>
      <c r="G336" s="11">
        <f>VLOOKUP(A336,'Operational Data'!$A$2:$E$201,3,FALSE)</f>
        <v>79495</v>
      </c>
      <c r="H336" s="11">
        <f>VLOOKUP(A336,'Operational Data'!$A$2:$E$201,4,FALSE)</f>
        <v>7157.48</v>
      </c>
      <c r="I336" s="11">
        <f>VLOOKUP(A336,'Operational Data'!$A$2:$E$201,5,FALSE)</f>
        <v>26.84</v>
      </c>
      <c r="J336" s="21">
        <f t="shared" si="5"/>
        <v>3.8666834392100134E-2</v>
      </c>
    </row>
    <row r="337" spans="1:10" x14ac:dyDescent="0.25">
      <c r="A337" s="20" t="s">
        <v>146</v>
      </c>
      <c r="B337" s="20" t="s">
        <v>7</v>
      </c>
      <c r="C337" s="20" t="s">
        <v>13</v>
      </c>
      <c r="D337" s="20" t="s">
        <v>28</v>
      </c>
      <c r="E337" s="20" t="s">
        <v>15</v>
      </c>
      <c r="F337" s="20">
        <v>1458.83</v>
      </c>
      <c r="G337" s="11">
        <f>VLOOKUP(A337,'Operational Data'!$A$2:$E$201,3,FALSE)</f>
        <v>14170</v>
      </c>
      <c r="H337" s="11">
        <f>VLOOKUP(A337,'Operational Data'!$A$2:$E$201,4,FALSE)</f>
        <v>5455.23</v>
      </c>
      <c r="I337" s="11">
        <f>VLOOKUP(A337,'Operational Data'!$A$2:$E$201,5,FALSE)</f>
        <v>25.46</v>
      </c>
      <c r="J337" s="21">
        <f t="shared" si="5"/>
        <v>0.10295201129146082</v>
      </c>
    </row>
    <row r="338" spans="1:10" x14ac:dyDescent="0.25">
      <c r="A338" s="20" t="s">
        <v>184</v>
      </c>
      <c r="B338" s="20" t="s">
        <v>30</v>
      </c>
      <c r="C338" s="20" t="s">
        <v>8</v>
      </c>
      <c r="D338" s="20" t="s">
        <v>28</v>
      </c>
      <c r="E338" s="20" t="s">
        <v>24</v>
      </c>
      <c r="F338" s="20">
        <v>3457.1</v>
      </c>
      <c r="G338" s="11">
        <f>VLOOKUP(A338,'Operational Data'!$A$2:$E$201,3,FALSE)</f>
        <v>13543</v>
      </c>
      <c r="H338" s="11">
        <f>VLOOKUP(A338,'Operational Data'!$A$2:$E$201,4,FALSE)</f>
        <v>7854.96</v>
      </c>
      <c r="I338" s="11">
        <f>VLOOKUP(A338,'Operational Data'!$A$2:$E$201,5,FALSE)</f>
        <v>85.57</v>
      </c>
      <c r="J338" s="21">
        <f t="shared" si="5"/>
        <v>0.25526840434172637</v>
      </c>
    </row>
    <row r="339" spans="1:10" x14ac:dyDescent="0.25">
      <c r="A339" s="20" t="s">
        <v>52</v>
      </c>
      <c r="B339" s="20" t="s">
        <v>19</v>
      </c>
      <c r="C339" s="20" t="s">
        <v>8</v>
      </c>
      <c r="D339" s="20" t="s">
        <v>9</v>
      </c>
      <c r="E339" s="20" t="s">
        <v>15</v>
      </c>
      <c r="F339" s="20">
        <v>1857.3661520000001</v>
      </c>
      <c r="G339" s="11">
        <f>VLOOKUP(A339,'Operational Data'!$A$2:$E$201,3,FALSE)</f>
        <v>94949</v>
      </c>
      <c r="H339" s="11">
        <f>VLOOKUP(A339,'Operational Data'!$A$2:$E$201,4,FALSE)</f>
        <v>9714.76</v>
      </c>
      <c r="I339" s="11">
        <f>VLOOKUP(A339,'Operational Data'!$A$2:$E$201,5,FALSE)</f>
        <v>64.900000000000006</v>
      </c>
      <c r="J339" s="21">
        <f t="shared" si="5"/>
        <v>1.9561724209838968E-2</v>
      </c>
    </row>
    <row r="340" spans="1:10" x14ac:dyDescent="0.25">
      <c r="A340" s="20" t="s">
        <v>63</v>
      </c>
      <c r="B340" s="20" t="s">
        <v>12</v>
      </c>
      <c r="C340" s="20" t="s">
        <v>34</v>
      </c>
      <c r="D340" s="20" t="s">
        <v>9</v>
      </c>
      <c r="E340" s="20" t="s">
        <v>10</v>
      </c>
      <c r="F340" s="20">
        <v>877.72838560000002</v>
      </c>
      <c r="G340" s="11">
        <f>VLOOKUP(A340,'Operational Data'!$A$2:$E$201,3,FALSE)</f>
        <v>33688</v>
      </c>
      <c r="H340" s="11">
        <f>VLOOKUP(A340,'Operational Data'!$A$2:$E$201,4,FALSE)</f>
        <v>9495.48</v>
      </c>
      <c r="I340" s="11">
        <f>VLOOKUP(A340,'Operational Data'!$A$2:$E$201,5,FALSE)</f>
        <v>55.55</v>
      </c>
      <c r="J340" s="21">
        <f t="shared" si="5"/>
        <v>2.605463030159107E-2</v>
      </c>
    </row>
    <row r="341" spans="1:10" x14ac:dyDescent="0.25">
      <c r="A341" s="20" t="s">
        <v>130</v>
      </c>
      <c r="B341" s="20" t="s">
        <v>12</v>
      </c>
      <c r="C341" s="20" t="s">
        <v>34</v>
      </c>
      <c r="D341" s="20" t="s">
        <v>9</v>
      </c>
      <c r="E341" s="20" t="s">
        <v>10</v>
      </c>
      <c r="F341" s="20">
        <v>1349.7273479999999</v>
      </c>
      <c r="G341" s="11">
        <f>VLOOKUP(A341,'Operational Data'!$A$2:$E$201,3,FALSE)</f>
        <v>82332</v>
      </c>
      <c r="H341" s="11">
        <f>VLOOKUP(A341,'Operational Data'!$A$2:$E$201,4,FALSE)</f>
        <v>7134.86</v>
      </c>
      <c r="I341" s="11">
        <f>VLOOKUP(A341,'Operational Data'!$A$2:$E$201,5,FALSE)</f>
        <v>22.44</v>
      </c>
      <c r="J341" s="21">
        <f t="shared" si="5"/>
        <v>1.6393715056114269E-2</v>
      </c>
    </row>
    <row r="342" spans="1:10" x14ac:dyDescent="0.25">
      <c r="A342" s="20" t="s">
        <v>54</v>
      </c>
      <c r="B342" s="20" t="s">
        <v>12</v>
      </c>
      <c r="C342" s="20" t="s">
        <v>34</v>
      </c>
      <c r="D342" s="20" t="s">
        <v>9</v>
      </c>
      <c r="E342" s="20" t="s">
        <v>24</v>
      </c>
      <c r="F342" s="20">
        <v>5028.9440119999999</v>
      </c>
      <c r="G342" s="11">
        <f>VLOOKUP(A342,'Operational Data'!$A$2:$E$201,3,FALSE)</f>
        <v>58111</v>
      </c>
      <c r="H342" s="11">
        <f>VLOOKUP(A342,'Operational Data'!$A$2:$E$201,4,FALSE)</f>
        <v>4610.8999999999996</v>
      </c>
      <c r="I342" s="11">
        <f>VLOOKUP(A342,'Operational Data'!$A$2:$E$201,5,FALSE)</f>
        <v>21.53</v>
      </c>
      <c r="J342" s="21">
        <f t="shared" si="5"/>
        <v>8.6540310991034403E-2</v>
      </c>
    </row>
    <row r="343" spans="1:10" x14ac:dyDescent="0.25">
      <c r="A343" s="20" t="s">
        <v>51</v>
      </c>
      <c r="B343" s="20" t="s">
        <v>30</v>
      </c>
      <c r="C343" s="20" t="s">
        <v>34</v>
      </c>
      <c r="D343" s="20" t="s">
        <v>9</v>
      </c>
      <c r="E343" s="20" t="s">
        <v>15</v>
      </c>
      <c r="F343" s="20">
        <v>4368.4298479999998</v>
      </c>
      <c r="G343" s="11">
        <f>VLOOKUP(A343,'Operational Data'!$A$2:$E$201,3,FALSE)</f>
        <v>44164</v>
      </c>
      <c r="H343" s="11">
        <f>VLOOKUP(A343,'Operational Data'!$A$2:$E$201,4,FALSE)</f>
        <v>3869.32</v>
      </c>
      <c r="I343" s="11">
        <f>VLOOKUP(A343,'Operational Data'!$A$2:$E$201,5,FALSE)</f>
        <v>13.81</v>
      </c>
      <c r="J343" s="21">
        <f t="shared" si="5"/>
        <v>9.8913817770129517E-2</v>
      </c>
    </row>
    <row r="344" spans="1:10" x14ac:dyDescent="0.25">
      <c r="A344" s="20" t="s">
        <v>22</v>
      </c>
      <c r="B344" s="20" t="s">
        <v>12</v>
      </c>
      <c r="C344" s="20" t="s">
        <v>23</v>
      </c>
      <c r="D344" s="20" t="s">
        <v>14</v>
      </c>
      <c r="E344" s="20" t="s">
        <v>15</v>
      </c>
      <c r="F344" s="20">
        <v>3793.84</v>
      </c>
      <c r="G344" s="11">
        <f>VLOOKUP(A344,'Operational Data'!$A$2:$E$201,3,FALSE)</f>
        <v>47484</v>
      </c>
      <c r="H344" s="11">
        <f>VLOOKUP(A344,'Operational Data'!$A$2:$E$201,4,FALSE)</f>
        <v>3396.39</v>
      </c>
      <c r="I344" s="11">
        <f>VLOOKUP(A344,'Operational Data'!$A$2:$E$201,5,FALSE)</f>
        <v>19.510000000000002</v>
      </c>
      <c r="J344" s="21">
        <f t="shared" si="5"/>
        <v>7.9897228540139836E-2</v>
      </c>
    </row>
    <row r="345" spans="1:10" x14ac:dyDescent="0.25">
      <c r="A345" s="20" t="s">
        <v>45</v>
      </c>
      <c r="B345" s="20" t="s">
        <v>7</v>
      </c>
      <c r="C345" s="20" t="s">
        <v>8</v>
      </c>
      <c r="D345" s="20" t="s">
        <v>28</v>
      </c>
      <c r="E345" s="20" t="s">
        <v>15</v>
      </c>
      <c r="F345" s="20">
        <v>944.95</v>
      </c>
      <c r="G345" s="11">
        <f>VLOOKUP(A345,'Operational Data'!$A$2:$E$201,3,FALSE)</f>
        <v>49924</v>
      </c>
      <c r="H345" s="11">
        <f>VLOOKUP(A345,'Operational Data'!$A$2:$E$201,4,FALSE)</f>
        <v>2199.16</v>
      </c>
      <c r="I345" s="11">
        <f>VLOOKUP(A345,'Operational Data'!$A$2:$E$201,5,FALSE)</f>
        <v>75.48</v>
      </c>
      <c r="J345" s="21">
        <f t="shared" si="5"/>
        <v>1.8927770210720295E-2</v>
      </c>
    </row>
    <row r="346" spans="1:10" x14ac:dyDescent="0.25">
      <c r="A346" s="20" t="s">
        <v>103</v>
      </c>
      <c r="B346" s="20" t="s">
        <v>19</v>
      </c>
      <c r="C346" s="20" t="s">
        <v>23</v>
      </c>
      <c r="D346" s="20" t="s">
        <v>9</v>
      </c>
      <c r="E346" s="20" t="s">
        <v>15</v>
      </c>
      <c r="F346" s="20">
        <v>2973.3029620000002</v>
      </c>
      <c r="G346" s="11">
        <f>VLOOKUP(A346,'Operational Data'!$A$2:$E$201,3,FALSE)</f>
        <v>38869</v>
      </c>
      <c r="H346" s="11">
        <f>VLOOKUP(A346,'Operational Data'!$A$2:$E$201,4,FALSE)</f>
        <v>5109.76</v>
      </c>
      <c r="I346" s="11">
        <f>VLOOKUP(A346,'Operational Data'!$A$2:$E$201,5,FALSE)</f>
        <v>35.270000000000003</v>
      </c>
      <c r="J346" s="21">
        <f t="shared" si="5"/>
        <v>7.6495483856029237E-2</v>
      </c>
    </row>
    <row r="347" spans="1:10" x14ac:dyDescent="0.25">
      <c r="A347" s="20" t="s">
        <v>110</v>
      </c>
      <c r="B347" s="20" t="s">
        <v>12</v>
      </c>
      <c r="C347" s="20" t="s">
        <v>8</v>
      </c>
      <c r="D347" s="20" t="s">
        <v>9</v>
      </c>
      <c r="E347" s="20" t="s">
        <v>24</v>
      </c>
      <c r="F347" s="20">
        <v>3422.23</v>
      </c>
      <c r="G347" s="11">
        <f>VLOOKUP(A347,'Operational Data'!$A$2:$E$201,3,FALSE)</f>
        <v>70481</v>
      </c>
      <c r="H347" s="11">
        <f>VLOOKUP(A347,'Operational Data'!$A$2:$E$201,4,FALSE)</f>
        <v>4452.83</v>
      </c>
      <c r="I347" s="11">
        <f>VLOOKUP(A347,'Operational Data'!$A$2:$E$201,5,FALSE)</f>
        <v>91.26</v>
      </c>
      <c r="J347" s="21">
        <f t="shared" si="5"/>
        <v>4.8555355343993419E-2</v>
      </c>
    </row>
    <row r="348" spans="1:10" x14ac:dyDescent="0.25">
      <c r="A348" s="20" t="s">
        <v>48</v>
      </c>
      <c r="B348" s="20" t="s">
        <v>19</v>
      </c>
      <c r="C348" s="20" t="s">
        <v>13</v>
      </c>
      <c r="D348" s="20" t="s">
        <v>28</v>
      </c>
      <c r="E348" s="20" t="s">
        <v>15</v>
      </c>
      <c r="F348" s="20">
        <v>3754.94</v>
      </c>
      <c r="G348" s="11">
        <f>VLOOKUP(A348,'Operational Data'!$A$2:$E$201,3,FALSE)</f>
        <v>11952</v>
      </c>
      <c r="H348" s="11">
        <f>VLOOKUP(A348,'Operational Data'!$A$2:$E$201,4,FALSE)</f>
        <v>4637.74</v>
      </c>
      <c r="I348" s="11">
        <f>VLOOKUP(A348,'Operational Data'!$A$2:$E$201,5,FALSE)</f>
        <v>63.78</v>
      </c>
      <c r="J348" s="21">
        <f t="shared" si="5"/>
        <v>0.31416834002677374</v>
      </c>
    </row>
    <row r="349" spans="1:10" x14ac:dyDescent="0.25">
      <c r="A349" s="20" t="s">
        <v>172</v>
      </c>
      <c r="B349" s="20" t="s">
        <v>7</v>
      </c>
      <c r="C349" s="20" t="s">
        <v>8</v>
      </c>
      <c r="D349" s="20" t="s">
        <v>9</v>
      </c>
      <c r="E349" s="20" t="s">
        <v>24</v>
      </c>
      <c r="F349" s="20">
        <v>1213.4732180000001</v>
      </c>
      <c r="G349" s="11">
        <f>VLOOKUP(A349,'Operational Data'!$A$2:$E$201,3,FALSE)</f>
        <v>68820</v>
      </c>
      <c r="H349" s="11">
        <f>VLOOKUP(A349,'Operational Data'!$A$2:$E$201,4,FALSE)</f>
        <v>9612.25</v>
      </c>
      <c r="I349" s="11">
        <f>VLOOKUP(A349,'Operational Data'!$A$2:$E$201,5,FALSE)</f>
        <v>83.51</v>
      </c>
      <c r="J349" s="21">
        <f t="shared" si="5"/>
        <v>1.7632566376053475E-2</v>
      </c>
    </row>
    <row r="350" spans="1:10" x14ac:dyDescent="0.25">
      <c r="A350" s="20" t="s">
        <v>115</v>
      </c>
      <c r="B350" s="20" t="s">
        <v>19</v>
      </c>
      <c r="C350" s="20" t="s">
        <v>13</v>
      </c>
      <c r="D350" s="20" t="s">
        <v>28</v>
      </c>
      <c r="E350" s="20" t="s">
        <v>24</v>
      </c>
      <c r="F350" s="20">
        <v>358.65</v>
      </c>
      <c r="G350" s="11">
        <f>VLOOKUP(A350,'Operational Data'!$A$2:$E$201,3,FALSE)</f>
        <v>17162</v>
      </c>
      <c r="H350" s="11">
        <f>VLOOKUP(A350,'Operational Data'!$A$2:$E$201,4,FALSE)</f>
        <v>5079.95</v>
      </c>
      <c r="I350" s="11">
        <f>VLOOKUP(A350,'Operational Data'!$A$2:$E$201,5,FALSE)</f>
        <v>19.239999999999998</v>
      </c>
      <c r="J350" s="21">
        <f t="shared" si="5"/>
        <v>2.0897913996037756E-2</v>
      </c>
    </row>
    <row r="351" spans="1:10" x14ac:dyDescent="0.25">
      <c r="A351" s="20" t="s">
        <v>185</v>
      </c>
      <c r="B351" s="20" t="s">
        <v>30</v>
      </c>
      <c r="C351" s="20" t="s">
        <v>13</v>
      </c>
      <c r="D351" s="20" t="s">
        <v>14</v>
      </c>
      <c r="E351" s="20" t="s">
        <v>24</v>
      </c>
      <c r="F351" s="20">
        <v>3630.35</v>
      </c>
      <c r="G351" s="11">
        <f>VLOOKUP(A351,'Operational Data'!$A$2:$E$201,3,FALSE)</f>
        <v>24913</v>
      </c>
      <c r="H351" s="11">
        <f>VLOOKUP(A351,'Operational Data'!$A$2:$E$201,4,FALSE)</f>
        <v>5727.27</v>
      </c>
      <c r="I351" s="11">
        <f>VLOOKUP(A351,'Operational Data'!$A$2:$E$201,5,FALSE)</f>
        <v>78.849999999999994</v>
      </c>
      <c r="J351" s="21">
        <f t="shared" si="5"/>
        <v>0.14572110946092401</v>
      </c>
    </row>
    <row r="352" spans="1:10" x14ac:dyDescent="0.25">
      <c r="A352" s="20" t="s">
        <v>172</v>
      </c>
      <c r="B352" s="20" t="s">
        <v>7</v>
      </c>
      <c r="C352" s="20" t="s">
        <v>23</v>
      </c>
      <c r="D352" s="20" t="s">
        <v>28</v>
      </c>
      <c r="E352" s="20" t="s">
        <v>10</v>
      </c>
      <c r="F352" s="20">
        <v>3966.5</v>
      </c>
      <c r="G352" s="11">
        <f>VLOOKUP(A352,'Operational Data'!$A$2:$E$201,3,FALSE)</f>
        <v>68820</v>
      </c>
      <c r="H352" s="11">
        <f>VLOOKUP(A352,'Operational Data'!$A$2:$E$201,4,FALSE)</f>
        <v>9612.25</v>
      </c>
      <c r="I352" s="11">
        <f>VLOOKUP(A352,'Operational Data'!$A$2:$E$201,5,FALSE)</f>
        <v>83.51</v>
      </c>
      <c r="J352" s="21">
        <f t="shared" si="5"/>
        <v>5.763586166811973E-2</v>
      </c>
    </row>
    <row r="353" spans="1:10" x14ac:dyDescent="0.25">
      <c r="A353" s="20" t="s">
        <v>172</v>
      </c>
      <c r="B353" s="20" t="s">
        <v>7</v>
      </c>
      <c r="C353" s="20" t="s">
        <v>34</v>
      </c>
      <c r="D353" s="20" t="s">
        <v>9</v>
      </c>
      <c r="E353" s="20" t="s">
        <v>10</v>
      </c>
      <c r="F353" s="20">
        <v>3886.2318919999998</v>
      </c>
      <c r="G353" s="11">
        <f>VLOOKUP(A353,'Operational Data'!$A$2:$E$201,3,FALSE)</f>
        <v>68820</v>
      </c>
      <c r="H353" s="11">
        <f>VLOOKUP(A353,'Operational Data'!$A$2:$E$201,4,FALSE)</f>
        <v>9612.25</v>
      </c>
      <c r="I353" s="11">
        <f>VLOOKUP(A353,'Operational Data'!$A$2:$E$201,5,FALSE)</f>
        <v>83.51</v>
      </c>
      <c r="J353" s="21">
        <f t="shared" si="5"/>
        <v>5.6469513106655038E-2</v>
      </c>
    </row>
    <row r="354" spans="1:10" x14ac:dyDescent="0.25">
      <c r="A354" s="20" t="s">
        <v>186</v>
      </c>
      <c r="B354" s="20" t="s">
        <v>30</v>
      </c>
      <c r="C354" s="20" t="s">
        <v>23</v>
      </c>
      <c r="D354" s="20" t="s">
        <v>9</v>
      </c>
      <c r="E354" s="20" t="s">
        <v>10</v>
      </c>
      <c r="F354" s="20">
        <v>1898.1840259999999</v>
      </c>
      <c r="G354" s="11">
        <f>VLOOKUP(A354,'Operational Data'!$A$2:$E$201,3,FALSE)</f>
        <v>85868</v>
      </c>
      <c r="H354" s="11">
        <f>VLOOKUP(A354,'Operational Data'!$A$2:$E$201,4,FALSE)</f>
        <v>907.72</v>
      </c>
      <c r="I354" s="11">
        <f>VLOOKUP(A354,'Operational Data'!$A$2:$E$201,5,FALSE)</f>
        <v>90.36</v>
      </c>
      <c r="J354" s="21">
        <f t="shared" si="5"/>
        <v>2.2105837168677502E-2</v>
      </c>
    </row>
    <row r="355" spans="1:10" x14ac:dyDescent="0.25">
      <c r="A355" s="20" t="s">
        <v>110</v>
      </c>
      <c r="B355" s="20" t="s">
        <v>12</v>
      </c>
      <c r="C355" s="20" t="s">
        <v>23</v>
      </c>
      <c r="D355" s="20" t="s">
        <v>28</v>
      </c>
      <c r="E355" s="20" t="s">
        <v>15</v>
      </c>
      <c r="F355" s="20">
        <v>1366.72</v>
      </c>
      <c r="G355" s="11">
        <f>VLOOKUP(A355,'Operational Data'!$A$2:$E$201,3,FALSE)</f>
        <v>70481</v>
      </c>
      <c r="H355" s="11">
        <f>VLOOKUP(A355,'Operational Data'!$A$2:$E$201,4,FALSE)</f>
        <v>4452.83</v>
      </c>
      <c r="I355" s="11">
        <f>VLOOKUP(A355,'Operational Data'!$A$2:$E$201,5,FALSE)</f>
        <v>91.26</v>
      </c>
      <c r="J355" s="21">
        <f t="shared" si="5"/>
        <v>1.939132532171791E-2</v>
      </c>
    </row>
    <row r="356" spans="1:10" ht="30" x14ac:dyDescent="0.25">
      <c r="A356" s="20" t="s">
        <v>149</v>
      </c>
      <c r="B356" s="20" t="s">
        <v>17</v>
      </c>
      <c r="C356" s="20" t="s">
        <v>23</v>
      </c>
      <c r="D356" s="20" t="s">
        <v>9</v>
      </c>
      <c r="E356" s="20" t="s">
        <v>24</v>
      </c>
      <c r="F356" s="20">
        <v>1988.1353349999999</v>
      </c>
      <c r="G356" s="11">
        <f>VLOOKUP(A356,'Operational Data'!$A$2:$E$201,3,FALSE)</f>
        <v>49885</v>
      </c>
      <c r="H356" s="11">
        <f>VLOOKUP(A356,'Operational Data'!$A$2:$E$201,4,FALSE)</f>
        <v>6845.46</v>
      </c>
      <c r="I356" s="11">
        <f>VLOOKUP(A356,'Operational Data'!$A$2:$E$201,5,FALSE)</f>
        <v>58.4</v>
      </c>
      <c r="J356" s="21">
        <f t="shared" si="5"/>
        <v>3.9854371755036581E-2</v>
      </c>
    </row>
    <row r="357" spans="1:10" x14ac:dyDescent="0.25">
      <c r="A357" s="20" t="s">
        <v>157</v>
      </c>
      <c r="B357" s="20" t="s">
        <v>30</v>
      </c>
      <c r="C357" s="20" t="s">
        <v>13</v>
      </c>
      <c r="D357" s="20" t="s">
        <v>28</v>
      </c>
      <c r="E357" s="20" t="s">
        <v>15</v>
      </c>
      <c r="F357" s="20">
        <v>2529.38</v>
      </c>
      <c r="G357" s="11">
        <f>VLOOKUP(A357,'Operational Data'!$A$2:$E$201,3,FALSE)</f>
        <v>76544</v>
      </c>
      <c r="H357" s="11">
        <f>VLOOKUP(A357,'Operational Data'!$A$2:$E$201,4,FALSE)</f>
        <v>8632.77</v>
      </c>
      <c r="I357" s="11">
        <f>VLOOKUP(A357,'Operational Data'!$A$2:$E$201,5,FALSE)</f>
        <v>12.87</v>
      </c>
      <c r="J357" s="21">
        <f t="shared" si="5"/>
        <v>3.304478469899666E-2</v>
      </c>
    </row>
    <row r="358" spans="1:10" x14ac:dyDescent="0.25">
      <c r="A358" s="20" t="s">
        <v>60</v>
      </c>
      <c r="B358" s="20" t="s">
        <v>12</v>
      </c>
      <c r="C358" s="20" t="s">
        <v>13</v>
      </c>
      <c r="D358" s="20" t="s">
        <v>28</v>
      </c>
      <c r="E358" s="20" t="s">
        <v>10</v>
      </c>
      <c r="F358" s="20">
        <v>3229.82</v>
      </c>
      <c r="G358" s="11">
        <f>VLOOKUP(A358,'Operational Data'!$A$2:$E$201,3,FALSE)</f>
        <v>25148</v>
      </c>
      <c r="H358" s="11">
        <f>VLOOKUP(A358,'Operational Data'!$A$2:$E$201,4,FALSE)</f>
        <v>9604.5499999999993</v>
      </c>
      <c r="I358" s="11">
        <f>VLOOKUP(A358,'Operational Data'!$A$2:$E$201,5,FALSE)</f>
        <v>63.47</v>
      </c>
      <c r="J358" s="21">
        <f t="shared" si="5"/>
        <v>0.12843247972005728</v>
      </c>
    </row>
    <row r="359" spans="1:10" x14ac:dyDescent="0.25">
      <c r="A359" s="20" t="s">
        <v>54</v>
      </c>
      <c r="B359" s="20" t="s">
        <v>12</v>
      </c>
      <c r="C359" s="20" t="s">
        <v>13</v>
      </c>
      <c r="D359" s="20" t="s">
        <v>14</v>
      </c>
      <c r="E359" s="20" t="s">
        <v>24</v>
      </c>
      <c r="F359" s="20">
        <v>1835.81</v>
      </c>
      <c r="G359" s="11">
        <f>VLOOKUP(A359,'Operational Data'!$A$2:$E$201,3,FALSE)</f>
        <v>58111</v>
      </c>
      <c r="H359" s="11">
        <f>VLOOKUP(A359,'Operational Data'!$A$2:$E$201,4,FALSE)</f>
        <v>4610.8999999999996</v>
      </c>
      <c r="I359" s="11">
        <f>VLOOKUP(A359,'Operational Data'!$A$2:$E$201,5,FALSE)</f>
        <v>21.53</v>
      </c>
      <c r="J359" s="21">
        <f t="shared" si="5"/>
        <v>3.1591437077317548E-2</v>
      </c>
    </row>
    <row r="360" spans="1:10" x14ac:dyDescent="0.25">
      <c r="A360" s="20" t="s">
        <v>27</v>
      </c>
      <c r="B360" s="20" t="s">
        <v>12</v>
      </c>
      <c r="C360" s="20" t="s">
        <v>23</v>
      </c>
      <c r="D360" s="20" t="s">
        <v>9</v>
      </c>
      <c r="E360" s="20" t="s">
        <v>24</v>
      </c>
      <c r="F360" s="20">
        <v>4463.7645069999999</v>
      </c>
      <c r="G360" s="11">
        <f>VLOOKUP(A360,'Operational Data'!$A$2:$E$201,3,FALSE)</f>
        <v>91031</v>
      </c>
      <c r="H360" s="11">
        <f>VLOOKUP(A360,'Operational Data'!$A$2:$E$201,4,FALSE)</f>
        <v>1783.57</v>
      </c>
      <c r="I360" s="11">
        <f>VLOOKUP(A360,'Operational Data'!$A$2:$E$201,5,FALSE)</f>
        <v>32.049999999999997</v>
      </c>
      <c r="J360" s="21">
        <f t="shared" si="5"/>
        <v>4.9035652766639931E-2</v>
      </c>
    </row>
    <row r="361" spans="1:10" x14ac:dyDescent="0.25">
      <c r="A361" s="20" t="s">
        <v>134</v>
      </c>
      <c r="B361" s="20" t="s">
        <v>7</v>
      </c>
      <c r="C361" s="20" t="s">
        <v>13</v>
      </c>
      <c r="D361" s="20" t="s">
        <v>9</v>
      </c>
      <c r="E361" s="20" t="s">
        <v>10</v>
      </c>
      <c r="F361" s="20">
        <v>2646.5870319999999</v>
      </c>
      <c r="G361" s="11">
        <f>VLOOKUP(A361,'Operational Data'!$A$2:$E$201,3,FALSE)</f>
        <v>39568</v>
      </c>
      <c r="H361" s="11">
        <f>VLOOKUP(A361,'Operational Data'!$A$2:$E$201,4,FALSE)</f>
        <v>3580.54</v>
      </c>
      <c r="I361" s="11">
        <f>VLOOKUP(A361,'Operational Data'!$A$2:$E$201,5,FALSE)</f>
        <v>78.08</v>
      </c>
      <c r="J361" s="21">
        <f t="shared" si="5"/>
        <v>6.688705600485241E-2</v>
      </c>
    </row>
    <row r="362" spans="1:10" x14ac:dyDescent="0.25">
      <c r="A362" s="20" t="s">
        <v>47</v>
      </c>
      <c r="B362" s="20" t="s">
        <v>30</v>
      </c>
      <c r="C362" s="20" t="s">
        <v>23</v>
      </c>
      <c r="D362" s="20" t="s">
        <v>9</v>
      </c>
      <c r="E362" s="20" t="s">
        <v>24</v>
      </c>
      <c r="F362" s="20">
        <v>3222.4658469999999</v>
      </c>
      <c r="G362" s="11">
        <f>VLOOKUP(A362,'Operational Data'!$A$2:$E$201,3,FALSE)</f>
        <v>53661</v>
      </c>
      <c r="H362" s="11">
        <f>VLOOKUP(A362,'Operational Data'!$A$2:$E$201,4,FALSE)</f>
        <v>6965.81</v>
      </c>
      <c r="I362" s="11">
        <f>VLOOKUP(A362,'Operational Data'!$A$2:$E$201,5,FALSE)</f>
        <v>69.400000000000006</v>
      </c>
      <c r="J362" s="21">
        <f t="shared" si="5"/>
        <v>6.0052288384487805E-2</v>
      </c>
    </row>
    <row r="363" spans="1:10" x14ac:dyDescent="0.25">
      <c r="A363" s="20" t="s">
        <v>126</v>
      </c>
      <c r="B363" s="20" t="s">
        <v>30</v>
      </c>
      <c r="C363" s="20" t="s">
        <v>23</v>
      </c>
      <c r="D363" s="20" t="s">
        <v>14</v>
      </c>
      <c r="E363" s="20" t="s">
        <v>10</v>
      </c>
      <c r="F363" s="20">
        <v>3493.4</v>
      </c>
      <c r="G363" s="11">
        <f>VLOOKUP(A363,'Operational Data'!$A$2:$E$201,3,FALSE)</f>
        <v>35506</v>
      </c>
      <c r="H363" s="11">
        <f>VLOOKUP(A363,'Operational Data'!$A$2:$E$201,4,FALSE)</f>
        <v>1892.04</v>
      </c>
      <c r="I363" s="11">
        <f>VLOOKUP(A363,'Operational Data'!$A$2:$E$201,5,FALSE)</f>
        <v>61.53</v>
      </c>
      <c r="J363" s="21">
        <f t="shared" si="5"/>
        <v>9.8389004675266151E-2</v>
      </c>
    </row>
    <row r="364" spans="1:10" x14ac:dyDescent="0.25">
      <c r="A364" s="20" t="s">
        <v>103</v>
      </c>
      <c r="B364" s="20" t="s">
        <v>19</v>
      </c>
      <c r="C364" s="20" t="s">
        <v>23</v>
      </c>
      <c r="D364" s="20" t="s">
        <v>28</v>
      </c>
      <c r="E364" s="20" t="s">
        <v>24</v>
      </c>
      <c r="F364" s="20">
        <v>871.61</v>
      </c>
      <c r="G364" s="11">
        <f>VLOOKUP(A364,'Operational Data'!$A$2:$E$201,3,FALSE)</f>
        <v>38869</v>
      </c>
      <c r="H364" s="11">
        <f>VLOOKUP(A364,'Operational Data'!$A$2:$E$201,4,FALSE)</f>
        <v>5109.76</v>
      </c>
      <c r="I364" s="11">
        <f>VLOOKUP(A364,'Operational Data'!$A$2:$E$201,5,FALSE)</f>
        <v>35.270000000000003</v>
      </c>
      <c r="J364" s="21">
        <f t="shared" si="5"/>
        <v>2.2424296997607347E-2</v>
      </c>
    </row>
    <row r="365" spans="1:10" ht="30" x14ac:dyDescent="0.25">
      <c r="A365" s="20" t="s">
        <v>80</v>
      </c>
      <c r="B365" s="20" t="s">
        <v>17</v>
      </c>
      <c r="C365" s="20" t="s">
        <v>23</v>
      </c>
      <c r="D365" s="20" t="s">
        <v>28</v>
      </c>
      <c r="E365" s="20" t="s">
        <v>15</v>
      </c>
      <c r="F365" s="20">
        <v>407.43</v>
      </c>
      <c r="G365" s="11">
        <f>VLOOKUP(A365,'Operational Data'!$A$2:$E$201,3,FALSE)</f>
        <v>75508</v>
      </c>
      <c r="H365" s="11">
        <f>VLOOKUP(A365,'Operational Data'!$A$2:$E$201,4,FALSE)</f>
        <v>6856.22</v>
      </c>
      <c r="I365" s="11">
        <f>VLOOKUP(A365,'Operational Data'!$A$2:$E$201,5,FALSE)</f>
        <v>18.2</v>
      </c>
      <c r="J365" s="21">
        <f t="shared" si="5"/>
        <v>5.3958520951422366E-3</v>
      </c>
    </row>
    <row r="366" spans="1:10" x14ac:dyDescent="0.25">
      <c r="A366" s="20" t="s">
        <v>71</v>
      </c>
      <c r="B366" s="20" t="s">
        <v>7</v>
      </c>
      <c r="C366" s="20" t="s">
        <v>23</v>
      </c>
      <c r="D366" s="20" t="s">
        <v>28</v>
      </c>
      <c r="E366" s="20" t="s">
        <v>10</v>
      </c>
      <c r="F366" s="20">
        <v>4341.34</v>
      </c>
      <c r="G366" s="11">
        <f>VLOOKUP(A366,'Operational Data'!$A$2:$E$201,3,FALSE)</f>
        <v>68018</v>
      </c>
      <c r="H366" s="11">
        <f>VLOOKUP(A366,'Operational Data'!$A$2:$E$201,4,FALSE)</f>
        <v>3523.4</v>
      </c>
      <c r="I366" s="11">
        <f>VLOOKUP(A366,'Operational Data'!$A$2:$E$201,5,FALSE)</f>
        <v>92.26</v>
      </c>
      <c r="J366" s="21">
        <f t="shared" si="5"/>
        <v>6.3826340086447705E-2</v>
      </c>
    </row>
    <row r="367" spans="1:10" x14ac:dyDescent="0.25">
      <c r="A367" s="20" t="s">
        <v>187</v>
      </c>
      <c r="B367" s="20" t="s">
        <v>19</v>
      </c>
      <c r="C367" s="20" t="s">
        <v>13</v>
      </c>
      <c r="D367" s="20" t="s">
        <v>9</v>
      </c>
      <c r="E367" s="20" t="s">
        <v>15</v>
      </c>
      <c r="F367" s="20">
        <v>1935.295691</v>
      </c>
      <c r="G367" s="11">
        <f>VLOOKUP(A367,'Operational Data'!$A$2:$E$201,3,FALSE)</f>
        <v>94861</v>
      </c>
      <c r="H367" s="11">
        <f>VLOOKUP(A367,'Operational Data'!$A$2:$E$201,4,FALSE)</f>
        <v>8363.57</v>
      </c>
      <c r="I367" s="11">
        <f>VLOOKUP(A367,'Operational Data'!$A$2:$E$201,5,FALSE)</f>
        <v>90.29</v>
      </c>
      <c r="J367" s="21">
        <f t="shared" si="5"/>
        <v>2.0401384035588915E-2</v>
      </c>
    </row>
    <row r="368" spans="1:10" x14ac:dyDescent="0.25">
      <c r="A368" s="20" t="s">
        <v>160</v>
      </c>
      <c r="B368" s="20" t="s">
        <v>30</v>
      </c>
      <c r="C368" s="20" t="s">
        <v>23</v>
      </c>
      <c r="D368" s="20" t="s">
        <v>14</v>
      </c>
      <c r="E368" s="20" t="s">
        <v>10</v>
      </c>
      <c r="F368" s="20">
        <v>3547.68</v>
      </c>
      <c r="G368" s="11">
        <f>VLOOKUP(A368,'Operational Data'!$A$2:$E$201,3,FALSE)</f>
        <v>18341</v>
      </c>
      <c r="H368" s="11">
        <f>VLOOKUP(A368,'Operational Data'!$A$2:$E$201,4,FALSE)</f>
        <v>8465.57</v>
      </c>
      <c r="I368" s="11">
        <f>VLOOKUP(A368,'Operational Data'!$A$2:$E$201,5,FALSE)</f>
        <v>38.39</v>
      </c>
      <c r="J368" s="21">
        <f t="shared" si="5"/>
        <v>0.19342892972029876</v>
      </c>
    </row>
    <row r="369" spans="1:10" ht="30" x14ac:dyDescent="0.25">
      <c r="A369" s="20" t="s">
        <v>149</v>
      </c>
      <c r="B369" s="20" t="s">
        <v>17</v>
      </c>
      <c r="C369" s="20" t="s">
        <v>34</v>
      </c>
      <c r="D369" s="20" t="s">
        <v>14</v>
      </c>
      <c r="E369" s="20" t="s">
        <v>24</v>
      </c>
      <c r="F369" s="20">
        <v>4904.09</v>
      </c>
      <c r="G369" s="11">
        <f>VLOOKUP(A369,'Operational Data'!$A$2:$E$201,3,FALSE)</f>
        <v>49885</v>
      </c>
      <c r="H369" s="11">
        <f>VLOOKUP(A369,'Operational Data'!$A$2:$E$201,4,FALSE)</f>
        <v>6845.46</v>
      </c>
      <c r="I369" s="11">
        <f>VLOOKUP(A369,'Operational Data'!$A$2:$E$201,5,FALSE)</f>
        <v>58.4</v>
      </c>
      <c r="J369" s="21">
        <f t="shared" si="5"/>
        <v>9.8307908188834323E-2</v>
      </c>
    </row>
    <row r="370" spans="1:10" x14ac:dyDescent="0.25">
      <c r="A370" s="20" t="s">
        <v>33</v>
      </c>
      <c r="B370" s="20" t="s">
        <v>19</v>
      </c>
      <c r="C370" s="20" t="s">
        <v>8</v>
      </c>
      <c r="D370" s="20" t="s">
        <v>14</v>
      </c>
      <c r="E370" s="20" t="s">
        <v>10</v>
      </c>
      <c r="F370" s="20">
        <v>3391.08</v>
      </c>
      <c r="G370" s="11">
        <f>VLOOKUP(A370,'Operational Data'!$A$2:$E$201,3,FALSE)</f>
        <v>65719</v>
      </c>
      <c r="H370" s="11">
        <f>VLOOKUP(A370,'Operational Data'!$A$2:$E$201,4,FALSE)</f>
        <v>9362.41</v>
      </c>
      <c r="I370" s="11">
        <f>VLOOKUP(A370,'Operational Data'!$A$2:$E$201,5,FALSE)</f>
        <v>86.55</v>
      </c>
      <c r="J370" s="21">
        <f t="shared" si="5"/>
        <v>5.1599689587486113E-2</v>
      </c>
    </row>
    <row r="371" spans="1:10" x14ac:dyDescent="0.25">
      <c r="A371" s="20" t="s">
        <v>64</v>
      </c>
      <c r="B371" s="20" t="s">
        <v>30</v>
      </c>
      <c r="C371" s="20" t="s">
        <v>8</v>
      </c>
      <c r="D371" s="20" t="s">
        <v>28</v>
      </c>
      <c r="E371" s="20" t="s">
        <v>10</v>
      </c>
      <c r="F371" s="20">
        <v>589.80999999999995</v>
      </c>
      <c r="G371" s="11">
        <f>VLOOKUP(A371,'Operational Data'!$A$2:$E$201,3,FALSE)</f>
        <v>52836</v>
      </c>
      <c r="H371" s="11">
        <f>VLOOKUP(A371,'Operational Data'!$A$2:$E$201,4,FALSE)</f>
        <v>9330.2999999999993</v>
      </c>
      <c r="I371" s="11">
        <f>VLOOKUP(A371,'Operational Data'!$A$2:$E$201,5,FALSE)</f>
        <v>87.27</v>
      </c>
      <c r="J371" s="21">
        <f t="shared" si="5"/>
        <v>1.1163032780679838E-2</v>
      </c>
    </row>
    <row r="372" spans="1:10" ht="30" x14ac:dyDescent="0.25">
      <c r="A372" s="20" t="s">
        <v>127</v>
      </c>
      <c r="B372" s="20" t="s">
        <v>17</v>
      </c>
      <c r="C372" s="20" t="s">
        <v>13</v>
      </c>
      <c r="D372" s="20" t="s">
        <v>28</v>
      </c>
      <c r="E372" s="20" t="s">
        <v>24</v>
      </c>
      <c r="F372" s="20">
        <v>1487.46</v>
      </c>
      <c r="G372" s="11">
        <f>VLOOKUP(A372,'Operational Data'!$A$2:$E$201,3,FALSE)</f>
        <v>17416</v>
      </c>
      <c r="H372" s="11">
        <f>VLOOKUP(A372,'Operational Data'!$A$2:$E$201,4,FALSE)</f>
        <v>812.06</v>
      </c>
      <c r="I372" s="11">
        <f>VLOOKUP(A372,'Operational Data'!$A$2:$E$201,5,FALSE)</f>
        <v>5.7</v>
      </c>
      <c r="J372" s="21">
        <f t="shared" si="5"/>
        <v>8.5407671107028016E-2</v>
      </c>
    </row>
    <row r="373" spans="1:10" x14ac:dyDescent="0.25">
      <c r="A373" s="20" t="s">
        <v>27</v>
      </c>
      <c r="B373" s="20" t="s">
        <v>12</v>
      </c>
      <c r="C373" s="20" t="s">
        <v>13</v>
      </c>
      <c r="D373" s="20" t="s">
        <v>14</v>
      </c>
      <c r="E373" s="20" t="s">
        <v>24</v>
      </c>
      <c r="F373" s="20">
        <v>2879.35</v>
      </c>
      <c r="G373" s="11">
        <f>VLOOKUP(A373,'Operational Data'!$A$2:$E$201,3,FALSE)</f>
        <v>91031</v>
      </c>
      <c r="H373" s="11">
        <f>VLOOKUP(A373,'Operational Data'!$A$2:$E$201,4,FALSE)</f>
        <v>1783.57</v>
      </c>
      <c r="I373" s="11">
        <f>VLOOKUP(A373,'Operational Data'!$A$2:$E$201,5,FALSE)</f>
        <v>32.049999999999997</v>
      </c>
      <c r="J373" s="21">
        <f t="shared" si="5"/>
        <v>3.1630433588557744E-2</v>
      </c>
    </row>
    <row r="374" spans="1:10" x14ac:dyDescent="0.25">
      <c r="A374" s="20" t="s">
        <v>45</v>
      </c>
      <c r="B374" s="20" t="s">
        <v>7</v>
      </c>
      <c r="C374" s="20" t="s">
        <v>13</v>
      </c>
      <c r="D374" s="20" t="s">
        <v>28</v>
      </c>
      <c r="E374" s="20" t="s">
        <v>24</v>
      </c>
      <c r="F374" s="20">
        <v>3544.12</v>
      </c>
      <c r="G374" s="11">
        <f>VLOOKUP(A374,'Operational Data'!$A$2:$E$201,3,FALSE)</f>
        <v>49924</v>
      </c>
      <c r="H374" s="11">
        <f>VLOOKUP(A374,'Operational Data'!$A$2:$E$201,4,FALSE)</f>
        <v>2199.16</v>
      </c>
      <c r="I374" s="11">
        <f>VLOOKUP(A374,'Operational Data'!$A$2:$E$201,5,FALSE)</f>
        <v>75.48</v>
      </c>
      <c r="J374" s="21">
        <f t="shared" si="5"/>
        <v>7.0990305264001283E-2</v>
      </c>
    </row>
    <row r="375" spans="1:10" x14ac:dyDescent="0.25">
      <c r="A375" s="20" t="s">
        <v>27</v>
      </c>
      <c r="B375" s="20" t="s">
        <v>12</v>
      </c>
      <c r="C375" s="20" t="s">
        <v>8</v>
      </c>
      <c r="D375" s="20" t="s">
        <v>14</v>
      </c>
      <c r="E375" s="20" t="s">
        <v>10</v>
      </c>
      <c r="F375" s="20">
        <v>646.33000000000004</v>
      </c>
      <c r="G375" s="11">
        <f>VLOOKUP(A375,'Operational Data'!$A$2:$E$201,3,FALSE)</f>
        <v>91031</v>
      </c>
      <c r="H375" s="11">
        <f>VLOOKUP(A375,'Operational Data'!$A$2:$E$201,4,FALSE)</f>
        <v>1783.57</v>
      </c>
      <c r="I375" s="11">
        <f>VLOOKUP(A375,'Operational Data'!$A$2:$E$201,5,FALSE)</f>
        <v>32.049999999999997</v>
      </c>
      <c r="J375" s="21">
        <f t="shared" si="5"/>
        <v>7.1001087541606714E-3</v>
      </c>
    </row>
    <row r="376" spans="1:10" x14ac:dyDescent="0.25">
      <c r="A376" s="20" t="s">
        <v>144</v>
      </c>
      <c r="B376" s="20" t="s">
        <v>30</v>
      </c>
      <c r="C376" s="20" t="s">
        <v>23</v>
      </c>
      <c r="D376" s="20" t="s">
        <v>14</v>
      </c>
      <c r="E376" s="20" t="s">
        <v>10</v>
      </c>
      <c r="F376" s="20">
        <v>1569.86</v>
      </c>
      <c r="G376" s="11">
        <f>VLOOKUP(A376,'Operational Data'!$A$2:$E$201,3,FALSE)</f>
        <v>11426</v>
      </c>
      <c r="H376" s="11">
        <f>VLOOKUP(A376,'Operational Data'!$A$2:$E$201,4,FALSE)</f>
        <v>4439.5600000000004</v>
      </c>
      <c r="I376" s="11">
        <f>VLOOKUP(A376,'Operational Data'!$A$2:$E$201,5,FALSE)</f>
        <v>52.71</v>
      </c>
      <c r="J376" s="21">
        <f t="shared" si="5"/>
        <v>0.13739366357430421</v>
      </c>
    </row>
    <row r="377" spans="1:10" x14ac:dyDescent="0.25">
      <c r="A377" s="20" t="s">
        <v>166</v>
      </c>
      <c r="B377" s="20" t="s">
        <v>7</v>
      </c>
      <c r="C377" s="20" t="s">
        <v>34</v>
      </c>
      <c r="D377" s="20" t="s">
        <v>28</v>
      </c>
      <c r="E377" s="20" t="s">
        <v>15</v>
      </c>
      <c r="F377" s="20">
        <v>2728.09</v>
      </c>
      <c r="G377" s="11">
        <f>VLOOKUP(A377,'Operational Data'!$A$2:$E$201,3,FALSE)</f>
        <v>34318</v>
      </c>
      <c r="H377" s="11">
        <f>VLOOKUP(A377,'Operational Data'!$A$2:$E$201,4,FALSE)</f>
        <v>675.67</v>
      </c>
      <c r="I377" s="11">
        <f>VLOOKUP(A377,'Operational Data'!$A$2:$E$201,5,FALSE)</f>
        <v>41.05</v>
      </c>
      <c r="J377" s="21">
        <f t="shared" si="5"/>
        <v>7.9494434407599512E-2</v>
      </c>
    </row>
    <row r="378" spans="1:10" ht="30" x14ac:dyDescent="0.25">
      <c r="A378" s="20" t="s">
        <v>76</v>
      </c>
      <c r="B378" s="20" t="s">
        <v>17</v>
      </c>
      <c r="C378" s="20" t="s">
        <v>23</v>
      </c>
      <c r="D378" s="20" t="s">
        <v>28</v>
      </c>
      <c r="E378" s="20" t="s">
        <v>15</v>
      </c>
      <c r="F378" s="20">
        <v>1865.65</v>
      </c>
      <c r="G378" s="11">
        <f>VLOOKUP(A378,'Operational Data'!$A$2:$E$201,3,FALSE)</f>
        <v>59617</v>
      </c>
      <c r="H378" s="11">
        <f>VLOOKUP(A378,'Operational Data'!$A$2:$E$201,4,FALSE)</f>
        <v>5000.95</v>
      </c>
      <c r="I378" s="11">
        <f>VLOOKUP(A378,'Operational Data'!$A$2:$E$201,5,FALSE)</f>
        <v>80.36</v>
      </c>
      <c r="J378" s="21">
        <f t="shared" si="5"/>
        <v>3.1293926229095728E-2</v>
      </c>
    </row>
    <row r="379" spans="1:10" x14ac:dyDescent="0.25">
      <c r="A379" s="20" t="s">
        <v>138</v>
      </c>
      <c r="B379" s="20" t="s">
        <v>12</v>
      </c>
      <c r="C379" s="20" t="s">
        <v>13</v>
      </c>
      <c r="D379" s="20" t="s">
        <v>28</v>
      </c>
      <c r="E379" s="20" t="s">
        <v>10</v>
      </c>
      <c r="F379" s="20">
        <v>4048.31</v>
      </c>
      <c r="G379" s="11">
        <f>VLOOKUP(A379,'Operational Data'!$A$2:$E$201,3,FALSE)</f>
        <v>57353</v>
      </c>
      <c r="H379" s="11">
        <f>VLOOKUP(A379,'Operational Data'!$A$2:$E$201,4,FALSE)</f>
        <v>2274.71</v>
      </c>
      <c r="I379" s="11">
        <f>VLOOKUP(A379,'Operational Data'!$A$2:$E$201,5,FALSE)</f>
        <v>65.34</v>
      </c>
      <c r="J379" s="21">
        <f t="shared" si="5"/>
        <v>7.0585845552978921E-2</v>
      </c>
    </row>
    <row r="380" spans="1:10" x14ac:dyDescent="0.25">
      <c r="A380" s="20" t="s">
        <v>39</v>
      </c>
      <c r="B380" s="20" t="s">
        <v>7</v>
      </c>
      <c r="C380" s="20" t="s">
        <v>34</v>
      </c>
      <c r="D380" s="20" t="s">
        <v>28</v>
      </c>
      <c r="E380" s="20" t="s">
        <v>15</v>
      </c>
      <c r="F380" s="20">
        <v>468.34</v>
      </c>
      <c r="G380" s="11">
        <f>VLOOKUP(A380,'Operational Data'!$A$2:$E$201,3,FALSE)</f>
        <v>80904</v>
      </c>
      <c r="H380" s="11">
        <f>VLOOKUP(A380,'Operational Data'!$A$2:$E$201,4,FALSE)</f>
        <v>3263.09</v>
      </c>
      <c r="I380" s="11">
        <f>VLOOKUP(A380,'Operational Data'!$A$2:$E$201,5,FALSE)</f>
        <v>58.37</v>
      </c>
      <c r="J380" s="21">
        <f t="shared" si="5"/>
        <v>5.7888361514881834E-3</v>
      </c>
    </row>
    <row r="381" spans="1:10" x14ac:dyDescent="0.25">
      <c r="A381" s="20" t="s">
        <v>188</v>
      </c>
      <c r="B381" s="20" t="s">
        <v>19</v>
      </c>
      <c r="C381" s="20" t="s">
        <v>13</v>
      </c>
      <c r="D381" s="20" t="s">
        <v>28</v>
      </c>
      <c r="E381" s="20" t="s">
        <v>10</v>
      </c>
      <c r="F381" s="20">
        <v>802.1</v>
      </c>
      <c r="G381" s="11">
        <f>VLOOKUP(A381,'Operational Data'!$A$2:$E$201,3,FALSE)</f>
        <v>60513</v>
      </c>
      <c r="H381" s="11">
        <f>VLOOKUP(A381,'Operational Data'!$A$2:$E$201,4,FALSE)</f>
        <v>4578.16</v>
      </c>
      <c r="I381" s="11">
        <f>VLOOKUP(A381,'Operational Data'!$A$2:$E$201,5,FALSE)</f>
        <v>65.53</v>
      </c>
      <c r="J381" s="21">
        <f t="shared" si="5"/>
        <v>1.3255003057194322E-2</v>
      </c>
    </row>
    <row r="382" spans="1:10" x14ac:dyDescent="0.25">
      <c r="A382" s="20" t="s">
        <v>101</v>
      </c>
      <c r="B382" s="20" t="s">
        <v>19</v>
      </c>
      <c r="C382" s="20" t="s">
        <v>34</v>
      </c>
      <c r="D382" s="20" t="s">
        <v>9</v>
      </c>
      <c r="E382" s="20" t="s">
        <v>10</v>
      </c>
      <c r="F382" s="20">
        <v>3548.259994</v>
      </c>
      <c r="G382" s="11">
        <f>VLOOKUP(A382,'Operational Data'!$A$2:$E$201,3,FALSE)</f>
        <v>39050</v>
      </c>
      <c r="H382" s="11">
        <f>VLOOKUP(A382,'Operational Data'!$A$2:$E$201,4,FALSE)</f>
        <v>5885.73</v>
      </c>
      <c r="I382" s="11">
        <f>VLOOKUP(A382,'Operational Data'!$A$2:$E$201,5,FALSE)</f>
        <v>93.04</v>
      </c>
      <c r="J382" s="21">
        <f t="shared" si="5"/>
        <v>9.0864532496798975E-2</v>
      </c>
    </row>
    <row r="383" spans="1:10" ht="30" x14ac:dyDescent="0.25">
      <c r="A383" s="20" t="s">
        <v>142</v>
      </c>
      <c r="B383" s="20" t="s">
        <v>17</v>
      </c>
      <c r="C383" s="20" t="s">
        <v>8</v>
      </c>
      <c r="D383" s="20" t="s">
        <v>14</v>
      </c>
      <c r="E383" s="20" t="s">
        <v>15</v>
      </c>
      <c r="F383" s="20">
        <v>647.30999999999995</v>
      </c>
      <c r="G383" s="11">
        <f>VLOOKUP(A383,'Operational Data'!$A$2:$E$201,3,FALSE)</f>
        <v>75736</v>
      </c>
      <c r="H383" s="11">
        <f>VLOOKUP(A383,'Operational Data'!$A$2:$E$201,4,FALSE)</f>
        <v>6287.07</v>
      </c>
      <c r="I383" s="11">
        <f>VLOOKUP(A383,'Operational Data'!$A$2:$E$201,5,FALSE)</f>
        <v>63.11</v>
      </c>
      <c r="J383" s="21">
        <f t="shared" si="5"/>
        <v>8.5469261645716686E-3</v>
      </c>
    </row>
    <row r="384" spans="1:10" x14ac:dyDescent="0.25">
      <c r="A384" s="20" t="s">
        <v>178</v>
      </c>
      <c r="B384" s="20" t="s">
        <v>30</v>
      </c>
      <c r="C384" s="20" t="s">
        <v>34</v>
      </c>
      <c r="D384" s="20" t="s">
        <v>14</v>
      </c>
      <c r="E384" s="20" t="s">
        <v>24</v>
      </c>
      <c r="F384" s="20">
        <v>1024.8599999999999</v>
      </c>
      <c r="G384" s="11">
        <f>VLOOKUP(A384,'Operational Data'!$A$2:$E$201,3,FALSE)</f>
        <v>88188</v>
      </c>
      <c r="H384" s="11">
        <f>VLOOKUP(A384,'Operational Data'!$A$2:$E$201,4,FALSE)</f>
        <v>815.86</v>
      </c>
      <c r="I384" s="11">
        <f>VLOOKUP(A384,'Operational Data'!$A$2:$E$201,5,FALSE)</f>
        <v>57.53</v>
      </c>
      <c r="J384" s="21">
        <f t="shared" si="5"/>
        <v>1.1621309021635596E-2</v>
      </c>
    </row>
    <row r="385" spans="1:10" x14ac:dyDescent="0.25">
      <c r="A385" s="20" t="s">
        <v>172</v>
      </c>
      <c r="B385" s="20" t="s">
        <v>7</v>
      </c>
      <c r="C385" s="20" t="s">
        <v>23</v>
      </c>
      <c r="D385" s="20" t="s">
        <v>14</v>
      </c>
      <c r="E385" s="20" t="s">
        <v>24</v>
      </c>
      <c r="F385" s="20">
        <v>304.14999999999998</v>
      </c>
      <c r="G385" s="11">
        <f>VLOOKUP(A385,'Operational Data'!$A$2:$E$201,3,FALSE)</f>
        <v>68820</v>
      </c>
      <c r="H385" s="11">
        <f>VLOOKUP(A385,'Operational Data'!$A$2:$E$201,4,FALSE)</f>
        <v>9612.25</v>
      </c>
      <c r="I385" s="11">
        <f>VLOOKUP(A385,'Operational Data'!$A$2:$E$201,5,FALSE)</f>
        <v>83.51</v>
      </c>
      <c r="J385" s="21">
        <f t="shared" si="5"/>
        <v>4.4195001453065964E-3</v>
      </c>
    </row>
    <row r="386" spans="1:10" x14ac:dyDescent="0.25">
      <c r="A386" s="20" t="s">
        <v>73</v>
      </c>
      <c r="B386" s="20" t="s">
        <v>30</v>
      </c>
      <c r="C386" s="20" t="s">
        <v>23</v>
      </c>
      <c r="D386" s="20" t="s">
        <v>28</v>
      </c>
      <c r="E386" s="20" t="s">
        <v>24</v>
      </c>
      <c r="F386" s="20">
        <v>4794.1899999999996</v>
      </c>
      <c r="G386" s="11">
        <f>VLOOKUP(A386,'Operational Data'!$A$2:$E$201,3,FALSE)</f>
        <v>55974</v>
      </c>
      <c r="H386" s="11">
        <f>VLOOKUP(A386,'Operational Data'!$A$2:$E$201,4,FALSE)</f>
        <v>7542.28</v>
      </c>
      <c r="I386" s="11">
        <f>VLOOKUP(A386,'Operational Data'!$A$2:$E$201,5,FALSE)</f>
        <v>72.430000000000007</v>
      </c>
      <c r="J386" s="21">
        <f t="shared" si="5"/>
        <v>8.5650301925894151E-2</v>
      </c>
    </row>
    <row r="387" spans="1:10" x14ac:dyDescent="0.25">
      <c r="A387" s="20" t="s">
        <v>72</v>
      </c>
      <c r="B387" s="20" t="s">
        <v>19</v>
      </c>
      <c r="C387" s="20" t="s">
        <v>34</v>
      </c>
      <c r="D387" s="20" t="s">
        <v>28</v>
      </c>
      <c r="E387" s="20" t="s">
        <v>24</v>
      </c>
      <c r="F387" s="20">
        <v>2331.7399999999998</v>
      </c>
      <c r="G387" s="11">
        <f>VLOOKUP(A387,'Operational Data'!$A$2:$E$201,3,FALSE)</f>
        <v>29318</v>
      </c>
      <c r="H387" s="11">
        <f>VLOOKUP(A387,'Operational Data'!$A$2:$E$201,4,FALSE)</f>
        <v>9860.6200000000008</v>
      </c>
      <c r="I387" s="11">
        <f>VLOOKUP(A387,'Operational Data'!$A$2:$E$201,5,FALSE)</f>
        <v>14.58</v>
      </c>
      <c r="J387" s="21">
        <f t="shared" ref="J387:J450" si="6">F387/G387</f>
        <v>7.9532710280373828E-2</v>
      </c>
    </row>
    <row r="388" spans="1:10" ht="30" x14ac:dyDescent="0.25">
      <c r="A388" s="20" t="s">
        <v>136</v>
      </c>
      <c r="B388" s="20" t="s">
        <v>17</v>
      </c>
      <c r="C388" s="20" t="s">
        <v>13</v>
      </c>
      <c r="D388" s="20" t="s">
        <v>28</v>
      </c>
      <c r="E388" s="20" t="s">
        <v>10</v>
      </c>
      <c r="F388" s="20">
        <v>4183.93</v>
      </c>
      <c r="G388" s="11">
        <f>VLOOKUP(A388,'Operational Data'!$A$2:$E$201,3,FALSE)</f>
        <v>15128</v>
      </c>
      <c r="H388" s="11">
        <f>VLOOKUP(A388,'Operational Data'!$A$2:$E$201,4,FALSE)</f>
        <v>8847.09</v>
      </c>
      <c r="I388" s="11">
        <f>VLOOKUP(A388,'Operational Data'!$A$2:$E$201,5,FALSE)</f>
        <v>5.25</v>
      </c>
      <c r="J388" s="21">
        <f t="shared" si="6"/>
        <v>0.276568614489688</v>
      </c>
    </row>
    <row r="389" spans="1:10" x14ac:dyDescent="0.25">
      <c r="A389" s="20" t="s">
        <v>22</v>
      </c>
      <c r="B389" s="20" t="s">
        <v>12</v>
      </c>
      <c r="C389" s="20" t="s">
        <v>13</v>
      </c>
      <c r="D389" s="20" t="s">
        <v>14</v>
      </c>
      <c r="E389" s="20" t="s">
        <v>15</v>
      </c>
      <c r="F389" s="20">
        <v>1515.76</v>
      </c>
      <c r="G389" s="11">
        <f>VLOOKUP(A389,'Operational Data'!$A$2:$E$201,3,FALSE)</f>
        <v>47484</v>
      </c>
      <c r="H389" s="11">
        <f>VLOOKUP(A389,'Operational Data'!$A$2:$E$201,4,FALSE)</f>
        <v>3396.39</v>
      </c>
      <c r="I389" s="11">
        <f>VLOOKUP(A389,'Operational Data'!$A$2:$E$201,5,FALSE)</f>
        <v>19.510000000000002</v>
      </c>
      <c r="J389" s="21">
        <f t="shared" si="6"/>
        <v>3.1921489343778954E-2</v>
      </c>
    </row>
    <row r="390" spans="1:10" x14ac:dyDescent="0.25">
      <c r="A390" s="20" t="s">
        <v>189</v>
      </c>
      <c r="B390" s="20" t="s">
        <v>19</v>
      </c>
      <c r="C390" s="20" t="s">
        <v>23</v>
      </c>
      <c r="D390" s="20" t="s">
        <v>9</v>
      </c>
      <c r="E390" s="20" t="s">
        <v>10</v>
      </c>
      <c r="F390" s="20">
        <v>4299.7299999999996</v>
      </c>
      <c r="G390" s="11">
        <f>VLOOKUP(A390,'Operational Data'!$A$2:$E$201,3,FALSE)</f>
        <v>27681</v>
      </c>
      <c r="H390" s="11">
        <f>VLOOKUP(A390,'Operational Data'!$A$2:$E$201,4,FALSE)</f>
        <v>928.26</v>
      </c>
      <c r="I390" s="11">
        <f>VLOOKUP(A390,'Operational Data'!$A$2:$E$201,5,FALSE)</f>
        <v>44.97</v>
      </c>
      <c r="J390" s="21">
        <f t="shared" si="6"/>
        <v>0.15533145478848306</v>
      </c>
    </row>
    <row r="391" spans="1:10" ht="30" x14ac:dyDescent="0.25">
      <c r="A391" s="20" t="s">
        <v>89</v>
      </c>
      <c r="B391" s="20" t="s">
        <v>17</v>
      </c>
      <c r="C391" s="20" t="s">
        <v>13</v>
      </c>
      <c r="D391" s="20" t="s">
        <v>28</v>
      </c>
      <c r="E391" s="20" t="s">
        <v>24</v>
      </c>
      <c r="F391" s="20">
        <v>303.22000000000003</v>
      </c>
      <c r="G391" s="11">
        <f>VLOOKUP(A391,'Operational Data'!$A$2:$E$201,3,FALSE)</f>
        <v>36171</v>
      </c>
      <c r="H391" s="11">
        <f>VLOOKUP(A391,'Operational Data'!$A$2:$E$201,4,FALSE)</f>
        <v>6864.38</v>
      </c>
      <c r="I391" s="11">
        <f>VLOOKUP(A391,'Operational Data'!$A$2:$E$201,5,FALSE)</f>
        <v>37.03</v>
      </c>
      <c r="J391" s="21">
        <f t="shared" si="6"/>
        <v>8.3829587238395415E-3</v>
      </c>
    </row>
    <row r="392" spans="1:10" x14ac:dyDescent="0.25">
      <c r="A392" s="20" t="s">
        <v>121</v>
      </c>
      <c r="B392" s="20" t="s">
        <v>30</v>
      </c>
      <c r="C392" s="20" t="s">
        <v>8</v>
      </c>
      <c r="D392" s="20" t="s">
        <v>14</v>
      </c>
      <c r="E392" s="20" t="s">
        <v>10</v>
      </c>
      <c r="F392" s="20">
        <v>2427.3000000000002</v>
      </c>
      <c r="G392" s="11">
        <f>VLOOKUP(A392,'Operational Data'!$A$2:$E$201,3,FALSE)</f>
        <v>58895</v>
      </c>
      <c r="H392" s="11">
        <f>VLOOKUP(A392,'Operational Data'!$A$2:$E$201,4,FALSE)</f>
        <v>3039.17</v>
      </c>
      <c r="I392" s="11">
        <f>VLOOKUP(A392,'Operational Data'!$A$2:$E$201,5,FALSE)</f>
        <v>59.82</v>
      </c>
      <c r="J392" s="21">
        <f t="shared" si="6"/>
        <v>4.1214024959674002E-2</v>
      </c>
    </row>
    <row r="393" spans="1:10" ht="30" x14ac:dyDescent="0.25">
      <c r="A393" s="20" t="s">
        <v>190</v>
      </c>
      <c r="B393" s="20" t="s">
        <v>17</v>
      </c>
      <c r="C393" s="20" t="s">
        <v>13</v>
      </c>
      <c r="D393" s="20" t="s">
        <v>14</v>
      </c>
      <c r="E393" s="20" t="s">
        <v>15</v>
      </c>
      <c r="F393" s="20">
        <v>3481.31</v>
      </c>
      <c r="G393" s="11">
        <f>VLOOKUP(A393,'Operational Data'!$A$2:$E$201,3,FALSE)</f>
        <v>41953</v>
      </c>
      <c r="H393" s="11">
        <f>VLOOKUP(A393,'Operational Data'!$A$2:$E$201,4,FALSE)</f>
        <v>2379.14</v>
      </c>
      <c r="I393" s="11">
        <f>VLOOKUP(A393,'Operational Data'!$A$2:$E$201,5,FALSE)</f>
        <v>65.67</v>
      </c>
      <c r="J393" s="21">
        <f t="shared" si="6"/>
        <v>8.2981193240054346E-2</v>
      </c>
    </row>
    <row r="394" spans="1:10" x14ac:dyDescent="0.25">
      <c r="A394" s="20" t="s">
        <v>96</v>
      </c>
      <c r="B394" s="20" t="s">
        <v>19</v>
      </c>
      <c r="C394" s="20" t="s">
        <v>23</v>
      </c>
      <c r="D394" s="20" t="s">
        <v>28</v>
      </c>
      <c r="E394" s="20" t="s">
        <v>10</v>
      </c>
      <c r="F394" s="20">
        <v>2451.0100000000002</v>
      </c>
      <c r="G394" s="11">
        <f>VLOOKUP(A394,'Operational Data'!$A$2:$E$201,3,FALSE)</f>
        <v>53942</v>
      </c>
      <c r="H394" s="11">
        <f>VLOOKUP(A394,'Operational Data'!$A$2:$E$201,4,FALSE)</f>
        <v>5904.31</v>
      </c>
      <c r="I394" s="11">
        <f>VLOOKUP(A394,'Operational Data'!$A$2:$E$201,5,FALSE)</f>
        <v>32.78</v>
      </c>
      <c r="J394" s="21">
        <f t="shared" si="6"/>
        <v>4.5437877720514629E-2</v>
      </c>
    </row>
    <row r="395" spans="1:10" x14ac:dyDescent="0.25">
      <c r="A395" s="20" t="s">
        <v>50</v>
      </c>
      <c r="B395" s="20" t="s">
        <v>19</v>
      </c>
      <c r="C395" s="20" t="s">
        <v>8</v>
      </c>
      <c r="D395" s="20" t="s">
        <v>9</v>
      </c>
      <c r="E395" s="20" t="s">
        <v>10</v>
      </c>
      <c r="F395" s="20">
        <v>2726.5885549999998</v>
      </c>
      <c r="G395" s="11">
        <f>VLOOKUP(A395,'Operational Data'!$A$2:$E$201,3,FALSE)</f>
        <v>40577</v>
      </c>
      <c r="H395" s="11">
        <f>VLOOKUP(A395,'Operational Data'!$A$2:$E$201,4,FALSE)</f>
        <v>4280.82</v>
      </c>
      <c r="I395" s="11">
        <f>VLOOKUP(A395,'Operational Data'!$A$2:$E$201,5,FALSE)</f>
        <v>79.88</v>
      </c>
      <c r="J395" s="21">
        <f t="shared" si="6"/>
        <v>6.7195419942331858E-2</v>
      </c>
    </row>
    <row r="396" spans="1:10" ht="30" x14ac:dyDescent="0.25">
      <c r="A396" s="20" t="s">
        <v>171</v>
      </c>
      <c r="B396" s="20" t="s">
        <v>17</v>
      </c>
      <c r="C396" s="20" t="s">
        <v>13</v>
      </c>
      <c r="D396" s="20" t="s">
        <v>28</v>
      </c>
      <c r="E396" s="20" t="s">
        <v>24</v>
      </c>
      <c r="F396" s="20">
        <v>4059.4</v>
      </c>
      <c r="G396" s="11">
        <f>VLOOKUP(A396,'Operational Data'!$A$2:$E$201,3,FALSE)</f>
        <v>24502</v>
      </c>
      <c r="H396" s="11">
        <f>VLOOKUP(A396,'Operational Data'!$A$2:$E$201,4,FALSE)</f>
        <v>7466.86</v>
      </c>
      <c r="I396" s="11">
        <f>VLOOKUP(A396,'Operational Data'!$A$2:$E$201,5,FALSE)</f>
        <v>88.83</v>
      </c>
      <c r="J396" s="21">
        <f t="shared" si="6"/>
        <v>0.16567627132478982</v>
      </c>
    </row>
    <row r="397" spans="1:10" x14ac:dyDescent="0.25">
      <c r="A397" s="20" t="s">
        <v>152</v>
      </c>
      <c r="B397" s="20" t="s">
        <v>30</v>
      </c>
      <c r="C397" s="20" t="s">
        <v>34</v>
      </c>
      <c r="D397" s="20" t="s">
        <v>28</v>
      </c>
      <c r="E397" s="20" t="s">
        <v>10</v>
      </c>
      <c r="F397" s="20">
        <v>3874.1</v>
      </c>
      <c r="G397" s="11">
        <f>VLOOKUP(A397,'Operational Data'!$A$2:$E$201,3,FALSE)</f>
        <v>21914</v>
      </c>
      <c r="H397" s="11">
        <f>VLOOKUP(A397,'Operational Data'!$A$2:$E$201,4,FALSE)</f>
        <v>5897.27</v>
      </c>
      <c r="I397" s="11">
        <f>VLOOKUP(A397,'Operational Data'!$A$2:$E$201,5,FALSE)</f>
        <v>49.41</v>
      </c>
      <c r="J397" s="21">
        <f t="shared" si="6"/>
        <v>0.17678652915944146</v>
      </c>
    </row>
    <row r="398" spans="1:10" x14ac:dyDescent="0.25">
      <c r="A398" s="20" t="s">
        <v>146</v>
      </c>
      <c r="B398" s="20" t="s">
        <v>7</v>
      </c>
      <c r="C398" s="20" t="s">
        <v>34</v>
      </c>
      <c r="D398" s="20" t="s">
        <v>14</v>
      </c>
      <c r="E398" s="20" t="s">
        <v>10</v>
      </c>
      <c r="F398" s="20">
        <v>870.3</v>
      </c>
      <c r="G398" s="11">
        <f>VLOOKUP(A398,'Operational Data'!$A$2:$E$201,3,FALSE)</f>
        <v>14170</v>
      </c>
      <c r="H398" s="11">
        <f>VLOOKUP(A398,'Operational Data'!$A$2:$E$201,4,FALSE)</f>
        <v>5455.23</v>
      </c>
      <c r="I398" s="11">
        <f>VLOOKUP(A398,'Operational Data'!$A$2:$E$201,5,FALSE)</f>
        <v>25.46</v>
      </c>
      <c r="J398" s="21">
        <f t="shared" si="6"/>
        <v>6.1418489767113615E-2</v>
      </c>
    </row>
    <row r="399" spans="1:10" ht="30" x14ac:dyDescent="0.25">
      <c r="A399" s="20" t="s">
        <v>171</v>
      </c>
      <c r="B399" s="20" t="s">
        <v>17</v>
      </c>
      <c r="C399" s="20" t="s">
        <v>8</v>
      </c>
      <c r="D399" s="20" t="s">
        <v>28</v>
      </c>
      <c r="E399" s="20" t="s">
        <v>24</v>
      </c>
      <c r="F399" s="20">
        <v>1471.82</v>
      </c>
      <c r="G399" s="11">
        <f>VLOOKUP(A399,'Operational Data'!$A$2:$E$201,3,FALSE)</f>
        <v>24502</v>
      </c>
      <c r="H399" s="11">
        <f>VLOOKUP(A399,'Operational Data'!$A$2:$E$201,4,FALSE)</f>
        <v>7466.86</v>
      </c>
      <c r="I399" s="11">
        <f>VLOOKUP(A399,'Operational Data'!$A$2:$E$201,5,FALSE)</f>
        <v>88.83</v>
      </c>
      <c r="J399" s="21">
        <f t="shared" si="6"/>
        <v>6.0069382091257853E-2</v>
      </c>
    </row>
    <row r="400" spans="1:10" x14ac:dyDescent="0.25">
      <c r="A400" s="20" t="s">
        <v>191</v>
      </c>
      <c r="B400" s="20" t="s">
        <v>12</v>
      </c>
      <c r="C400" s="20" t="s">
        <v>8</v>
      </c>
      <c r="D400" s="20" t="s">
        <v>9</v>
      </c>
      <c r="E400" s="20" t="s">
        <v>10</v>
      </c>
      <c r="F400" s="20">
        <v>3436.0007540000001</v>
      </c>
      <c r="G400" s="11">
        <f>VLOOKUP(A400,'Operational Data'!$A$2:$E$201,3,FALSE)</f>
        <v>43346</v>
      </c>
      <c r="H400" s="11">
        <f>VLOOKUP(A400,'Operational Data'!$A$2:$E$201,4,FALSE)</f>
        <v>5559.12</v>
      </c>
      <c r="I400" s="11">
        <f>VLOOKUP(A400,'Operational Data'!$A$2:$E$201,5,FALSE)</f>
        <v>39.4</v>
      </c>
      <c r="J400" s="21">
        <f t="shared" si="6"/>
        <v>7.9269154108798964E-2</v>
      </c>
    </row>
    <row r="401" spans="1:10" x14ac:dyDescent="0.25">
      <c r="A401" s="20" t="s">
        <v>124</v>
      </c>
      <c r="B401" s="20" t="s">
        <v>12</v>
      </c>
      <c r="C401" s="20" t="s">
        <v>13</v>
      </c>
      <c r="D401" s="20" t="s">
        <v>9</v>
      </c>
      <c r="E401" s="20" t="s">
        <v>24</v>
      </c>
      <c r="F401" s="20">
        <v>479.22266450000001</v>
      </c>
      <c r="G401" s="11">
        <f>VLOOKUP(A401,'Operational Data'!$A$2:$E$201,3,FALSE)</f>
        <v>47491</v>
      </c>
      <c r="H401" s="11">
        <f>VLOOKUP(A401,'Operational Data'!$A$2:$E$201,4,FALSE)</f>
        <v>5781.05</v>
      </c>
      <c r="I401" s="11">
        <f>VLOOKUP(A401,'Operational Data'!$A$2:$E$201,5,FALSE)</f>
        <v>92.18</v>
      </c>
      <c r="J401" s="21">
        <f t="shared" si="6"/>
        <v>1.0090810142974459E-2</v>
      </c>
    </row>
    <row r="402" spans="1:10" x14ac:dyDescent="0.25">
      <c r="A402" s="20" t="s">
        <v>183</v>
      </c>
      <c r="B402" s="20" t="s">
        <v>7</v>
      </c>
      <c r="C402" s="20" t="s">
        <v>23</v>
      </c>
      <c r="D402" s="20" t="s">
        <v>14</v>
      </c>
      <c r="E402" s="20" t="s">
        <v>15</v>
      </c>
      <c r="F402" s="20">
        <v>2840.69</v>
      </c>
      <c r="G402" s="11">
        <f>VLOOKUP(A402,'Operational Data'!$A$2:$E$201,3,FALSE)</f>
        <v>14009</v>
      </c>
      <c r="H402" s="11">
        <f>VLOOKUP(A402,'Operational Data'!$A$2:$E$201,4,FALSE)</f>
        <v>7528.98</v>
      </c>
      <c r="I402" s="11">
        <f>VLOOKUP(A402,'Operational Data'!$A$2:$E$201,5,FALSE)</f>
        <v>77.62</v>
      </c>
      <c r="J402" s="21">
        <f t="shared" si="6"/>
        <v>0.20277607252480548</v>
      </c>
    </row>
    <row r="403" spans="1:10" x14ac:dyDescent="0.25">
      <c r="A403" s="20" t="s">
        <v>71</v>
      </c>
      <c r="B403" s="20" t="s">
        <v>7</v>
      </c>
      <c r="C403" s="20" t="s">
        <v>13</v>
      </c>
      <c r="D403" s="20" t="s">
        <v>28</v>
      </c>
      <c r="E403" s="20" t="s">
        <v>15</v>
      </c>
      <c r="F403" s="20">
        <v>1808.08</v>
      </c>
      <c r="G403" s="11">
        <f>VLOOKUP(A403,'Operational Data'!$A$2:$E$201,3,FALSE)</f>
        <v>68018</v>
      </c>
      <c r="H403" s="11">
        <f>VLOOKUP(A403,'Operational Data'!$A$2:$E$201,4,FALSE)</f>
        <v>3523.4</v>
      </c>
      <c r="I403" s="11">
        <f>VLOOKUP(A403,'Operational Data'!$A$2:$E$201,5,FALSE)</f>
        <v>92.26</v>
      </c>
      <c r="J403" s="21">
        <f t="shared" si="6"/>
        <v>2.6582375253609337E-2</v>
      </c>
    </row>
    <row r="404" spans="1:10" x14ac:dyDescent="0.25">
      <c r="A404" s="20" t="s">
        <v>128</v>
      </c>
      <c r="B404" s="20" t="s">
        <v>12</v>
      </c>
      <c r="C404" s="20" t="s">
        <v>34</v>
      </c>
      <c r="D404" s="20" t="s">
        <v>28</v>
      </c>
      <c r="E404" s="20" t="s">
        <v>24</v>
      </c>
      <c r="F404" s="20">
        <v>425.7</v>
      </c>
      <c r="G404" s="11">
        <f>VLOOKUP(A404,'Operational Data'!$A$2:$E$201,3,FALSE)</f>
        <v>29406</v>
      </c>
      <c r="H404" s="11">
        <f>VLOOKUP(A404,'Operational Data'!$A$2:$E$201,4,FALSE)</f>
        <v>5281.69</v>
      </c>
      <c r="I404" s="11">
        <f>VLOOKUP(A404,'Operational Data'!$A$2:$E$201,5,FALSE)</f>
        <v>27.01</v>
      </c>
      <c r="J404" s="21">
        <f t="shared" si="6"/>
        <v>1.4476637420934503E-2</v>
      </c>
    </row>
    <row r="405" spans="1:10" x14ac:dyDescent="0.25">
      <c r="A405" s="20" t="s">
        <v>118</v>
      </c>
      <c r="B405" s="20" t="s">
        <v>30</v>
      </c>
      <c r="C405" s="20" t="s">
        <v>34</v>
      </c>
      <c r="D405" s="20" t="s">
        <v>14</v>
      </c>
      <c r="E405" s="20" t="s">
        <v>10</v>
      </c>
      <c r="F405" s="20">
        <v>981.92</v>
      </c>
      <c r="G405" s="11">
        <f>VLOOKUP(A405,'Operational Data'!$A$2:$E$201,3,FALSE)</f>
        <v>68492</v>
      </c>
      <c r="H405" s="11">
        <f>VLOOKUP(A405,'Operational Data'!$A$2:$E$201,4,FALSE)</f>
        <v>3533.88</v>
      </c>
      <c r="I405" s="11">
        <f>VLOOKUP(A405,'Operational Data'!$A$2:$E$201,5,FALSE)</f>
        <v>52.99</v>
      </c>
      <c r="J405" s="21">
        <f t="shared" si="6"/>
        <v>1.4336272849383869E-2</v>
      </c>
    </row>
    <row r="406" spans="1:10" ht="30" x14ac:dyDescent="0.25">
      <c r="A406" s="20" t="s">
        <v>37</v>
      </c>
      <c r="B406" s="20" t="s">
        <v>17</v>
      </c>
      <c r="C406" s="20" t="s">
        <v>8</v>
      </c>
      <c r="D406" s="20" t="s">
        <v>9</v>
      </c>
      <c r="E406" s="20" t="s">
        <v>15</v>
      </c>
      <c r="F406" s="20">
        <v>1089.2861559999999</v>
      </c>
      <c r="G406" s="11">
        <f>VLOOKUP(A406,'Operational Data'!$A$2:$E$201,3,FALSE)</f>
        <v>71747</v>
      </c>
      <c r="H406" s="11">
        <f>VLOOKUP(A406,'Operational Data'!$A$2:$E$201,4,FALSE)</f>
        <v>9838.66</v>
      </c>
      <c r="I406" s="11">
        <f>VLOOKUP(A406,'Operational Data'!$A$2:$E$201,5,FALSE)</f>
        <v>7.25</v>
      </c>
      <c r="J406" s="21">
        <f t="shared" si="6"/>
        <v>1.5182323386343679E-2</v>
      </c>
    </row>
    <row r="407" spans="1:10" x14ac:dyDescent="0.25">
      <c r="A407" s="20" t="s">
        <v>192</v>
      </c>
      <c r="B407" s="20" t="s">
        <v>19</v>
      </c>
      <c r="C407" s="20" t="s">
        <v>34</v>
      </c>
      <c r="D407" s="20" t="s">
        <v>9</v>
      </c>
      <c r="E407" s="20" t="s">
        <v>24</v>
      </c>
      <c r="F407" s="20">
        <v>4336.6087239999997</v>
      </c>
      <c r="G407" s="11">
        <f>VLOOKUP(A407,'Operational Data'!$A$2:$E$201,3,FALSE)</f>
        <v>43227</v>
      </c>
      <c r="H407" s="11">
        <f>VLOOKUP(A407,'Operational Data'!$A$2:$E$201,4,FALSE)</f>
        <v>5199.53</v>
      </c>
      <c r="I407" s="11">
        <f>VLOOKUP(A407,'Operational Data'!$A$2:$E$201,5,FALSE)</f>
        <v>44.09</v>
      </c>
      <c r="J407" s="21">
        <f t="shared" si="6"/>
        <v>0.10032176010363893</v>
      </c>
    </row>
    <row r="408" spans="1:10" ht="30" x14ac:dyDescent="0.25">
      <c r="A408" s="20" t="s">
        <v>58</v>
      </c>
      <c r="B408" s="20" t="s">
        <v>17</v>
      </c>
      <c r="C408" s="20" t="s">
        <v>23</v>
      </c>
      <c r="D408" s="20" t="s">
        <v>9</v>
      </c>
      <c r="E408" s="20" t="s">
        <v>15</v>
      </c>
      <c r="F408" s="20">
        <v>1820.9864809999999</v>
      </c>
      <c r="G408" s="11">
        <f>VLOOKUP(A408,'Operational Data'!$A$2:$E$201,3,FALSE)</f>
        <v>32246</v>
      </c>
      <c r="H408" s="11">
        <f>VLOOKUP(A408,'Operational Data'!$A$2:$E$201,4,FALSE)</f>
        <v>7903.93</v>
      </c>
      <c r="I408" s="11">
        <f>VLOOKUP(A408,'Operational Data'!$A$2:$E$201,5,FALSE)</f>
        <v>42.12</v>
      </c>
      <c r="J408" s="21">
        <f t="shared" si="6"/>
        <v>5.6471701327296404E-2</v>
      </c>
    </row>
    <row r="409" spans="1:10" ht="30" x14ac:dyDescent="0.25">
      <c r="A409" s="20" t="s">
        <v>80</v>
      </c>
      <c r="B409" s="20" t="s">
        <v>17</v>
      </c>
      <c r="C409" s="20" t="s">
        <v>13</v>
      </c>
      <c r="D409" s="20" t="s">
        <v>14</v>
      </c>
      <c r="E409" s="20" t="s">
        <v>15</v>
      </c>
      <c r="F409" s="20">
        <v>2772.88</v>
      </c>
      <c r="G409" s="11">
        <f>VLOOKUP(A409,'Operational Data'!$A$2:$E$201,3,FALSE)</f>
        <v>75508</v>
      </c>
      <c r="H409" s="11">
        <f>VLOOKUP(A409,'Operational Data'!$A$2:$E$201,4,FALSE)</f>
        <v>6856.22</v>
      </c>
      <c r="I409" s="11">
        <f>VLOOKUP(A409,'Operational Data'!$A$2:$E$201,5,FALSE)</f>
        <v>18.2</v>
      </c>
      <c r="J409" s="21">
        <f t="shared" si="6"/>
        <v>3.6722996238809133E-2</v>
      </c>
    </row>
    <row r="410" spans="1:10" x14ac:dyDescent="0.25">
      <c r="A410" s="20" t="s">
        <v>75</v>
      </c>
      <c r="B410" s="20" t="s">
        <v>19</v>
      </c>
      <c r="C410" s="20" t="s">
        <v>13</v>
      </c>
      <c r="D410" s="20" t="s">
        <v>14</v>
      </c>
      <c r="E410" s="20" t="s">
        <v>24</v>
      </c>
      <c r="F410" s="20">
        <v>4985.09</v>
      </c>
      <c r="G410" s="11">
        <f>VLOOKUP(A410,'Operational Data'!$A$2:$E$201,3,FALSE)</f>
        <v>54136</v>
      </c>
      <c r="H410" s="11">
        <f>VLOOKUP(A410,'Operational Data'!$A$2:$E$201,4,FALSE)</f>
        <v>2775.38</v>
      </c>
      <c r="I410" s="11">
        <f>VLOOKUP(A410,'Operational Data'!$A$2:$E$201,5,FALSE)</f>
        <v>75.459999999999994</v>
      </c>
      <c r="J410" s="21">
        <f t="shared" si="6"/>
        <v>9.2084564799763555E-2</v>
      </c>
    </row>
    <row r="411" spans="1:10" x14ac:dyDescent="0.25">
      <c r="A411" s="20" t="s">
        <v>188</v>
      </c>
      <c r="B411" s="20" t="s">
        <v>19</v>
      </c>
      <c r="C411" s="20" t="s">
        <v>23</v>
      </c>
      <c r="D411" s="20" t="s">
        <v>9</v>
      </c>
      <c r="E411" s="20" t="s">
        <v>10</v>
      </c>
      <c r="F411" s="20">
        <v>4859.13</v>
      </c>
      <c r="G411" s="11">
        <f>VLOOKUP(A411,'Operational Data'!$A$2:$E$201,3,FALSE)</f>
        <v>60513</v>
      </c>
      <c r="H411" s="11">
        <f>VLOOKUP(A411,'Operational Data'!$A$2:$E$201,4,FALSE)</f>
        <v>4578.16</v>
      </c>
      <c r="I411" s="11">
        <f>VLOOKUP(A411,'Operational Data'!$A$2:$E$201,5,FALSE)</f>
        <v>65.53</v>
      </c>
      <c r="J411" s="21">
        <f t="shared" si="6"/>
        <v>8.0298944028555849E-2</v>
      </c>
    </row>
    <row r="412" spans="1:10" x14ac:dyDescent="0.25">
      <c r="A412" s="20" t="s">
        <v>39</v>
      </c>
      <c r="B412" s="20" t="s">
        <v>7</v>
      </c>
      <c r="C412" s="20" t="s">
        <v>34</v>
      </c>
      <c r="D412" s="20" t="s">
        <v>28</v>
      </c>
      <c r="E412" s="20" t="s">
        <v>15</v>
      </c>
      <c r="F412" s="20">
        <v>3855.03</v>
      </c>
      <c r="G412" s="11">
        <f>VLOOKUP(A412,'Operational Data'!$A$2:$E$201,3,FALSE)</f>
        <v>80904</v>
      </c>
      <c r="H412" s="11">
        <f>VLOOKUP(A412,'Operational Data'!$A$2:$E$201,4,FALSE)</f>
        <v>3263.09</v>
      </c>
      <c r="I412" s="11">
        <f>VLOOKUP(A412,'Operational Data'!$A$2:$E$201,5,FALSE)</f>
        <v>58.37</v>
      </c>
      <c r="J412" s="21">
        <f t="shared" si="6"/>
        <v>4.7649436369029963E-2</v>
      </c>
    </row>
    <row r="413" spans="1:10" x14ac:dyDescent="0.25">
      <c r="A413" s="20" t="s">
        <v>111</v>
      </c>
      <c r="B413" s="20" t="s">
        <v>19</v>
      </c>
      <c r="C413" s="20" t="s">
        <v>8</v>
      </c>
      <c r="D413" s="20" t="s">
        <v>9</v>
      </c>
      <c r="E413" s="20" t="s">
        <v>24</v>
      </c>
      <c r="F413" s="20">
        <v>1087.933657</v>
      </c>
      <c r="G413" s="11">
        <f>VLOOKUP(A413,'Operational Data'!$A$2:$E$201,3,FALSE)</f>
        <v>37309</v>
      </c>
      <c r="H413" s="11">
        <f>VLOOKUP(A413,'Operational Data'!$A$2:$E$201,4,FALSE)</f>
        <v>4508.54</v>
      </c>
      <c r="I413" s="11">
        <f>VLOOKUP(A413,'Operational Data'!$A$2:$E$201,5,FALSE)</f>
        <v>47.15</v>
      </c>
      <c r="J413" s="21">
        <f t="shared" si="6"/>
        <v>2.916008622584363E-2</v>
      </c>
    </row>
    <row r="414" spans="1:10" ht="30" x14ac:dyDescent="0.25">
      <c r="A414" s="20" t="s">
        <v>26</v>
      </c>
      <c r="B414" s="20" t="s">
        <v>17</v>
      </c>
      <c r="C414" s="20" t="s">
        <v>8</v>
      </c>
      <c r="D414" s="20" t="s">
        <v>14</v>
      </c>
      <c r="E414" s="20" t="s">
        <v>10</v>
      </c>
      <c r="F414" s="20">
        <v>3311.86</v>
      </c>
      <c r="G414" s="11">
        <f>VLOOKUP(A414,'Operational Data'!$A$2:$E$201,3,FALSE)</f>
        <v>17311</v>
      </c>
      <c r="H414" s="11">
        <f>VLOOKUP(A414,'Operational Data'!$A$2:$E$201,4,FALSE)</f>
        <v>2257.38</v>
      </c>
      <c r="I414" s="11">
        <f>VLOOKUP(A414,'Operational Data'!$A$2:$E$201,5,FALSE)</f>
        <v>91.07</v>
      </c>
      <c r="J414" s="21">
        <f t="shared" si="6"/>
        <v>0.19131534862226332</v>
      </c>
    </row>
    <row r="415" spans="1:10" x14ac:dyDescent="0.25">
      <c r="A415" s="20" t="s">
        <v>188</v>
      </c>
      <c r="B415" s="20" t="s">
        <v>19</v>
      </c>
      <c r="C415" s="20" t="s">
        <v>8</v>
      </c>
      <c r="D415" s="20" t="s">
        <v>9</v>
      </c>
      <c r="E415" s="20" t="s">
        <v>24</v>
      </c>
      <c r="F415" s="20">
        <v>3496.49</v>
      </c>
      <c r="G415" s="11">
        <f>VLOOKUP(A415,'Operational Data'!$A$2:$E$201,3,FALSE)</f>
        <v>60513</v>
      </c>
      <c r="H415" s="11">
        <f>VLOOKUP(A415,'Operational Data'!$A$2:$E$201,4,FALSE)</f>
        <v>4578.16</v>
      </c>
      <c r="I415" s="11">
        <f>VLOOKUP(A415,'Operational Data'!$A$2:$E$201,5,FALSE)</f>
        <v>65.53</v>
      </c>
      <c r="J415" s="21">
        <f t="shared" si="6"/>
        <v>5.778080742980847E-2</v>
      </c>
    </row>
    <row r="416" spans="1:10" x14ac:dyDescent="0.25">
      <c r="A416" s="20" t="s">
        <v>105</v>
      </c>
      <c r="B416" s="20" t="s">
        <v>30</v>
      </c>
      <c r="C416" s="20" t="s">
        <v>34</v>
      </c>
      <c r="D416" s="20" t="s">
        <v>28</v>
      </c>
      <c r="E416" s="20" t="s">
        <v>10</v>
      </c>
      <c r="F416" s="20">
        <v>3355.28</v>
      </c>
      <c r="G416" s="11">
        <f>VLOOKUP(A416,'Operational Data'!$A$2:$E$201,3,FALSE)</f>
        <v>87337</v>
      </c>
      <c r="H416" s="11">
        <f>VLOOKUP(A416,'Operational Data'!$A$2:$E$201,4,FALSE)</f>
        <v>3603.06</v>
      </c>
      <c r="I416" s="11">
        <f>VLOOKUP(A416,'Operational Data'!$A$2:$E$201,5,FALSE)</f>
        <v>67.13</v>
      </c>
      <c r="J416" s="21">
        <f t="shared" si="6"/>
        <v>3.8417623687555108E-2</v>
      </c>
    </row>
    <row r="417" spans="1:10" x14ac:dyDescent="0.25">
      <c r="A417" s="20" t="s">
        <v>122</v>
      </c>
      <c r="B417" s="20" t="s">
        <v>19</v>
      </c>
      <c r="C417" s="20" t="s">
        <v>8</v>
      </c>
      <c r="D417" s="20" t="s">
        <v>9</v>
      </c>
      <c r="E417" s="20" t="s">
        <v>10</v>
      </c>
      <c r="F417" s="20">
        <v>4871.4203090000001</v>
      </c>
      <c r="G417" s="11">
        <f>VLOOKUP(A417,'Operational Data'!$A$2:$E$201,3,FALSE)</f>
        <v>95962</v>
      </c>
      <c r="H417" s="11">
        <f>VLOOKUP(A417,'Operational Data'!$A$2:$E$201,4,FALSE)</f>
        <v>524.72</v>
      </c>
      <c r="I417" s="11">
        <f>VLOOKUP(A417,'Operational Data'!$A$2:$E$201,5,FALSE)</f>
        <v>49.55</v>
      </c>
      <c r="J417" s="21">
        <f t="shared" si="6"/>
        <v>5.0764055657447738E-2</v>
      </c>
    </row>
    <row r="418" spans="1:10" x14ac:dyDescent="0.25">
      <c r="A418" s="20" t="s">
        <v>49</v>
      </c>
      <c r="B418" s="20" t="s">
        <v>19</v>
      </c>
      <c r="C418" s="20" t="s">
        <v>13</v>
      </c>
      <c r="D418" s="20" t="s">
        <v>9</v>
      </c>
      <c r="E418" s="20" t="s">
        <v>10</v>
      </c>
      <c r="F418" s="20">
        <v>1245.54</v>
      </c>
      <c r="G418" s="11">
        <f>VLOOKUP(A418,'Operational Data'!$A$2:$E$201,3,FALSE)</f>
        <v>50306</v>
      </c>
      <c r="H418" s="11">
        <f>VLOOKUP(A418,'Operational Data'!$A$2:$E$201,4,FALSE)</f>
        <v>7031.37</v>
      </c>
      <c r="I418" s="11">
        <f>VLOOKUP(A418,'Operational Data'!$A$2:$E$201,5,FALSE)</f>
        <v>13.27</v>
      </c>
      <c r="J418" s="21">
        <f t="shared" si="6"/>
        <v>2.475927324772393E-2</v>
      </c>
    </row>
    <row r="419" spans="1:10" x14ac:dyDescent="0.25">
      <c r="A419" s="20" t="s">
        <v>123</v>
      </c>
      <c r="B419" s="20" t="s">
        <v>30</v>
      </c>
      <c r="C419" s="20" t="s">
        <v>34</v>
      </c>
      <c r="D419" s="20" t="s">
        <v>14</v>
      </c>
      <c r="E419" s="20" t="s">
        <v>15</v>
      </c>
      <c r="F419" s="20">
        <v>2891.84</v>
      </c>
      <c r="G419" s="11">
        <f>VLOOKUP(A419,'Operational Data'!$A$2:$E$201,3,FALSE)</f>
        <v>73977</v>
      </c>
      <c r="H419" s="11">
        <f>VLOOKUP(A419,'Operational Data'!$A$2:$E$201,4,FALSE)</f>
        <v>1646.75</v>
      </c>
      <c r="I419" s="11">
        <f>VLOOKUP(A419,'Operational Data'!$A$2:$E$201,5,FALSE)</f>
        <v>43.77</v>
      </c>
      <c r="J419" s="21">
        <f t="shared" si="6"/>
        <v>3.9091068845722318E-2</v>
      </c>
    </row>
    <row r="420" spans="1:10" x14ac:dyDescent="0.25">
      <c r="A420" s="20" t="s">
        <v>54</v>
      </c>
      <c r="B420" s="20" t="s">
        <v>12</v>
      </c>
      <c r="C420" s="20" t="s">
        <v>8</v>
      </c>
      <c r="D420" s="20" t="s">
        <v>14</v>
      </c>
      <c r="E420" s="20" t="s">
        <v>10</v>
      </c>
      <c r="F420" s="20">
        <v>2482.64</v>
      </c>
      <c r="G420" s="11">
        <f>VLOOKUP(A420,'Operational Data'!$A$2:$E$201,3,FALSE)</f>
        <v>58111</v>
      </c>
      <c r="H420" s="11">
        <f>VLOOKUP(A420,'Operational Data'!$A$2:$E$201,4,FALSE)</f>
        <v>4610.8999999999996</v>
      </c>
      <c r="I420" s="11">
        <f>VLOOKUP(A420,'Operational Data'!$A$2:$E$201,5,FALSE)</f>
        <v>21.53</v>
      </c>
      <c r="J420" s="21">
        <f t="shared" si="6"/>
        <v>4.2722376142210597E-2</v>
      </c>
    </row>
    <row r="421" spans="1:10" x14ac:dyDescent="0.25">
      <c r="A421" s="20" t="s">
        <v>162</v>
      </c>
      <c r="B421" s="20" t="s">
        <v>30</v>
      </c>
      <c r="C421" s="20" t="s">
        <v>23</v>
      </c>
      <c r="D421" s="20" t="s">
        <v>9</v>
      </c>
      <c r="E421" s="20" t="s">
        <v>10</v>
      </c>
      <c r="F421" s="20">
        <v>3463.8851949999998</v>
      </c>
      <c r="G421" s="11">
        <f>VLOOKUP(A421,'Operational Data'!$A$2:$E$201,3,FALSE)</f>
        <v>94347</v>
      </c>
      <c r="H421" s="11">
        <f>VLOOKUP(A421,'Operational Data'!$A$2:$E$201,4,FALSE)</f>
        <v>2272.58</v>
      </c>
      <c r="I421" s="11">
        <f>VLOOKUP(A421,'Operational Data'!$A$2:$E$201,5,FALSE)</f>
        <v>34.75</v>
      </c>
      <c r="J421" s="21">
        <f t="shared" si="6"/>
        <v>3.6714312007800988E-2</v>
      </c>
    </row>
    <row r="422" spans="1:10" x14ac:dyDescent="0.25">
      <c r="A422" s="20" t="s">
        <v>193</v>
      </c>
      <c r="B422" s="20" t="s">
        <v>12</v>
      </c>
      <c r="C422" s="20" t="s">
        <v>8</v>
      </c>
      <c r="D422" s="20" t="s">
        <v>9</v>
      </c>
      <c r="E422" s="20" t="s">
        <v>24</v>
      </c>
      <c r="F422" s="20">
        <v>2901.3369090000001</v>
      </c>
      <c r="G422" s="11">
        <f>VLOOKUP(A422,'Operational Data'!$A$2:$E$201,3,FALSE)</f>
        <v>13333</v>
      </c>
      <c r="H422" s="11">
        <f>VLOOKUP(A422,'Operational Data'!$A$2:$E$201,4,FALSE)</f>
        <v>6102.15</v>
      </c>
      <c r="I422" s="11">
        <f>VLOOKUP(A422,'Operational Data'!$A$2:$E$201,5,FALSE)</f>
        <v>17.670000000000002</v>
      </c>
      <c r="J422" s="21">
        <f t="shared" si="6"/>
        <v>0.21760570831770795</v>
      </c>
    </row>
    <row r="423" spans="1:10" ht="30" x14ac:dyDescent="0.25">
      <c r="A423" s="20" t="s">
        <v>194</v>
      </c>
      <c r="B423" s="20" t="s">
        <v>17</v>
      </c>
      <c r="C423" s="20" t="s">
        <v>34</v>
      </c>
      <c r="D423" s="20" t="s">
        <v>14</v>
      </c>
      <c r="E423" s="20" t="s">
        <v>15</v>
      </c>
      <c r="F423" s="20">
        <v>1323.76</v>
      </c>
      <c r="G423" s="11">
        <f>VLOOKUP(A423,'Operational Data'!$A$2:$E$201,3,FALSE)</f>
        <v>95165</v>
      </c>
      <c r="H423" s="11">
        <f>VLOOKUP(A423,'Operational Data'!$A$2:$E$201,4,FALSE)</f>
        <v>8562.76</v>
      </c>
      <c r="I423" s="11">
        <f>VLOOKUP(A423,'Operational Data'!$A$2:$E$201,5,FALSE)</f>
        <v>37.54</v>
      </c>
      <c r="J423" s="21">
        <f t="shared" si="6"/>
        <v>1.3910156044764357E-2</v>
      </c>
    </row>
    <row r="424" spans="1:10" ht="30" x14ac:dyDescent="0.25">
      <c r="A424" s="20" t="s">
        <v>190</v>
      </c>
      <c r="B424" s="20" t="s">
        <v>17</v>
      </c>
      <c r="C424" s="20" t="s">
        <v>8</v>
      </c>
      <c r="D424" s="20" t="s">
        <v>9</v>
      </c>
      <c r="E424" s="20" t="s">
        <v>24</v>
      </c>
      <c r="F424" s="20">
        <v>2332.1231010000001</v>
      </c>
      <c r="G424" s="11">
        <f>VLOOKUP(A424,'Operational Data'!$A$2:$E$201,3,FALSE)</f>
        <v>41953</v>
      </c>
      <c r="H424" s="11">
        <f>VLOOKUP(A424,'Operational Data'!$A$2:$E$201,4,FALSE)</f>
        <v>2379.14</v>
      </c>
      <c r="I424" s="11">
        <f>VLOOKUP(A424,'Operational Data'!$A$2:$E$201,5,FALSE)</f>
        <v>65.67</v>
      </c>
      <c r="J424" s="21">
        <f t="shared" si="6"/>
        <v>5.5588947178986013E-2</v>
      </c>
    </row>
    <row r="425" spans="1:10" x14ac:dyDescent="0.25">
      <c r="A425" s="20" t="s">
        <v>141</v>
      </c>
      <c r="B425" s="20" t="s">
        <v>7</v>
      </c>
      <c r="C425" s="20" t="s">
        <v>8</v>
      </c>
      <c r="D425" s="20" t="s">
        <v>28</v>
      </c>
      <c r="E425" s="20" t="s">
        <v>24</v>
      </c>
      <c r="F425" s="20">
        <v>462.78</v>
      </c>
      <c r="G425" s="11">
        <f>VLOOKUP(A425,'Operational Data'!$A$2:$E$201,3,FALSE)</f>
        <v>45644</v>
      </c>
      <c r="H425" s="11">
        <f>VLOOKUP(A425,'Operational Data'!$A$2:$E$201,4,FALSE)</f>
        <v>7724.73</v>
      </c>
      <c r="I425" s="11">
        <f>VLOOKUP(A425,'Operational Data'!$A$2:$E$201,5,FALSE)</f>
        <v>31</v>
      </c>
      <c r="J425" s="21">
        <f t="shared" si="6"/>
        <v>1.0138901060380335E-2</v>
      </c>
    </row>
    <row r="426" spans="1:10" x14ac:dyDescent="0.25">
      <c r="A426" s="20" t="s">
        <v>193</v>
      </c>
      <c r="B426" s="20" t="s">
        <v>12</v>
      </c>
      <c r="C426" s="20" t="s">
        <v>23</v>
      </c>
      <c r="D426" s="20" t="s">
        <v>14</v>
      </c>
      <c r="E426" s="20" t="s">
        <v>15</v>
      </c>
      <c r="F426" s="20">
        <v>1229.33</v>
      </c>
      <c r="G426" s="11">
        <f>VLOOKUP(A426,'Operational Data'!$A$2:$E$201,3,FALSE)</f>
        <v>13333</v>
      </c>
      <c r="H426" s="11">
        <f>VLOOKUP(A426,'Operational Data'!$A$2:$E$201,4,FALSE)</f>
        <v>6102.15</v>
      </c>
      <c r="I426" s="11">
        <f>VLOOKUP(A426,'Operational Data'!$A$2:$E$201,5,FALSE)</f>
        <v>17.670000000000002</v>
      </c>
      <c r="J426" s="21">
        <f t="shared" si="6"/>
        <v>9.2202055051376283E-2</v>
      </c>
    </row>
    <row r="427" spans="1:10" x14ac:dyDescent="0.25">
      <c r="A427" s="20" t="s">
        <v>92</v>
      </c>
      <c r="B427" s="20" t="s">
        <v>30</v>
      </c>
      <c r="C427" s="20" t="s">
        <v>13</v>
      </c>
      <c r="D427" s="20" t="s">
        <v>14</v>
      </c>
      <c r="E427" s="20" t="s">
        <v>15</v>
      </c>
      <c r="F427" s="20">
        <v>3457.79</v>
      </c>
      <c r="G427" s="11">
        <f>VLOOKUP(A427,'Operational Data'!$A$2:$E$201,3,FALSE)</f>
        <v>18726</v>
      </c>
      <c r="H427" s="11">
        <f>VLOOKUP(A427,'Operational Data'!$A$2:$E$201,4,FALSE)</f>
        <v>5099.54</v>
      </c>
      <c r="I427" s="11">
        <f>VLOOKUP(A427,'Operational Data'!$A$2:$E$201,5,FALSE)</f>
        <v>71.05</v>
      </c>
      <c r="J427" s="21">
        <f t="shared" si="6"/>
        <v>0.18465182099754351</v>
      </c>
    </row>
    <row r="428" spans="1:10" ht="30" x14ac:dyDescent="0.25">
      <c r="A428" s="20" t="s">
        <v>89</v>
      </c>
      <c r="B428" s="20" t="s">
        <v>17</v>
      </c>
      <c r="C428" s="20" t="s">
        <v>8</v>
      </c>
      <c r="D428" s="20" t="s">
        <v>14</v>
      </c>
      <c r="E428" s="20" t="s">
        <v>15</v>
      </c>
      <c r="F428" s="20">
        <v>3519.41</v>
      </c>
      <c r="G428" s="11">
        <f>VLOOKUP(A428,'Operational Data'!$A$2:$E$201,3,FALSE)</f>
        <v>36171</v>
      </c>
      <c r="H428" s="11">
        <f>VLOOKUP(A428,'Operational Data'!$A$2:$E$201,4,FALSE)</f>
        <v>6864.38</v>
      </c>
      <c r="I428" s="11">
        <f>VLOOKUP(A428,'Operational Data'!$A$2:$E$201,5,FALSE)</f>
        <v>37.03</v>
      </c>
      <c r="J428" s="21">
        <f t="shared" si="6"/>
        <v>9.7299217605263888E-2</v>
      </c>
    </row>
    <row r="429" spans="1:10" ht="30" x14ac:dyDescent="0.25">
      <c r="A429" s="20" t="s">
        <v>171</v>
      </c>
      <c r="B429" s="20" t="s">
        <v>17</v>
      </c>
      <c r="C429" s="20" t="s">
        <v>8</v>
      </c>
      <c r="D429" s="20" t="s">
        <v>28</v>
      </c>
      <c r="E429" s="20" t="s">
        <v>24</v>
      </c>
      <c r="F429" s="20">
        <v>2913.47</v>
      </c>
      <c r="G429" s="11">
        <f>VLOOKUP(A429,'Operational Data'!$A$2:$E$201,3,FALSE)</f>
        <v>24502</v>
      </c>
      <c r="H429" s="11">
        <f>VLOOKUP(A429,'Operational Data'!$A$2:$E$201,4,FALSE)</f>
        <v>7466.86</v>
      </c>
      <c r="I429" s="11">
        <f>VLOOKUP(A429,'Operational Data'!$A$2:$E$201,5,FALSE)</f>
        <v>88.83</v>
      </c>
      <c r="J429" s="21">
        <f t="shared" si="6"/>
        <v>0.11890743612766304</v>
      </c>
    </row>
    <row r="430" spans="1:10" x14ac:dyDescent="0.25">
      <c r="A430" s="20" t="s">
        <v>195</v>
      </c>
      <c r="B430" s="20" t="s">
        <v>7</v>
      </c>
      <c r="C430" s="20" t="s">
        <v>34</v>
      </c>
      <c r="D430" s="20" t="s">
        <v>28</v>
      </c>
      <c r="E430" s="20" t="s">
        <v>15</v>
      </c>
      <c r="F430" s="20">
        <v>1431.51</v>
      </c>
      <c r="G430" s="11">
        <f>VLOOKUP(A430,'Operational Data'!$A$2:$E$201,3,FALSE)</f>
        <v>68278</v>
      </c>
      <c r="H430" s="11">
        <f>VLOOKUP(A430,'Operational Data'!$A$2:$E$201,4,FALSE)</f>
        <v>3272.65</v>
      </c>
      <c r="I430" s="11">
        <f>VLOOKUP(A430,'Operational Data'!$A$2:$E$201,5,FALSE)</f>
        <v>30.47</v>
      </c>
      <c r="J430" s="21">
        <f t="shared" si="6"/>
        <v>2.0965904097952487E-2</v>
      </c>
    </row>
    <row r="431" spans="1:10" x14ac:dyDescent="0.25">
      <c r="A431" s="20" t="s">
        <v>85</v>
      </c>
      <c r="B431" s="20" t="s">
        <v>30</v>
      </c>
      <c r="C431" s="20" t="s">
        <v>34</v>
      </c>
      <c r="D431" s="20" t="s">
        <v>28</v>
      </c>
      <c r="E431" s="20" t="s">
        <v>24</v>
      </c>
      <c r="F431" s="20">
        <v>2346.0500000000002</v>
      </c>
      <c r="G431" s="11">
        <f>VLOOKUP(A431,'Operational Data'!$A$2:$E$201,3,FALSE)</f>
        <v>45519</v>
      </c>
      <c r="H431" s="11">
        <f>VLOOKUP(A431,'Operational Data'!$A$2:$E$201,4,FALSE)</f>
        <v>7987.69</v>
      </c>
      <c r="I431" s="11">
        <f>VLOOKUP(A431,'Operational Data'!$A$2:$E$201,5,FALSE)</f>
        <v>10.86</v>
      </c>
      <c r="J431" s="21">
        <f t="shared" si="6"/>
        <v>5.1540016256947652E-2</v>
      </c>
    </row>
    <row r="432" spans="1:10" x14ac:dyDescent="0.25">
      <c r="A432" s="20" t="s">
        <v>122</v>
      </c>
      <c r="B432" s="20" t="s">
        <v>19</v>
      </c>
      <c r="C432" s="20" t="s">
        <v>8</v>
      </c>
      <c r="D432" s="20" t="s">
        <v>28</v>
      </c>
      <c r="E432" s="20" t="s">
        <v>15</v>
      </c>
      <c r="F432" s="20">
        <v>4191.3599999999997</v>
      </c>
      <c r="G432" s="11">
        <f>VLOOKUP(A432,'Operational Data'!$A$2:$E$201,3,FALSE)</f>
        <v>95962</v>
      </c>
      <c r="H432" s="11">
        <f>VLOOKUP(A432,'Operational Data'!$A$2:$E$201,4,FALSE)</f>
        <v>524.72</v>
      </c>
      <c r="I432" s="11">
        <f>VLOOKUP(A432,'Operational Data'!$A$2:$E$201,5,FALSE)</f>
        <v>49.55</v>
      </c>
      <c r="J432" s="21">
        <f t="shared" si="6"/>
        <v>4.3677288926866883E-2</v>
      </c>
    </row>
    <row r="433" spans="1:10" x14ac:dyDescent="0.25">
      <c r="A433" s="20" t="s">
        <v>87</v>
      </c>
      <c r="B433" s="20" t="s">
        <v>12</v>
      </c>
      <c r="C433" s="20" t="s">
        <v>34</v>
      </c>
      <c r="D433" s="20" t="s">
        <v>9</v>
      </c>
      <c r="E433" s="20" t="s">
        <v>15</v>
      </c>
      <c r="F433" s="20">
        <v>2422.4672390000001</v>
      </c>
      <c r="G433" s="11">
        <f>VLOOKUP(A433,'Operational Data'!$A$2:$E$201,3,FALSE)</f>
        <v>15333</v>
      </c>
      <c r="H433" s="11">
        <f>VLOOKUP(A433,'Operational Data'!$A$2:$E$201,4,FALSE)</f>
        <v>2570.54</v>
      </c>
      <c r="I433" s="11">
        <f>VLOOKUP(A433,'Operational Data'!$A$2:$E$201,5,FALSE)</f>
        <v>41.07</v>
      </c>
      <c r="J433" s="21">
        <f t="shared" si="6"/>
        <v>0.157990428422357</v>
      </c>
    </row>
    <row r="434" spans="1:10" ht="30" x14ac:dyDescent="0.25">
      <c r="A434" s="20" t="s">
        <v>76</v>
      </c>
      <c r="B434" s="20" t="s">
        <v>17</v>
      </c>
      <c r="C434" s="20" t="s">
        <v>13</v>
      </c>
      <c r="D434" s="20" t="s">
        <v>9</v>
      </c>
      <c r="E434" s="20" t="s">
        <v>10</v>
      </c>
      <c r="F434" s="20">
        <v>3331.6588299999999</v>
      </c>
      <c r="G434" s="11">
        <f>VLOOKUP(A434,'Operational Data'!$A$2:$E$201,3,FALSE)</f>
        <v>59617</v>
      </c>
      <c r="H434" s="11">
        <f>VLOOKUP(A434,'Operational Data'!$A$2:$E$201,4,FALSE)</f>
        <v>5000.95</v>
      </c>
      <c r="I434" s="11">
        <f>VLOOKUP(A434,'Operational Data'!$A$2:$E$201,5,FALSE)</f>
        <v>80.36</v>
      </c>
      <c r="J434" s="21">
        <f t="shared" si="6"/>
        <v>5.5884375765301843E-2</v>
      </c>
    </row>
    <row r="435" spans="1:10" x14ac:dyDescent="0.25">
      <c r="A435" s="20" t="s">
        <v>164</v>
      </c>
      <c r="B435" s="20" t="s">
        <v>19</v>
      </c>
      <c r="C435" s="20" t="s">
        <v>34</v>
      </c>
      <c r="D435" s="20" t="s">
        <v>14</v>
      </c>
      <c r="E435" s="20" t="s">
        <v>15</v>
      </c>
      <c r="F435" s="20">
        <v>1833.49</v>
      </c>
      <c r="G435" s="11">
        <f>VLOOKUP(A435,'Operational Data'!$A$2:$E$201,3,FALSE)</f>
        <v>69636</v>
      </c>
      <c r="H435" s="11">
        <f>VLOOKUP(A435,'Operational Data'!$A$2:$E$201,4,FALSE)</f>
        <v>4246.55</v>
      </c>
      <c r="I435" s="11">
        <f>VLOOKUP(A435,'Operational Data'!$A$2:$E$201,5,FALSE)</f>
        <v>69.290000000000006</v>
      </c>
      <c r="J435" s="21">
        <f t="shared" si="6"/>
        <v>2.6329628353150669E-2</v>
      </c>
    </row>
    <row r="436" spans="1:10" ht="30" x14ac:dyDescent="0.25">
      <c r="A436" s="20" t="s">
        <v>137</v>
      </c>
      <c r="B436" s="20" t="s">
        <v>17</v>
      </c>
      <c r="C436" s="20" t="s">
        <v>23</v>
      </c>
      <c r="D436" s="20" t="s">
        <v>14</v>
      </c>
      <c r="E436" s="20" t="s">
        <v>10</v>
      </c>
      <c r="F436" s="20">
        <v>4018.22</v>
      </c>
      <c r="G436" s="11">
        <f>VLOOKUP(A436,'Operational Data'!$A$2:$E$201,3,FALSE)</f>
        <v>19265</v>
      </c>
      <c r="H436" s="11">
        <f>VLOOKUP(A436,'Operational Data'!$A$2:$E$201,4,FALSE)</f>
        <v>776.6</v>
      </c>
      <c r="I436" s="11">
        <f>VLOOKUP(A436,'Operational Data'!$A$2:$E$201,5,FALSE)</f>
        <v>39.75</v>
      </c>
      <c r="J436" s="21">
        <f t="shared" si="6"/>
        <v>0.20857617440955098</v>
      </c>
    </row>
    <row r="437" spans="1:10" ht="30" x14ac:dyDescent="0.25">
      <c r="A437" s="20" t="s">
        <v>140</v>
      </c>
      <c r="B437" s="20" t="s">
        <v>17</v>
      </c>
      <c r="C437" s="20" t="s">
        <v>23</v>
      </c>
      <c r="D437" s="20" t="s">
        <v>9</v>
      </c>
      <c r="E437" s="20" t="s">
        <v>10</v>
      </c>
      <c r="F437" s="20">
        <v>2681.922975</v>
      </c>
      <c r="G437" s="11">
        <f>VLOOKUP(A437,'Operational Data'!$A$2:$E$201,3,FALSE)</f>
        <v>88308</v>
      </c>
      <c r="H437" s="11">
        <f>VLOOKUP(A437,'Operational Data'!$A$2:$E$201,4,FALSE)</f>
        <v>7802.07</v>
      </c>
      <c r="I437" s="11">
        <f>VLOOKUP(A437,'Operational Data'!$A$2:$E$201,5,FALSE)</f>
        <v>36.130000000000003</v>
      </c>
      <c r="J437" s="21">
        <f t="shared" si="6"/>
        <v>3.0370102085881232E-2</v>
      </c>
    </row>
    <row r="438" spans="1:10" ht="30" x14ac:dyDescent="0.25">
      <c r="A438" s="20" t="s">
        <v>89</v>
      </c>
      <c r="B438" s="20" t="s">
        <v>17</v>
      </c>
      <c r="C438" s="20" t="s">
        <v>13</v>
      </c>
      <c r="D438" s="20" t="s">
        <v>9</v>
      </c>
      <c r="E438" s="20" t="s">
        <v>24</v>
      </c>
      <c r="F438" s="20">
        <v>1889.493285</v>
      </c>
      <c r="G438" s="11">
        <f>VLOOKUP(A438,'Operational Data'!$A$2:$E$201,3,FALSE)</f>
        <v>36171</v>
      </c>
      <c r="H438" s="11">
        <f>VLOOKUP(A438,'Operational Data'!$A$2:$E$201,4,FALSE)</f>
        <v>6864.38</v>
      </c>
      <c r="I438" s="11">
        <f>VLOOKUP(A438,'Operational Data'!$A$2:$E$201,5,FALSE)</f>
        <v>37.03</v>
      </c>
      <c r="J438" s="21">
        <f t="shared" si="6"/>
        <v>5.2237795056813467E-2</v>
      </c>
    </row>
    <row r="439" spans="1:10" x14ac:dyDescent="0.25">
      <c r="A439" s="20" t="s">
        <v>196</v>
      </c>
      <c r="B439" s="20" t="s">
        <v>30</v>
      </c>
      <c r="C439" s="20" t="s">
        <v>34</v>
      </c>
      <c r="D439" s="20" t="s">
        <v>14</v>
      </c>
      <c r="E439" s="20" t="s">
        <v>10</v>
      </c>
      <c r="F439" s="20">
        <v>1407.92</v>
      </c>
      <c r="G439" s="11">
        <f>VLOOKUP(A439,'Operational Data'!$A$2:$E$201,3,FALSE)</f>
        <v>12262</v>
      </c>
      <c r="H439" s="11">
        <f>VLOOKUP(A439,'Operational Data'!$A$2:$E$201,4,FALSE)</f>
        <v>7106.18</v>
      </c>
      <c r="I439" s="11">
        <f>VLOOKUP(A439,'Operational Data'!$A$2:$E$201,5,FALSE)</f>
        <v>45.69</v>
      </c>
      <c r="J439" s="21">
        <f t="shared" si="6"/>
        <v>0.11481976839014843</v>
      </c>
    </row>
    <row r="440" spans="1:10" x14ac:dyDescent="0.25">
      <c r="A440" s="20" t="s">
        <v>99</v>
      </c>
      <c r="B440" s="20" t="s">
        <v>19</v>
      </c>
      <c r="C440" s="20" t="s">
        <v>34</v>
      </c>
      <c r="D440" s="20" t="s">
        <v>14</v>
      </c>
      <c r="E440" s="20" t="s">
        <v>15</v>
      </c>
      <c r="F440" s="20">
        <v>4935.72</v>
      </c>
      <c r="G440" s="11">
        <f>VLOOKUP(A440,'Operational Data'!$A$2:$E$201,3,FALSE)</f>
        <v>77400</v>
      </c>
      <c r="H440" s="11">
        <f>VLOOKUP(A440,'Operational Data'!$A$2:$E$201,4,FALSE)</f>
        <v>7504.8</v>
      </c>
      <c r="I440" s="11">
        <f>VLOOKUP(A440,'Operational Data'!$A$2:$E$201,5,FALSE)</f>
        <v>68.819999999999993</v>
      </c>
      <c r="J440" s="21">
        <f t="shared" si="6"/>
        <v>6.3768992248062012E-2</v>
      </c>
    </row>
    <row r="441" spans="1:10" ht="30" x14ac:dyDescent="0.25">
      <c r="A441" s="20" t="s">
        <v>59</v>
      </c>
      <c r="B441" s="20" t="s">
        <v>17</v>
      </c>
      <c r="C441" s="20" t="s">
        <v>8</v>
      </c>
      <c r="D441" s="20" t="s">
        <v>9</v>
      </c>
      <c r="E441" s="20" t="s">
        <v>15</v>
      </c>
      <c r="F441" s="20">
        <v>2103.19</v>
      </c>
      <c r="G441" s="11">
        <f>VLOOKUP(A441,'Operational Data'!$A$2:$E$201,3,FALSE)</f>
        <v>15553</v>
      </c>
      <c r="H441" s="11">
        <f>VLOOKUP(A441,'Operational Data'!$A$2:$E$201,4,FALSE)</f>
        <v>3909.51</v>
      </c>
      <c r="I441" s="11">
        <f>VLOOKUP(A441,'Operational Data'!$A$2:$E$201,5,FALSE)</f>
        <v>46.44</v>
      </c>
      <c r="J441" s="21">
        <f t="shared" si="6"/>
        <v>0.13522728734006301</v>
      </c>
    </row>
    <row r="442" spans="1:10" ht="30" x14ac:dyDescent="0.25">
      <c r="A442" s="20" t="s">
        <v>148</v>
      </c>
      <c r="B442" s="20" t="s">
        <v>17</v>
      </c>
      <c r="C442" s="20" t="s">
        <v>23</v>
      </c>
      <c r="D442" s="20" t="s">
        <v>28</v>
      </c>
      <c r="E442" s="20" t="s">
        <v>10</v>
      </c>
      <c r="F442" s="20">
        <v>2046.76</v>
      </c>
      <c r="G442" s="11">
        <f>VLOOKUP(A442,'Operational Data'!$A$2:$E$201,3,FALSE)</f>
        <v>44994</v>
      </c>
      <c r="H442" s="11">
        <f>VLOOKUP(A442,'Operational Data'!$A$2:$E$201,4,FALSE)</f>
        <v>7305.59</v>
      </c>
      <c r="I442" s="11">
        <f>VLOOKUP(A442,'Operational Data'!$A$2:$E$201,5,FALSE)</f>
        <v>91.53</v>
      </c>
      <c r="J442" s="21">
        <f t="shared" si="6"/>
        <v>4.5489620838334001E-2</v>
      </c>
    </row>
    <row r="443" spans="1:10" x14ac:dyDescent="0.25">
      <c r="A443" s="20" t="s">
        <v>85</v>
      </c>
      <c r="B443" s="20" t="s">
        <v>30</v>
      </c>
      <c r="C443" s="20" t="s">
        <v>8</v>
      </c>
      <c r="D443" s="20" t="s">
        <v>14</v>
      </c>
      <c r="E443" s="20" t="s">
        <v>24</v>
      </c>
      <c r="F443" s="20">
        <v>3397.43</v>
      </c>
      <c r="G443" s="11">
        <f>VLOOKUP(A443,'Operational Data'!$A$2:$E$201,3,FALSE)</f>
        <v>45519</v>
      </c>
      <c r="H443" s="11">
        <f>VLOOKUP(A443,'Operational Data'!$A$2:$E$201,4,FALSE)</f>
        <v>7987.69</v>
      </c>
      <c r="I443" s="11">
        <f>VLOOKUP(A443,'Operational Data'!$A$2:$E$201,5,FALSE)</f>
        <v>10.86</v>
      </c>
      <c r="J443" s="21">
        <f t="shared" si="6"/>
        <v>7.4637623849381579E-2</v>
      </c>
    </row>
    <row r="444" spans="1:10" x14ac:dyDescent="0.25">
      <c r="A444" s="20" t="s">
        <v>195</v>
      </c>
      <c r="B444" s="20" t="s">
        <v>7</v>
      </c>
      <c r="C444" s="20" t="s">
        <v>13</v>
      </c>
      <c r="D444" s="20" t="s">
        <v>9</v>
      </c>
      <c r="E444" s="20" t="s">
        <v>10</v>
      </c>
      <c r="F444" s="20">
        <v>3221.574627</v>
      </c>
      <c r="G444" s="11">
        <f>VLOOKUP(A444,'Operational Data'!$A$2:$E$201,3,FALSE)</f>
        <v>68278</v>
      </c>
      <c r="H444" s="11">
        <f>VLOOKUP(A444,'Operational Data'!$A$2:$E$201,4,FALSE)</f>
        <v>3272.65</v>
      </c>
      <c r="I444" s="11">
        <f>VLOOKUP(A444,'Operational Data'!$A$2:$E$201,5,FALSE)</f>
        <v>30.47</v>
      </c>
      <c r="J444" s="21">
        <f t="shared" si="6"/>
        <v>4.7183201426520986E-2</v>
      </c>
    </row>
    <row r="445" spans="1:10" x14ac:dyDescent="0.25">
      <c r="A445" s="20" t="s">
        <v>121</v>
      </c>
      <c r="B445" s="20" t="s">
        <v>30</v>
      </c>
      <c r="C445" s="20" t="s">
        <v>13</v>
      </c>
      <c r="D445" s="20" t="s">
        <v>9</v>
      </c>
      <c r="E445" s="20" t="s">
        <v>15</v>
      </c>
      <c r="F445" s="20">
        <v>4882.4680390000003</v>
      </c>
      <c r="G445" s="11">
        <f>VLOOKUP(A445,'Operational Data'!$A$2:$E$201,3,FALSE)</f>
        <v>58895</v>
      </c>
      <c r="H445" s="11">
        <f>VLOOKUP(A445,'Operational Data'!$A$2:$E$201,4,FALSE)</f>
        <v>3039.17</v>
      </c>
      <c r="I445" s="11">
        <f>VLOOKUP(A445,'Operational Data'!$A$2:$E$201,5,FALSE)</f>
        <v>59.82</v>
      </c>
      <c r="J445" s="21">
        <f t="shared" si="6"/>
        <v>8.2901231666525174E-2</v>
      </c>
    </row>
    <row r="446" spans="1:10" x14ac:dyDescent="0.25">
      <c r="A446" s="20" t="s">
        <v>197</v>
      </c>
      <c r="B446" s="20" t="s">
        <v>30</v>
      </c>
      <c r="C446" s="20" t="s">
        <v>13</v>
      </c>
      <c r="D446" s="20" t="s">
        <v>28</v>
      </c>
      <c r="E446" s="20" t="s">
        <v>24</v>
      </c>
      <c r="F446" s="20">
        <v>2857.09</v>
      </c>
      <c r="G446" s="11">
        <f>VLOOKUP(A446,'Operational Data'!$A$2:$E$201,3,FALSE)</f>
        <v>56752</v>
      </c>
      <c r="H446" s="11">
        <f>VLOOKUP(A446,'Operational Data'!$A$2:$E$201,4,FALSE)</f>
        <v>4177.68</v>
      </c>
      <c r="I446" s="11">
        <f>VLOOKUP(A446,'Operational Data'!$A$2:$E$201,5,FALSE)</f>
        <v>10.96</v>
      </c>
      <c r="J446" s="21">
        <f t="shared" si="6"/>
        <v>5.0343424020298844E-2</v>
      </c>
    </row>
    <row r="447" spans="1:10" ht="30" x14ac:dyDescent="0.25">
      <c r="A447" s="20" t="s">
        <v>143</v>
      </c>
      <c r="B447" s="20" t="s">
        <v>17</v>
      </c>
      <c r="C447" s="20" t="s">
        <v>8</v>
      </c>
      <c r="D447" s="20" t="s">
        <v>14</v>
      </c>
      <c r="E447" s="20" t="s">
        <v>24</v>
      </c>
      <c r="F447" s="20">
        <v>1140.1600000000001</v>
      </c>
      <c r="G447" s="11">
        <f>VLOOKUP(A447,'Operational Data'!$A$2:$E$201,3,FALSE)</f>
        <v>94704</v>
      </c>
      <c r="H447" s="11">
        <f>VLOOKUP(A447,'Operational Data'!$A$2:$E$201,4,FALSE)</f>
        <v>6632.95</v>
      </c>
      <c r="I447" s="11">
        <f>VLOOKUP(A447,'Operational Data'!$A$2:$E$201,5,FALSE)</f>
        <v>14.76</v>
      </c>
      <c r="J447" s="21">
        <f t="shared" si="6"/>
        <v>1.2039195810103058E-2</v>
      </c>
    </row>
    <row r="448" spans="1:10" x14ac:dyDescent="0.25">
      <c r="A448" s="20" t="s">
        <v>52</v>
      </c>
      <c r="B448" s="20" t="s">
        <v>19</v>
      </c>
      <c r="C448" s="20" t="s">
        <v>34</v>
      </c>
      <c r="D448" s="20" t="s">
        <v>9</v>
      </c>
      <c r="E448" s="20" t="s">
        <v>24</v>
      </c>
      <c r="F448" s="20">
        <v>2822.9423630000001</v>
      </c>
      <c r="G448" s="11">
        <f>VLOOKUP(A448,'Operational Data'!$A$2:$E$201,3,FALSE)</f>
        <v>94949</v>
      </c>
      <c r="H448" s="11">
        <f>VLOOKUP(A448,'Operational Data'!$A$2:$E$201,4,FALSE)</f>
        <v>9714.76</v>
      </c>
      <c r="I448" s="11">
        <f>VLOOKUP(A448,'Operational Data'!$A$2:$E$201,5,FALSE)</f>
        <v>64.900000000000006</v>
      </c>
      <c r="J448" s="21">
        <f t="shared" si="6"/>
        <v>2.9731143698195874E-2</v>
      </c>
    </row>
    <row r="449" spans="1:10" ht="30" x14ac:dyDescent="0.25">
      <c r="A449" s="20" t="s">
        <v>129</v>
      </c>
      <c r="B449" s="20" t="s">
        <v>17</v>
      </c>
      <c r="C449" s="20" t="s">
        <v>23</v>
      </c>
      <c r="D449" s="20" t="s">
        <v>28</v>
      </c>
      <c r="E449" s="20" t="s">
        <v>15</v>
      </c>
      <c r="F449" s="20">
        <v>727.78</v>
      </c>
      <c r="G449" s="11">
        <f>VLOOKUP(A449,'Operational Data'!$A$2:$E$201,3,FALSE)</f>
        <v>95292</v>
      </c>
      <c r="H449" s="11">
        <f>VLOOKUP(A449,'Operational Data'!$A$2:$E$201,4,FALSE)</f>
        <v>697.47</v>
      </c>
      <c r="I449" s="11">
        <f>VLOOKUP(A449,'Operational Data'!$A$2:$E$201,5,FALSE)</f>
        <v>88.35</v>
      </c>
      <c r="J449" s="21">
        <f t="shared" si="6"/>
        <v>7.6373672501364228E-3</v>
      </c>
    </row>
    <row r="450" spans="1:10" x14ac:dyDescent="0.25">
      <c r="A450" s="20" t="s">
        <v>183</v>
      </c>
      <c r="B450" s="20" t="s">
        <v>7</v>
      </c>
      <c r="C450" s="20" t="s">
        <v>8</v>
      </c>
      <c r="D450" s="20" t="s">
        <v>9</v>
      </c>
      <c r="E450" s="20" t="s">
        <v>10</v>
      </c>
      <c r="F450" s="20">
        <v>367.90000450000002</v>
      </c>
      <c r="G450" s="11">
        <f>VLOOKUP(A450,'Operational Data'!$A$2:$E$201,3,FALSE)</f>
        <v>14009</v>
      </c>
      <c r="H450" s="11">
        <f>VLOOKUP(A450,'Operational Data'!$A$2:$E$201,4,FALSE)</f>
        <v>7528.98</v>
      </c>
      <c r="I450" s="11">
        <f>VLOOKUP(A450,'Operational Data'!$A$2:$E$201,5,FALSE)</f>
        <v>77.62</v>
      </c>
      <c r="J450" s="21">
        <f t="shared" si="6"/>
        <v>2.6261689235491471E-2</v>
      </c>
    </row>
    <row r="451" spans="1:10" x14ac:dyDescent="0.25">
      <c r="A451" s="20" t="s">
        <v>198</v>
      </c>
      <c r="B451" s="20" t="s">
        <v>12</v>
      </c>
      <c r="C451" s="20" t="s">
        <v>34</v>
      </c>
      <c r="D451" s="20" t="s">
        <v>14</v>
      </c>
      <c r="E451" s="20" t="s">
        <v>10</v>
      </c>
      <c r="F451" s="20">
        <v>2303.56</v>
      </c>
      <c r="G451" s="11">
        <f>VLOOKUP(A451,'Operational Data'!$A$2:$E$201,3,FALSE)</f>
        <v>58113</v>
      </c>
      <c r="H451" s="11">
        <f>VLOOKUP(A451,'Operational Data'!$A$2:$E$201,4,FALSE)</f>
        <v>6382.12</v>
      </c>
      <c r="I451" s="11">
        <f>VLOOKUP(A451,'Operational Data'!$A$2:$E$201,5,FALSE)</f>
        <v>56.66</v>
      </c>
      <c r="J451" s="21">
        <f t="shared" ref="J451:J514" si="7">F451/G451</f>
        <v>3.9639323387193913E-2</v>
      </c>
    </row>
    <row r="452" spans="1:10" ht="30" x14ac:dyDescent="0.25">
      <c r="A452" s="20" t="s">
        <v>147</v>
      </c>
      <c r="B452" s="20" t="s">
        <v>17</v>
      </c>
      <c r="C452" s="20" t="s">
        <v>34</v>
      </c>
      <c r="D452" s="20" t="s">
        <v>14</v>
      </c>
      <c r="E452" s="20" t="s">
        <v>15</v>
      </c>
      <c r="F452" s="20">
        <v>1650.12</v>
      </c>
      <c r="G452" s="11">
        <f>VLOOKUP(A452,'Operational Data'!$A$2:$E$201,3,FALSE)</f>
        <v>24095</v>
      </c>
      <c r="H452" s="11">
        <f>VLOOKUP(A452,'Operational Data'!$A$2:$E$201,4,FALSE)</f>
        <v>3167.52</v>
      </c>
      <c r="I452" s="11">
        <f>VLOOKUP(A452,'Operational Data'!$A$2:$E$201,5,FALSE)</f>
        <v>31.02</v>
      </c>
      <c r="J452" s="21">
        <f t="shared" si="7"/>
        <v>6.8483917825274951E-2</v>
      </c>
    </row>
    <row r="453" spans="1:10" x14ac:dyDescent="0.25">
      <c r="A453" s="20" t="s">
        <v>134</v>
      </c>
      <c r="B453" s="20" t="s">
        <v>7</v>
      </c>
      <c r="C453" s="20" t="s">
        <v>8</v>
      </c>
      <c r="D453" s="20" t="s">
        <v>9</v>
      </c>
      <c r="E453" s="20" t="s">
        <v>15</v>
      </c>
      <c r="F453" s="20">
        <v>4564.4035119999999</v>
      </c>
      <c r="G453" s="11">
        <f>VLOOKUP(A453,'Operational Data'!$A$2:$E$201,3,FALSE)</f>
        <v>39568</v>
      </c>
      <c r="H453" s="11">
        <f>VLOOKUP(A453,'Operational Data'!$A$2:$E$201,4,FALSE)</f>
        <v>3580.54</v>
      </c>
      <c r="I453" s="11">
        <f>VLOOKUP(A453,'Operational Data'!$A$2:$E$201,5,FALSE)</f>
        <v>78.08</v>
      </c>
      <c r="J453" s="21">
        <f t="shared" si="7"/>
        <v>0.11535593186413264</v>
      </c>
    </row>
    <row r="454" spans="1:10" x14ac:dyDescent="0.25">
      <c r="A454" s="20" t="s">
        <v>124</v>
      </c>
      <c r="B454" s="20" t="s">
        <v>12</v>
      </c>
      <c r="C454" s="20" t="s">
        <v>8</v>
      </c>
      <c r="D454" s="20" t="s">
        <v>14</v>
      </c>
      <c r="E454" s="20" t="s">
        <v>24</v>
      </c>
      <c r="F454" s="20">
        <v>3466.51</v>
      </c>
      <c r="G454" s="11">
        <f>VLOOKUP(A454,'Operational Data'!$A$2:$E$201,3,FALSE)</f>
        <v>47491</v>
      </c>
      <c r="H454" s="11">
        <f>VLOOKUP(A454,'Operational Data'!$A$2:$E$201,4,FALSE)</f>
        <v>5781.05</v>
      </c>
      <c r="I454" s="11">
        <f>VLOOKUP(A454,'Operational Data'!$A$2:$E$201,5,FALSE)</f>
        <v>92.18</v>
      </c>
      <c r="J454" s="21">
        <f t="shared" si="7"/>
        <v>7.2992988145122242E-2</v>
      </c>
    </row>
    <row r="455" spans="1:10" x14ac:dyDescent="0.25">
      <c r="A455" s="20" t="s">
        <v>172</v>
      </c>
      <c r="B455" s="20" t="s">
        <v>7</v>
      </c>
      <c r="C455" s="20" t="s">
        <v>13</v>
      </c>
      <c r="D455" s="20" t="s">
        <v>14</v>
      </c>
      <c r="E455" s="20" t="s">
        <v>15</v>
      </c>
      <c r="F455" s="20">
        <v>4237.8100000000004</v>
      </c>
      <c r="G455" s="11">
        <f>VLOOKUP(A455,'Operational Data'!$A$2:$E$201,3,FALSE)</f>
        <v>68820</v>
      </c>
      <c r="H455" s="11">
        <f>VLOOKUP(A455,'Operational Data'!$A$2:$E$201,4,FALSE)</f>
        <v>9612.25</v>
      </c>
      <c r="I455" s="11">
        <f>VLOOKUP(A455,'Operational Data'!$A$2:$E$201,5,FALSE)</f>
        <v>83.51</v>
      </c>
      <c r="J455" s="21">
        <f t="shared" si="7"/>
        <v>6.1578174949142694E-2</v>
      </c>
    </row>
    <row r="456" spans="1:10" x14ac:dyDescent="0.25">
      <c r="A456" s="20" t="s">
        <v>36</v>
      </c>
      <c r="B456" s="20" t="s">
        <v>12</v>
      </c>
      <c r="C456" s="20" t="s">
        <v>23</v>
      </c>
      <c r="D456" s="20" t="s">
        <v>28</v>
      </c>
      <c r="E456" s="20" t="s">
        <v>24</v>
      </c>
      <c r="F456" s="20">
        <v>323.04000000000002</v>
      </c>
      <c r="G456" s="11">
        <f>VLOOKUP(A456,'Operational Data'!$A$2:$E$201,3,FALSE)</f>
        <v>40226</v>
      </c>
      <c r="H456" s="11">
        <f>VLOOKUP(A456,'Operational Data'!$A$2:$E$201,4,FALSE)</f>
        <v>7868.86</v>
      </c>
      <c r="I456" s="11">
        <f>VLOOKUP(A456,'Operational Data'!$A$2:$E$201,5,FALSE)</f>
        <v>80.53</v>
      </c>
      <c r="J456" s="21">
        <f t="shared" si="7"/>
        <v>8.0306269576890573E-3</v>
      </c>
    </row>
    <row r="457" spans="1:10" x14ac:dyDescent="0.25">
      <c r="A457" s="20" t="s">
        <v>134</v>
      </c>
      <c r="B457" s="20" t="s">
        <v>7</v>
      </c>
      <c r="C457" s="20" t="s">
        <v>23</v>
      </c>
      <c r="D457" s="20" t="s">
        <v>28</v>
      </c>
      <c r="E457" s="20" t="s">
        <v>24</v>
      </c>
      <c r="F457" s="20">
        <v>3867.63</v>
      </c>
      <c r="G457" s="11">
        <f>VLOOKUP(A457,'Operational Data'!$A$2:$E$201,3,FALSE)</f>
        <v>39568</v>
      </c>
      <c r="H457" s="11">
        <f>VLOOKUP(A457,'Operational Data'!$A$2:$E$201,4,FALSE)</f>
        <v>3580.54</v>
      </c>
      <c r="I457" s="11">
        <f>VLOOKUP(A457,'Operational Data'!$A$2:$E$201,5,FALSE)</f>
        <v>78.08</v>
      </c>
      <c r="J457" s="21">
        <f t="shared" si="7"/>
        <v>9.7746411241407205E-2</v>
      </c>
    </row>
    <row r="458" spans="1:10" x14ac:dyDescent="0.25">
      <c r="A458" s="20" t="s">
        <v>172</v>
      </c>
      <c r="B458" s="20" t="s">
        <v>7</v>
      </c>
      <c r="C458" s="20" t="s">
        <v>23</v>
      </c>
      <c r="D458" s="20" t="s">
        <v>9</v>
      </c>
      <c r="E458" s="20" t="s">
        <v>15</v>
      </c>
      <c r="F458" s="20">
        <v>748.11408010000002</v>
      </c>
      <c r="G458" s="11">
        <f>VLOOKUP(A458,'Operational Data'!$A$2:$E$201,3,FALSE)</f>
        <v>68820</v>
      </c>
      <c r="H458" s="11">
        <f>VLOOKUP(A458,'Operational Data'!$A$2:$E$201,4,FALSE)</f>
        <v>9612.25</v>
      </c>
      <c r="I458" s="11">
        <f>VLOOKUP(A458,'Operational Data'!$A$2:$E$201,5,FALSE)</f>
        <v>83.51</v>
      </c>
      <c r="J458" s="21">
        <f t="shared" si="7"/>
        <v>1.0870591108689334E-2</v>
      </c>
    </row>
    <row r="459" spans="1:10" ht="30" x14ac:dyDescent="0.25">
      <c r="A459" s="20" t="s">
        <v>37</v>
      </c>
      <c r="B459" s="20" t="s">
        <v>17</v>
      </c>
      <c r="C459" s="20" t="s">
        <v>23</v>
      </c>
      <c r="D459" s="20" t="s">
        <v>9</v>
      </c>
      <c r="E459" s="20" t="s">
        <v>15</v>
      </c>
      <c r="F459" s="20">
        <v>654.85997269999996</v>
      </c>
      <c r="G459" s="11">
        <f>VLOOKUP(A459,'Operational Data'!$A$2:$E$201,3,FALSE)</f>
        <v>71747</v>
      </c>
      <c r="H459" s="11">
        <f>VLOOKUP(A459,'Operational Data'!$A$2:$E$201,4,FALSE)</f>
        <v>9838.66</v>
      </c>
      <c r="I459" s="11">
        <f>VLOOKUP(A459,'Operational Data'!$A$2:$E$201,5,FALSE)</f>
        <v>7.25</v>
      </c>
      <c r="J459" s="21">
        <f t="shared" si="7"/>
        <v>9.1273498919815458E-3</v>
      </c>
    </row>
    <row r="460" spans="1:10" x14ac:dyDescent="0.25">
      <c r="A460" s="20" t="s">
        <v>50</v>
      </c>
      <c r="B460" s="20" t="s">
        <v>19</v>
      </c>
      <c r="C460" s="20" t="s">
        <v>8</v>
      </c>
      <c r="D460" s="20" t="s">
        <v>14</v>
      </c>
      <c r="E460" s="20" t="s">
        <v>24</v>
      </c>
      <c r="F460" s="20">
        <v>2241.89</v>
      </c>
      <c r="G460" s="11">
        <f>VLOOKUP(A460,'Operational Data'!$A$2:$E$201,3,FALSE)</f>
        <v>40577</v>
      </c>
      <c r="H460" s="11">
        <f>VLOOKUP(A460,'Operational Data'!$A$2:$E$201,4,FALSE)</f>
        <v>4280.82</v>
      </c>
      <c r="I460" s="11">
        <f>VLOOKUP(A460,'Operational Data'!$A$2:$E$201,5,FALSE)</f>
        <v>79.88</v>
      </c>
      <c r="J460" s="21">
        <f t="shared" si="7"/>
        <v>5.5250264928407712E-2</v>
      </c>
    </row>
    <row r="461" spans="1:10" x14ac:dyDescent="0.25">
      <c r="A461" s="20" t="s">
        <v>48</v>
      </c>
      <c r="B461" s="20" t="s">
        <v>19</v>
      </c>
      <c r="C461" s="20" t="s">
        <v>13</v>
      </c>
      <c r="D461" s="20" t="s">
        <v>28</v>
      </c>
      <c r="E461" s="20" t="s">
        <v>10</v>
      </c>
      <c r="F461" s="20">
        <v>3489.31</v>
      </c>
      <c r="G461" s="11">
        <f>VLOOKUP(A461,'Operational Data'!$A$2:$E$201,3,FALSE)</f>
        <v>11952</v>
      </c>
      <c r="H461" s="11">
        <f>VLOOKUP(A461,'Operational Data'!$A$2:$E$201,4,FALSE)</f>
        <v>4637.74</v>
      </c>
      <c r="I461" s="11">
        <f>VLOOKUP(A461,'Operational Data'!$A$2:$E$201,5,FALSE)</f>
        <v>63.78</v>
      </c>
      <c r="J461" s="21">
        <f t="shared" si="7"/>
        <v>0.29194360776439088</v>
      </c>
    </row>
    <row r="462" spans="1:10" x14ac:dyDescent="0.25">
      <c r="A462" s="20" t="s">
        <v>123</v>
      </c>
      <c r="B462" s="20" t="s">
        <v>30</v>
      </c>
      <c r="C462" s="20" t="s">
        <v>23</v>
      </c>
      <c r="D462" s="20" t="s">
        <v>14</v>
      </c>
      <c r="E462" s="20" t="s">
        <v>15</v>
      </c>
      <c r="F462" s="20">
        <v>2200.2199999999998</v>
      </c>
      <c r="G462" s="11">
        <f>VLOOKUP(A462,'Operational Data'!$A$2:$E$201,3,FALSE)</f>
        <v>73977</v>
      </c>
      <c r="H462" s="11">
        <f>VLOOKUP(A462,'Operational Data'!$A$2:$E$201,4,FALSE)</f>
        <v>1646.75</v>
      </c>
      <c r="I462" s="11">
        <f>VLOOKUP(A462,'Operational Data'!$A$2:$E$201,5,FALSE)</f>
        <v>43.77</v>
      </c>
      <c r="J462" s="21">
        <f t="shared" si="7"/>
        <v>2.9741946821309324E-2</v>
      </c>
    </row>
    <row r="463" spans="1:10" x14ac:dyDescent="0.25">
      <c r="A463" s="20" t="s">
        <v>198</v>
      </c>
      <c r="B463" s="20" t="s">
        <v>12</v>
      </c>
      <c r="C463" s="20" t="s">
        <v>23</v>
      </c>
      <c r="D463" s="20" t="s">
        <v>14</v>
      </c>
      <c r="E463" s="20" t="s">
        <v>15</v>
      </c>
      <c r="F463" s="20">
        <v>3247.72</v>
      </c>
      <c r="G463" s="11">
        <f>VLOOKUP(A463,'Operational Data'!$A$2:$E$201,3,FALSE)</f>
        <v>58113</v>
      </c>
      <c r="H463" s="11">
        <f>VLOOKUP(A463,'Operational Data'!$A$2:$E$201,4,FALSE)</f>
        <v>6382.12</v>
      </c>
      <c r="I463" s="11">
        <f>VLOOKUP(A463,'Operational Data'!$A$2:$E$201,5,FALSE)</f>
        <v>56.66</v>
      </c>
      <c r="J463" s="21">
        <f t="shared" si="7"/>
        <v>5.5886290502985561E-2</v>
      </c>
    </row>
    <row r="464" spans="1:10" x14ac:dyDescent="0.25">
      <c r="A464" s="20" t="s">
        <v>69</v>
      </c>
      <c r="B464" s="20" t="s">
        <v>7</v>
      </c>
      <c r="C464" s="20" t="s">
        <v>13</v>
      </c>
      <c r="D464" s="20" t="s">
        <v>28</v>
      </c>
      <c r="E464" s="20" t="s">
        <v>24</v>
      </c>
      <c r="F464" s="20">
        <v>3855.39</v>
      </c>
      <c r="G464" s="11">
        <f>VLOOKUP(A464,'Operational Data'!$A$2:$E$201,3,FALSE)</f>
        <v>34725</v>
      </c>
      <c r="H464" s="11">
        <f>VLOOKUP(A464,'Operational Data'!$A$2:$E$201,4,FALSE)</f>
        <v>3269.89</v>
      </c>
      <c r="I464" s="11">
        <f>VLOOKUP(A464,'Operational Data'!$A$2:$E$201,5,FALSE)</f>
        <v>78.86</v>
      </c>
      <c r="J464" s="21">
        <f t="shared" si="7"/>
        <v>0.11102634989200863</v>
      </c>
    </row>
    <row r="465" spans="1:10" x14ac:dyDescent="0.25">
      <c r="A465" s="20" t="s">
        <v>35</v>
      </c>
      <c r="B465" s="20" t="s">
        <v>19</v>
      </c>
      <c r="C465" s="20" t="s">
        <v>8</v>
      </c>
      <c r="D465" s="20" t="s">
        <v>9</v>
      </c>
      <c r="E465" s="20" t="s">
        <v>24</v>
      </c>
      <c r="F465" s="20">
        <v>3111.261825</v>
      </c>
      <c r="G465" s="11">
        <f>VLOOKUP(A465,'Operational Data'!$A$2:$E$201,3,FALSE)</f>
        <v>42382</v>
      </c>
      <c r="H465" s="11">
        <f>VLOOKUP(A465,'Operational Data'!$A$2:$E$201,4,FALSE)</f>
        <v>5116.6899999999996</v>
      </c>
      <c r="I465" s="11">
        <f>VLOOKUP(A465,'Operational Data'!$A$2:$E$201,5,FALSE)</f>
        <v>80.42</v>
      </c>
      <c r="J465" s="21">
        <f t="shared" si="7"/>
        <v>7.3409981242036709E-2</v>
      </c>
    </row>
    <row r="466" spans="1:10" x14ac:dyDescent="0.25">
      <c r="A466" s="20" t="s">
        <v>29</v>
      </c>
      <c r="B466" s="20" t="s">
        <v>30</v>
      </c>
      <c r="C466" s="20" t="s">
        <v>34</v>
      </c>
      <c r="D466" s="20" t="s">
        <v>14</v>
      </c>
      <c r="E466" s="20" t="s">
        <v>10</v>
      </c>
      <c r="F466" s="20">
        <v>2036.83</v>
      </c>
      <c r="G466" s="11">
        <f>VLOOKUP(A466,'Operational Data'!$A$2:$E$201,3,FALSE)</f>
        <v>32131</v>
      </c>
      <c r="H466" s="11">
        <f>VLOOKUP(A466,'Operational Data'!$A$2:$E$201,4,FALSE)</f>
        <v>1474.23</v>
      </c>
      <c r="I466" s="11">
        <f>VLOOKUP(A466,'Operational Data'!$A$2:$E$201,5,FALSE)</f>
        <v>45.47</v>
      </c>
      <c r="J466" s="21">
        <f t="shared" si="7"/>
        <v>6.3391428838193639E-2</v>
      </c>
    </row>
    <row r="467" spans="1:10" x14ac:dyDescent="0.25">
      <c r="A467" s="20" t="s">
        <v>63</v>
      </c>
      <c r="B467" s="20" t="s">
        <v>12</v>
      </c>
      <c r="C467" s="20" t="s">
        <v>8</v>
      </c>
      <c r="D467" s="20" t="s">
        <v>14</v>
      </c>
      <c r="E467" s="20" t="s">
        <v>15</v>
      </c>
      <c r="F467" s="20">
        <v>4876.37</v>
      </c>
      <c r="G467" s="11">
        <f>VLOOKUP(A467,'Operational Data'!$A$2:$E$201,3,FALSE)</f>
        <v>33688</v>
      </c>
      <c r="H467" s="11">
        <f>VLOOKUP(A467,'Operational Data'!$A$2:$E$201,4,FALSE)</f>
        <v>9495.48</v>
      </c>
      <c r="I467" s="11">
        <f>VLOOKUP(A467,'Operational Data'!$A$2:$E$201,5,FALSE)</f>
        <v>55.55</v>
      </c>
      <c r="J467" s="21">
        <f t="shared" si="7"/>
        <v>0.14475094989313703</v>
      </c>
    </row>
    <row r="468" spans="1:10" ht="30" x14ac:dyDescent="0.25">
      <c r="A468" s="20" t="s">
        <v>149</v>
      </c>
      <c r="B468" s="20" t="s">
        <v>17</v>
      </c>
      <c r="C468" s="20" t="s">
        <v>8</v>
      </c>
      <c r="D468" s="20" t="s">
        <v>14</v>
      </c>
      <c r="E468" s="20" t="s">
        <v>24</v>
      </c>
      <c r="F468" s="20">
        <v>4256.16</v>
      </c>
      <c r="G468" s="11">
        <f>VLOOKUP(A468,'Operational Data'!$A$2:$E$201,3,FALSE)</f>
        <v>49885</v>
      </c>
      <c r="H468" s="11">
        <f>VLOOKUP(A468,'Operational Data'!$A$2:$E$201,4,FALSE)</f>
        <v>6845.46</v>
      </c>
      <c r="I468" s="11">
        <f>VLOOKUP(A468,'Operational Data'!$A$2:$E$201,5,FALSE)</f>
        <v>58.4</v>
      </c>
      <c r="J468" s="21">
        <f t="shared" si="7"/>
        <v>8.5319434699809557E-2</v>
      </c>
    </row>
    <row r="469" spans="1:10" x14ac:dyDescent="0.25">
      <c r="A469" s="20" t="s">
        <v>36</v>
      </c>
      <c r="B469" s="20" t="s">
        <v>12</v>
      </c>
      <c r="C469" s="20" t="s">
        <v>13</v>
      </c>
      <c r="D469" s="20" t="s">
        <v>14</v>
      </c>
      <c r="E469" s="20" t="s">
        <v>15</v>
      </c>
      <c r="F469" s="20">
        <v>4947.18</v>
      </c>
      <c r="G469" s="11">
        <f>VLOOKUP(A469,'Operational Data'!$A$2:$E$201,3,FALSE)</f>
        <v>40226</v>
      </c>
      <c r="H469" s="11">
        <f>VLOOKUP(A469,'Operational Data'!$A$2:$E$201,4,FALSE)</f>
        <v>7868.86</v>
      </c>
      <c r="I469" s="11">
        <f>VLOOKUP(A469,'Operational Data'!$A$2:$E$201,5,FALSE)</f>
        <v>80.53</v>
      </c>
      <c r="J469" s="21">
        <f t="shared" si="7"/>
        <v>0.12298463680206832</v>
      </c>
    </row>
    <row r="470" spans="1:10" x14ac:dyDescent="0.25">
      <c r="A470" s="20" t="s">
        <v>38</v>
      </c>
      <c r="B470" s="20" t="s">
        <v>30</v>
      </c>
      <c r="C470" s="20" t="s">
        <v>34</v>
      </c>
      <c r="D470" s="20" t="s">
        <v>28</v>
      </c>
      <c r="E470" s="20" t="s">
        <v>10</v>
      </c>
      <c r="F470" s="20">
        <v>425.91</v>
      </c>
      <c r="G470" s="11">
        <f>VLOOKUP(A470,'Operational Data'!$A$2:$E$201,3,FALSE)</f>
        <v>57215</v>
      </c>
      <c r="H470" s="11">
        <f>VLOOKUP(A470,'Operational Data'!$A$2:$E$201,4,FALSE)</f>
        <v>3227.1</v>
      </c>
      <c r="I470" s="11">
        <f>VLOOKUP(A470,'Operational Data'!$A$2:$E$201,5,FALSE)</f>
        <v>32.909999999999997</v>
      </c>
      <c r="J470" s="21">
        <f t="shared" si="7"/>
        <v>7.4440269160185269E-3</v>
      </c>
    </row>
    <row r="471" spans="1:10" x14ac:dyDescent="0.25">
      <c r="A471" s="20" t="s">
        <v>182</v>
      </c>
      <c r="B471" s="20" t="s">
        <v>12</v>
      </c>
      <c r="C471" s="20" t="s">
        <v>8</v>
      </c>
      <c r="D471" s="20" t="s">
        <v>28</v>
      </c>
      <c r="E471" s="20" t="s">
        <v>10</v>
      </c>
      <c r="F471" s="20">
        <v>4620.84</v>
      </c>
      <c r="G471" s="11">
        <f>VLOOKUP(A471,'Operational Data'!$A$2:$E$201,3,FALSE)</f>
        <v>21081</v>
      </c>
      <c r="H471" s="11">
        <f>VLOOKUP(A471,'Operational Data'!$A$2:$E$201,4,FALSE)</f>
        <v>9001.77</v>
      </c>
      <c r="I471" s="11">
        <f>VLOOKUP(A471,'Operational Data'!$A$2:$E$201,5,FALSE)</f>
        <v>49.27</v>
      </c>
      <c r="J471" s="21">
        <f t="shared" si="7"/>
        <v>0.21919453536359756</v>
      </c>
    </row>
    <row r="472" spans="1:10" x14ac:dyDescent="0.25">
      <c r="A472" s="20" t="s">
        <v>87</v>
      </c>
      <c r="B472" s="20" t="s">
        <v>12</v>
      </c>
      <c r="C472" s="20" t="s">
        <v>8</v>
      </c>
      <c r="D472" s="20" t="s">
        <v>9</v>
      </c>
      <c r="E472" s="20" t="s">
        <v>24</v>
      </c>
      <c r="F472" s="20">
        <v>4302.503428</v>
      </c>
      <c r="G472" s="11">
        <f>VLOOKUP(A472,'Operational Data'!$A$2:$E$201,3,FALSE)</f>
        <v>15333</v>
      </c>
      <c r="H472" s="11">
        <f>VLOOKUP(A472,'Operational Data'!$A$2:$E$201,4,FALSE)</f>
        <v>2570.54</v>
      </c>
      <c r="I472" s="11">
        <f>VLOOKUP(A472,'Operational Data'!$A$2:$E$201,5,FALSE)</f>
        <v>41.07</v>
      </c>
      <c r="J472" s="21">
        <f t="shared" si="7"/>
        <v>0.28060414974238568</v>
      </c>
    </row>
    <row r="473" spans="1:10" x14ac:dyDescent="0.25">
      <c r="A473" s="20" t="s">
        <v>159</v>
      </c>
      <c r="B473" s="20" t="s">
        <v>7</v>
      </c>
      <c r="C473" s="20" t="s">
        <v>34</v>
      </c>
      <c r="D473" s="20" t="s">
        <v>14</v>
      </c>
      <c r="E473" s="20" t="s">
        <v>15</v>
      </c>
      <c r="F473" s="20">
        <v>2571.46</v>
      </c>
      <c r="G473" s="11">
        <f>VLOOKUP(A473,'Operational Data'!$A$2:$E$201,3,FALSE)</f>
        <v>47727</v>
      </c>
      <c r="H473" s="11">
        <f>VLOOKUP(A473,'Operational Data'!$A$2:$E$201,4,FALSE)</f>
        <v>8907.33</v>
      </c>
      <c r="I473" s="11">
        <f>VLOOKUP(A473,'Operational Data'!$A$2:$E$201,5,FALSE)</f>
        <v>47.4</v>
      </c>
      <c r="J473" s="21">
        <f t="shared" si="7"/>
        <v>5.3878517401051818E-2</v>
      </c>
    </row>
    <row r="474" spans="1:10" x14ac:dyDescent="0.25">
      <c r="A474" s="20" t="s">
        <v>106</v>
      </c>
      <c r="B474" s="20" t="s">
        <v>12</v>
      </c>
      <c r="C474" s="20" t="s">
        <v>8</v>
      </c>
      <c r="D474" s="20" t="s">
        <v>14</v>
      </c>
      <c r="E474" s="20" t="s">
        <v>15</v>
      </c>
      <c r="F474" s="20">
        <v>968.92</v>
      </c>
      <c r="G474" s="11">
        <f>VLOOKUP(A474,'Operational Data'!$A$2:$E$201,3,FALSE)</f>
        <v>21386</v>
      </c>
      <c r="H474" s="11">
        <f>VLOOKUP(A474,'Operational Data'!$A$2:$E$201,4,FALSE)</f>
        <v>2271.92</v>
      </c>
      <c r="I474" s="11">
        <f>VLOOKUP(A474,'Operational Data'!$A$2:$E$201,5,FALSE)</f>
        <v>49.67</v>
      </c>
      <c r="J474" s="21">
        <f t="shared" si="7"/>
        <v>4.5306275133264753E-2</v>
      </c>
    </row>
    <row r="475" spans="1:10" x14ac:dyDescent="0.25">
      <c r="A475" s="20" t="s">
        <v>18</v>
      </c>
      <c r="B475" s="20" t="s">
        <v>19</v>
      </c>
      <c r="C475" s="20" t="s">
        <v>23</v>
      </c>
      <c r="D475" s="20" t="s">
        <v>9</v>
      </c>
      <c r="E475" s="20" t="s">
        <v>24</v>
      </c>
      <c r="F475" s="20">
        <v>2916.987545</v>
      </c>
      <c r="G475" s="11">
        <f>VLOOKUP(A475,'Operational Data'!$A$2:$E$201,3,FALSE)</f>
        <v>98682</v>
      </c>
      <c r="H475" s="11">
        <f>VLOOKUP(A475,'Operational Data'!$A$2:$E$201,4,FALSE)</f>
        <v>6220.56</v>
      </c>
      <c r="I475" s="11">
        <f>VLOOKUP(A475,'Operational Data'!$A$2:$E$201,5,FALSE)</f>
        <v>70.099999999999994</v>
      </c>
      <c r="J475" s="21">
        <f t="shared" si="7"/>
        <v>2.9559469254777974E-2</v>
      </c>
    </row>
    <row r="476" spans="1:10" x14ac:dyDescent="0.25">
      <c r="A476" s="20" t="s">
        <v>33</v>
      </c>
      <c r="B476" s="20" t="s">
        <v>19</v>
      </c>
      <c r="C476" s="20" t="s">
        <v>8</v>
      </c>
      <c r="D476" s="20" t="s">
        <v>9</v>
      </c>
      <c r="E476" s="20" t="s">
        <v>10</v>
      </c>
      <c r="F476" s="20">
        <v>4400.8911360000002</v>
      </c>
      <c r="G476" s="11">
        <f>VLOOKUP(A476,'Operational Data'!$A$2:$E$201,3,FALSE)</f>
        <v>65719</v>
      </c>
      <c r="H476" s="11">
        <f>VLOOKUP(A476,'Operational Data'!$A$2:$E$201,4,FALSE)</f>
        <v>9362.41</v>
      </c>
      <c r="I476" s="11">
        <f>VLOOKUP(A476,'Operational Data'!$A$2:$E$201,5,FALSE)</f>
        <v>86.55</v>
      </c>
      <c r="J476" s="21">
        <f t="shared" si="7"/>
        <v>6.6965278473500811E-2</v>
      </c>
    </row>
    <row r="477" spans="1:10" x14ac:dyDescent="0.25">
      <c r="A477" s="20" t="s">
        <v>195</v>
      </c>
      <c r="B477" s="20" t="s">
        <v>7</v>
      </c>
      <c r="C477" s="20" t="s">
        <v>13</v>
      </c>
      <c r="D477" s="20" t="s">
        <v>9</v>
      </c>
      <c r="E477" s="20" t="s">
        <v>10</v>
      </c>
      <c r="F477" s="20">
        <v>1791.2917809999999</v>
      </c>
      <c r="G477" s="11">
        <f>VLOOKUP(A477,'Operational Data'!$A$2:$E$201,3,FALSE)</f>
        <v>68278</v>
      </c>
      <c r="H477" s="11">
        <f>VLOOKUP(A477,'Operational Data'!$A$2:$E$201,4,FALSE)</f>
        <v>3272.65</v>
      </c>
      <c r="I477" s="11">
        <f>VLOOKUP(A477,'Operational Data'!$A$2:$E$201,5,FALSE)</f>
        <v>30.47</v>
      </c>
      <c r="J477" s="21">
        <f t="shared" si="7"/>
        <v>2.6235270233457335E-2</v>
      </c>
    </row>
    <row r="478" spans="1:10" x14ac:dyDescent="0.25">
      <c r="A478" s="20" t="s">
        <v>61</v>
      </c>
      <c r="B478" s="20" t="s">
        <v>30</v>
      </c>
      <c r="C478" s="20" t="s">
        <v>8</v>
      </c>
      <c r="D478" s="20" t="s">
        <v>14</v>
      </c>
      <c r="E478" s="20" t="s">
        <v>15</v>
      </c>
      <c r="F478" s="20">
        <v>594.47</v>
      </c>
      <c r="G478" s="11">
        <f>VLOOKUP(A478,'Operational Data'!$A$2:$E$201,3,FALSE)</f>
        <v>95718</v>
      </c>
      <c r="H478" s="11">
        <f>VLOOKUP(A478,'Operational Data'!$A$2:$E$201,4,FALSE)</f>
        <v>2443.12</v>
      </c>
      <c r="I478" s="11">
        <f>VLOOKUP(A478,'Operational Data'!$A$2:$E$201,5,FALSE)</f>
        <v>35.49</v>
      </c>
      <c r="J478" s="21">
        <f t="shared" si="7"/>
        <v>6.2106395871205002E-3</v>
      </c>
    </row>
    <row r="479" spans="1:10" ht="30" x14ac:dyDescent="0.25">
      <c r="A479" s="20" t="s">
        <v>199</v>
      </c>
      <c r="B479" s="20" t="s">
        <v>17</v>
      </c>
      <c r="C479" s="20" t="s">
        <v>34</v>
      </c>
      <c r="D479" s="20" t="s">
        <v>28</v>
      </c>
      <c r="E479" s="20" t="s">
        <v>15</v>
      </c>
      <c r="F479" s="20">
        <v>2602.85</v>
      </c>
      <c r="G479" s="11">
        <f>VLOOKUP(A479,'Operational Data'!$A$2:$E$201,3,FALSE)</f>
        <v>77317</v>
      </c>
      <c r="H479" s="11">
        <f>VLOOKUP(A479,'Operational Data'!$A$2:$E$201,4,FALSE)</f>
        <v>4862.95</v>
      </c>
      <c r="I479" s="11">
        <f>VLOOKUP(A479,'Operational Data'!$A$2:$E$201,5,FALSE)</f>
        <v>89.78</v>
      </c>
      <c r="J479" s="21">
        <f t="shared" si="7"/>
        <v>3.3664653310397454E-2</v>
      </c>
    </row>
    <row r="480" spans="1:10" x14ac:dyDescent="0.25">
      <c r="A480" s="20" t="s">
        <v>31</v>
      </c>
      <c r="B480" s="20" t="s">
        <v>30</v>
      </c>
      <c r="C480" s="20" t="s">
        <v>8</v>
      </c>
      <c r="D480" s="20" t="s">
        <v>14</v>
      </c>
      <c r="E480" s="20" t="s">
        <v>24</v>
      </c>
      <c r="F480" s="20">
        <v>558.53</v>
      </c>
      <c r="G480" s="11">
        <f>VLOOKUP(A480,'Operational Data'!$A$2:$E$201,3,FALSE)</f>
        <v>84851</v>
      </c>
      <c r="H480" s="11">
        <f>VLOOKUP(A480,'Operational Data'!$A$2:$E$201,4,FALSE)</f>
        <v>560.75</v>
      </c>
      <c r="I480" s="11">
        <f>VLOOKUP(A480,'Operational Data'!$A$2:$E$201,5,FALSE)</f>
        <v>80.23</v>
      </c>
      <c r="J480" s="21">
        <f t="shared" si="7"/>
        <v>6.5824798764893755E-3</v>
      </c>
    </row>
    <row r="481" spans="1:10" x14ac:dyDescent="0.25">
      <c r="A481" s="20" t="s">
        <v>105</v>
      </c>
      <c r="B481" s="20" t="s">
        <v>30</v>
      </c>
      <c r="C481" s="20" t="s">
        <v>23</v>
      </c>
      <c r="D481" s="20" t="s">
        <v>28</v>
      </c>
      <c r="E481" s="20" t="s">
        <v>24</v>
      </c>
      <c r="F481" s="20">
        <v>3004.54</v>
      </c>
      <c r="G481" s="11">
        <f>VLOOKUP(A481,'Operational Data'!$A$2:$E$201,3,FALSE)</f>
        <v>87337</v>
      </c>
      <c r="H481" s="11">
        <f>VLOOKUP(A481,'Operational Data'!$A$2:$E$201,4,FALSE)</f>
        <v>3603.06</v>
      </c>
      <c r="I481" s="11">
        <f>VLOOKUP(A481,'Operational Data'!$A$2:$E$201,5,FALSE)</f>
        <v>67.13</v>
      </c>
      <c r="J481" s="21">
        <f t="shared" si="7"/>
        <v>3.4401685425421068E-2</v>
      </c>
    </row>
    <row r="482" spans="1:10" ht="30" x14ac:dyDescent="0.25">
      <c r="A482" s="20" t="s">
        <v>104</v>
      </c>
      <c r="B482" s="20" t="s">
        <v>17</v>
      </c>
      <c r="C482" s="20" t="s">
        <v>34</v>
      </c>
      <c r="D482" s="20" t="s">
        <v>14</v>
      </c>
      <c r="E482" s="20" t="s">
        <v>15</v>
      </c>
      <c r="F482" s="20">
        <v>1288.92</v>
      </c>
      <c r="G482" s="11">
        <f>VLOOKUP(A482,'Operational Data'!$A$2:$E$201,3,FALSE)</f>
        <v>16868</v>
      </c>
      <c r="H482" s="11">
        <f>VLOOKUP(A482,'Operational Data'!$A$2:$E$201,4,FALSE)</f>
        <v>1378.01</v>
      </c>
      <c r="I482" s="11">
        <f>VLOOKUP(A482,'Operational Data'!$A$2:$E$201,5,FALSE)</f>
        <v>47.52</v>
      </c>
      <c r="J482" s="21">
        <f t="shared" si="7"/>
        <v>7.6412141332700981E-2</v>
      </c>
    </row>
    <row r="483" spans="1:10" x14ac:dyDescent="0.25">
      <c r="A483" s="20" t="s">
        <v>200</v>
      </c>
      <c r="B483" s="20" t="s">
        <v>30</v>
      </c>
      <c r="C483" s="20" t="s">
        <v>8</v>
      </c>
      <c r="D483" s="20" t="s">
        <v>9</v>
      </c>
      <c r="E483" s="20" t="s">
        <v>24</v>
      </c>
      <c r="F483" s="20">
        <v>4950.7719509999997</v>
      </c>
      <c r="G483" s="11">
        <f>VLOOKUP(A483,'Operational Data'!$A$2:$E$201,3,FALSE)</f>
        <v>46863</v>
      </c>
      <c r="H483" s="11">
        <f>VLOOKUP(A483,'Operational Data'!$A$2:$E$201,4,FALSE)</f>
        <v>6762.98</v>
      </c>
      <c r="I483" s="11">
        <f>VLOOKUP(A483,'Operational Data'!$A$2:$E$201,5,FALSE)</f>
        <v>23.45</v>
      </c>
      <c r="J483" s="21">
        <f t="shared" si="7"/>
        <v>0.10564351302733499</v>
      </c>
    </row>
    <row r="484" spans="1:10" x14ac:dyDescent="0.25">
      <c r="A484" s="20" t="s">
        <v>33</v>
      </c>
      <c r="B484" s="20" t="s">
        <v>19</v>
      </c>
      <c r="C484" s="20" t="s">
        <v>34</v>
      </c>
      <c r="D484" s="20" t="s">
        <v>28</v>
      </c>
      <c r="E484" s="20" t="s">
        <v>24</v>
      </c>
      <c r="F484" s="20">
        <v>3982.02</v>
      </c>
      <c r="G484" s="11">
        <f>VLOOKUP(A484,'Operational Data'!$A$2:$E$201,3,FALSE)</f>
        <v>65719</v>
      </c>
      <c r="H484" s="11">
        <f>VLOOKUP(A484,'Operational Data'!$A$2:$E$201,4,FALSE)</f>
        <v>9362.41</v>
      </c>
      <c r="I484" s="11">
        <f>VLOOKUP(A484,'Operational Data'!$A$2:$E$201,5,FALSE)</f>
        <v>86.55</v>
      </c>
      <c r="J484" s="21">
        <f t="shared" si="7"/>
        <v>6.0591609732345286E-2</v>
      </c>
    </row>
    <row r="485" spans="1:10" x14ac:dyDescent="0.25">
      <c r="A485" s="20" t="s">
        <v>196</v>
      </c>
      <c r="B485" s="20" t="s">
        <v>30</v>
      </c>
      <c r="C485" s="20" t="s">
        <v>8</v>
      </c>
      <c r="D485" s="20" t="s">
        <v>28</v>
      </c>
      <c r="E485" s="20" t="s">
        <v>24</v>
      </c>
      <c r="F485" s="20">
        <v>106.32</v>
      </c>
      <c r="G485" s="11">
        <f>VLOOKUP(A485,'Operational Data'!$A$2:$E$201,3,FALSE)</f>
        <v>12262</v>
      </c>
      <c r="H485" s="11">
        <f>VLOOKUP(A485,'Operational Data'!$A$2:$E$201,4,FALSE)</f>
        <v>7106.18</v>
      </c>
      <c r="I485" s="11">
        <f>VLOOKUP(A485,'Operational Data'!$A$2:$E$201,5,FALSE)</f>
        <v>45.69</v>
      </c>
      <c r="J485" s="21">
        <f t="shared" si="7"/>
        <v>8.6706899363888437E-3</v>
      </c>
    </row>
    <row r="486" spans="1:10" x14ac:dyDescent="0.25">
      <c r="A486" s="20" t="s">
        <v>201</v>
      </c>
      <c r="B486" s="20" t="s">
        <v>12</v>
      </c>
      <c r="C486" s="20" t="s">
        <v>34</v>
      </c>
      <c r="D486" s="20" t="s">
        <v>9</v>
      </c>
      <c r="E486" s="20" t="s">
        <v>10</v>
      </c>
      <c r="F486" s="20">
        <v>1752.0338509999999</v>
      </c>
      <c r="G486" s="11">
        <f>VLOOKUP(A486,'Operational Data'!$A$2:$E$201,3,FALSE)</f>
        <v>58439</v>
      </c>
      <c r="H486" s="11">
        <f>VLOOKUP(A486,'Operational Data'!$A$2:$E$201,4,FALSE)</f>
        <v>5817.93</v>
      </c>
      <c r="I486" s="11">
        <f>VLOOKUP(A486,'Operational Data'!$A$2:$E$201,5,FALSE)</f>
        <v>63.77</v>
      </c>
      <c r="J486" s="21">
        <f t="shared" si="7"/>
        <v>2.9980558377111173E-2</v>
      </c>
    </row>
    <row r="487" spans="1:10" ht="30" x14ac:dyDescent="0.25">
      <c r="A487" s="20" t="s">
        <v>129</v>
      </c>
      <c r="B487" s="20" t="s">
        <v>17</v>
      </c>
      <c r="C487" s="20" t="s">
        <v>13</v>
      </c>
      <c r="D487" s="20" t="s">
        <v>28</v>
      </c>
      <c r="E487" s="20" t="s">
        <v>15</v>
      </c>
      <c r="F487" s="20">
        <v>2963</v>
      </c>
      <c r="G487" s="11">
        <f>VLOOKUP(A487,'Operational Data'!$A$2:$E$201,3,FALSE)</f>
        <v>95292</v>
      </c>
      <c r="H487" s="11">
        <f>VLOOKUP(A487,'Operational Data'!$A$2:$E$201,4,FALSE)</f>
        <v>697.47</v>
      </c>
      <c r="I487" s="11">
        <f>VLOOKUP(A487,'Operational Data'!$A$2:$E$201,5,FALSE)</f>
        <v>88.35</v>
      </c>
      <c r="J487" s="21">
        <f t="shared" si="7"/>
        <v>3.10939008521177E-2</v>
      </c>
    </row>
    <row r="488" spans="1:10" x14ac:dyDescent="0.25">
      <c r="A488" s="20" t="s">
        <v>180</v>
      </c>
      <c r="B488" s="20" t="s">
        <v>30</v>
      </c>
      <c r="C488" s="20" t="s">
        <v>13</v>
      </c>
      <c r="D488" s="20" t="s">
        <v>28</v>
      </c>
      <c r="E488" s="20" t="s">
        <v>10</v>
      </c>
      <c r="F488" s="20">
        <v>2067.13</v>
      </c>
      <c r="G488" s="11">
        <f>VLOOKUP(A488,'Operational Data'!$A$2:$E$201,3,FALSE)</f>
        <v>72846</v>
      </c>
      <c r="H488" s="11">
        <f>VLOOKUP(A488,'Operational Data'!$A$2:$E$201,4,FALSE)</f>
        <v>5169.53</v>
      </c>
      <c r="I488" s="11">
        <f>VLOOKUP(A488,'Operational Data'!$A$2:$E$201,5,FALSE)</f>
        <v>76.709999999999994</v>
      </c>
      <c r="J488" s="21">
        <f t="shared" si="7"/>
        <v>2.83767125168163E-2</v>
      </c>
    </row>
    <row r="489" spans="1:10" x14ac:dyDescent="0.25">
      <c r="A489" s="20" t="s">
        <v>181</v>
      </c>
      <c r="B489" s="20" t="s">
        <v>30</v>
      </c>
      <c r="C489" s="20" t="s">
        <v>8</v>
      </c>
      <c r="D489" s="20" t="s">
        <v>28</v>
      </c>
      <c r="E489" s="20" t="s">
        <v>15</v>
      </c>
      <c r="F489" s="20">
        <v>1493.38</v>
      </c>
      <c r="G489" s="11">
        <f>VLOOKUP(A489,'Operational Data'!$A$2:$E$201,3,FALSE)</f>
        <v>28704</v>
      </c>
      <c r="H489" s="11">
        <f>VLOOKUP(A489,'Operational Data'!$A$2:$E$201,4,FALSE)</f>
        <v>6009.24</v>
      </c>
      <c r="I489" s="11">
        <f>VLOOKUP(A489,'Operational Data'!$A$2:$E$201,5,FALSE)</f>
        <v>39.31</v>
      </c>
      <c r="J489" s="21">
        <f t="shared" si="7"/>
        <v>5.2026895206243033E-2</v>
      </c>
    </row>
    <row r="490" spans="1:10" x14ac:dyDescent="0.25">
      <c r="A490" s="20" t="s">
        <v>173</v>
      </c>
      <c r="B490" s="20" t="s">
        <v>30</v>
      </c>
      <c r="C490" s="20" t="s">
        <v>8</v>
      </c>
      <c r="D490" s="20" t="s">
        <v>9</v>
      </c>
      <c r="E490" s="20" t="s">
        <v>24</v>
      </c>
      <c r="F490" s="20">
        <v>1311.8245979999999</v>
      </c>
      <c r="G490" s="11">
        <f>VLOOKUP(A490,'Operational Data'!$A$2:$E$201,3,FALSE)</f>
        <v>49620</v>
      </c>
      <c r="H490" s="11">
        <f>VLOOKUP(A490,'Operational Data'!$A$2:$E$201,4,FALSE)</f>
        <v>2424.31</v>
      </c>
      <c r="I490" s="11">
        <f>VLOOKUP(A490,'Operational Data'!$A$2:$E$201,5,FALSE)</f>
        <v>62.09</v>
      </c>
      <c r="J490" s="21">
        <f t="shared" si="7"/>
        <v>2.6437416324062876E-2</v>
      </c>
    </row>
    <row r="491" spans="1:10" x14ac:dyDescent="0.25">
      <c r="A491" s="20" t="s">
        <v>200</v>
      </c>
      <c r="B491" s="20" t="s">
        <v>30</v>
      </c>
      <c r="C491" s="20" t="s">
        <v>8</v>
      </c>
      <c r="D491" s="20" t="s">
        <v>9</v>
      </c>
      <c r="E491" s="20" t="s">
        <v>15</v>
      </c>
      <c r="F491" s="20">
        <v>3998.6273169999999</v>
      </c>
      <c r="G491" s="11">
        <f>VLOOKUP(A491,'Operational Data'!$A$2:$E$201,3,FALSE)</f>
        <v>46863</v>
      </c>
      <c r="H491" s="11">
        <f>VLOOKUP(A491,'Operational Data'!$A$2:$E$201,4,FALSE)</f>
        <v>6762.98</v>
      </c>
      <c r="I491" s="11">
        <f>VLOOKUP(A491,'Operational Data'!$A$2:$E$201,5,FALSE)</f>
        <v>23.45</v>
      </c>
      <c r="J491" s="21">
        <f t="shared" si="7"/>
        <v>8.5325892857904956E-2</v>
      </c>
    </row>
    <row r="492" spans="1:10" x14ac:dyDescent="0.25">
      <c r="A492" s="20" t="s">
        <v>33</v>
      </c>
      <c r="B492" s="20" t="s">
        <v>19</v>
      </c>
      <c r="C492" s="20" t="s">
        <v>34</v>
      </c>
      <c r="D492" s="20" t="s">
        <v>14</v>
      </c>
      <c r="E492" s="20" t="s">
        <v>10</v>
      </c>
      <c r="F492" s="20">
        <v>4224.63</v>
      </c>
      <c r="G492" s="11">
        <f>VLOOKUP(A492,'Operational Data'!$A$2:$E$201,3,FALSE)</f>
        <v>65719</v>
      </c>
      <c r="H492" s="11">
        <f>VLOOKUP(A492,'Operational Data'!$A$2:$E$201,4,FALSE)</f>
        <v>9362.41</v>
      </c>
      <c r="I492" s="11">
        <f>VLOOKUP(A492,'Operational Data'!$A$2:$E$201,5,FALSE)</f>
        <v>86.55</v>
      </c>
      <c r="J492" s="21">
        <f t="shared" si="7"/>
        <v>6.4283236202620248E-2</v>
      </c>
    </row>
    <row r="493" spans="1:10" x14ac:dyDescent="0.25">
      <c r="A493" s="20" t="s">
        <v>96</v>
      </c>
      <c r="B493" s="20" t="s">
        <v>19</v>
      </c>
      <c r="C493" s="20" t="s">
        <v>34</v>
      </c>
      <c r="D493" s="20" t="s">
        <v>9</v>
      </c>
      <c r="E493" s="20" t="s">
        <v>15</v>
      </c>
      <c r="F493" s="20">
        <v>2249.1121229999999</v>
      </c>
      <c r="G493" s="11">
        <f>VLOOKUP(A493,'Operational Data'!$A$2:$E$201,3,FALSE)</f>
        <v>53942</v>
      </c>
      <c r="H493" s="11">
        <f>VLOOKUP(A493,'Operational Data'!$A$2:$E$201,4,FALSE)</f>
        <v>5904.31</v>
      </c>
      <c r="I493" s="11">
        <f>VLOOKUP(A493,'Operational Data'!$A$2:$E$201,5,FALSE)</f>
        <v>32.78</v>
      </c>
      <c r="J493" s="21">
        <f t="shared" si="7"/>
        <v>4.1695008027140261E-2</v>
      </c>
    </row>
    <row r="494" spans="1:10" x14ac:dyDescent="0.25">
      <c r="A494" s="20" t="s">
        <v>105</v>
      </c>
      <c r="B494" s="20" t="s">
        <v>30</v>
      </c>
      <c r="C494" s="20" t="s">
        <v>23</v>
      </c>
      <c r="D494" s="20" t="s">
        <v>28</v>
      </c>
      <c r="E494" s="20" t="s">
        <v>24</v>
      </c>
      <c r="F494" s="20">
        <v>1492.82</v>
      </c>
      <c r="G494" s="11">
        <f>VLOOKUP(A494,'Operational Data'!$A$2:$E$201,3,FALSE)</f>
        <v>87337</v>
      </c>
      <c r="H494" s="11">
        <f>VLOOKUP(A494,'Operational Data'!$A$2:$E$201,4,FALSE)</f>
        <v>3603.06</v>
      </c>
      <c r="I494" s="11">
        <f>VLOOKUP(A494,'Operational Data'!$A$2:$E$201,5,FALSE)</f>
        <v>67.13</v>
      </c>
      <c r="J494" s="21">
        <f t="shared" si="7"/>
        <v>1.7092641148654063E-2</v>
      </c>
    </row>
    <row r="495" spans="1:10" x14ac:dyDescent="0.25">
      <c r="A495" s="20" t="s">
        <v>132</v>
      </c>
      <c r="B495" s="20" t="s">
        <v>19</v>
      </c>
      <c r="C495" s="20" t="s">
        <v>8</v>
      </c>
      <c r="D495" s="20" t="s">
        <v>9</v>
      </c>
      <c r="E495" s="20" t="s">
        <v>24</v>
      </c>
      <c r="F495" s="20">
        <v>4652.8755929999998</v>
      </c>
      <c r="G495" s="11">
        <f>VLOOKUP(A495,'Operational Data'!$A$2:$E$201,3,FALSE)</f>
        <v>29860</v>
      </c>
      <c r="H495" s="11">
        <f>VLOOKUP(A495,'Operational Data'!$A$2:$E$201,4,FALSE)</f>
        <v>3956.23</v>
      </c>
      <c r="I495" s="11">
        <f>VLOOKUP(A495,'Operational Data'!$A$2:$E$201,5,FALSE)</f>
        <v>57.5</v>
      </c>
      <c r="J495" s="21">
        <f t="shared" si="7"/>
        <v>0.1558230272270596</v>
      </c>
    </row>
    <row r="496" spans="1:10" x14ac:dyDescent="0.25">
      <c r="A496" s="20" t="s">
        <v>69</v>
      </c>
      <c r="B496" s="20" t="s">
        <v>7</v>
      </c>
      <c r="C496" s="20" t="s">
        <v>34</v>
      </c>
      <c r="D496" s="20" t="s">
        <v>14</v>
      </c>
      <c r="E496" s="20" t="s">
        <v>10</v>
      </c>
      <c r="F496" s="20">
        <v>2725.88</v>
      </c>
      <c r="G496" s="11">
        <f>VLOOKUP(A496,'Operational Data'!$A$2:$E$201,3,FALSE)</f>
        <v>34725</v>
      </c>
      <c r="H496" s="11">
        <f>VLOOKUP(A496,'Operational Data'!$A$2:$E$201,4,FALSE)</f>
        <v>3269.89</v>
      </c>
      <c r="I496" s="11">
        <f>VLOOKUP(A496,'Operational Data'!$A$2:$E$201,5,FALSE)</f>
        <v>78.86</v>
      </c>
      <c r="J496" s="21">
        <f t="shared" si="7"/>
        <v>7.8499064074874017E-2</v>
      </c>
    </row>
    <row r="497" spans="1:10" x14ac:dyDescent="0.25">
      <c r="A497" s="20" t="s">
        <v>75</v>
      </c>
      <c r="B497" s="20" t="s">
        <v>19</v>
      </c>
      <c r="C497" s="20" t="s">
        <v>23</v>
      </c>
      <c r="D497" s="20" t="s">
        <v>9</v>
      </c>
      <c r="E497" s="20" t="s">
        <v>24</v>
      </c>
      <c r="F497" s="20">
        <v>3666.3757099999998</v>
      </c>
      <c r="G497" s="11">
        <f>VLOOKUP(A497,'Operational Data'!$A$2:$E$201,3,FALSE)</f>
        <v>54136</v>
      </c>
      <c r="H497" s="11">
        <f>VLOOKUP(A497,'Operational Data'!$A$2:$E$201,4,FALSE)</f>
        <v>2775.38</v>
      </c>
      <c r="I497" s="11">
        <f>VLOOKUP(A497,'Operational Data'!$A$2:$E$201,5,FALSE)</f>
        <v>75.459999999999994</v>
      </c>
      <c r="J497" s="21">
        <f t="shared" si="7"/>
        <v>6.7725279111866404E-2</v>
      </c>
    </row>
    <row r="498" spans="1:10" x14ac:dyDescent="0.25">
      <c r="A498" s="20" t="s">
        <v>202</v>
      </c>
      <c r="B498" s="20" t="s">
        <v>12</v>
      </c>
      <c r="C498" s="20" t="s">
        <v>23</v>
      </c>
      <c r="D498" s="20" t="s">
        <v>28</v>
      </c>
      <c r="E498" s="20" t="s">
        <v>15</v>
      </c>
      <c r="F498" s="20">
        <v>216.52</v>
      </c>
      <c r="G498" s="11">
        <f>VLOOKUP(A498,'Operational Data'!$A$2:$E$201,3,FALSE)</f>
        <v>28400</v>
      </c>
      <c r="H498" s="11">
        <f>VLOOKUP(A498,'Operational Data'!$A$2:$E$201,4,FALSE)</f>
        <v>3056.67</v>
      </c>
      <c r="I498" s="11">
        <f>VLOOKUP(A498,'Operational Data'!$A$2:$E$201,5,FALSE)</f>
        <v>52.68</v>
      </c>
      <c r="J498" s="21">
        <f t="shared" si="7"/>
        <v>7.6239436619718317E-3</v>
      </c>
    </row>
    <row r="499" spans="1:10" x14ac:dyDescent="0.25">
      <c r="A499" s="20" t="s">
        <v>203</v>
      </c>
      <c r="B499" s="20" t="s">
        <v>12</v>
      </c>
      <c r="C499" s="20" t="s">
        <v>34</v>
      </c>
      <c r="D499" s="20" t="s">
        <v>14</v>
      </c>
      <c r="E499" s="20" t="s">
        <v>10</v>
      </c>
      <c r="F499" s="20">
        <v>1898.59</v>
      </c>
      <c r="G499" s="11">
        <f>VLOOKUP(A499,'Operational Data'!$A$2:$E$201,3,FALSE)</f>
        <v>66398</v>
      </c>
      <c r="H499" s="11">
        <f>VLOOKUP(A499,'Operational Data'!$A$2:$E$201,4,FALSE)</f>
        <v>8713.61</v>
      </c>
      <c r="I499" s="11">
        <f>VLOOKUP(A499,'Operational Data'!$A$2:$E$201,5,FALSE)</f>
        <v>83.44</v>
      </c>
      <c r="J499" s="21">
        <f t="shared" si="7"/>
        <v>2.8594084159161419E-2</v>
      </c>
    </row>
    <row r="500" spans="1:10" x14ac:dyDescent="0.25">
      <c r="A500" s="20" t="s">
        <v>94</v>
      </c>
      <c r="B500" s="20" t="s">
        <v>7</v>
      </c>
      <c r="C500" s="20" t="s">
        <v>23</v>
      </c>
      <c r="D500" s="20" t="s">
        <v>9</v>
      </c>
      <c r="E500" s="20" t="s">
        <v>10</v>
      </c>
      <c r="F500" s="20">
        <v>3557.5735020000002</v>
      </c>
      <c r="G500" s="11">
        <f>VLOOKUP(A500,'Operational Data'!$A$2:$E$201,3,FALSE)</f>
        <v>26338</v>
      </c>
      <c r="H500" s="11">
        <f>VLOOKUP(A500,'Operational Data'!$A$2:$E$201,4,FALSE)</f>
        <v>578.73</v>
      </c>
      <c r="I500" s="11">
        <f>VLOOKUP(A500,'Operational Data'!$A$2:$E$201,5,FALSE)</f>
        <v>72.52</v>
      </c>
      <c r="J500" s="21">
        <f t="shared" si="7"/>
        <v>0.1350737907965677</v>
      </c>
    </row>
    <row r="501" spans="1:10" ht="30" x14ac:dyDescent="0.25">
      <c r="A501" s="20" t="s">
        <v>116</v>
      </c>
      <c r="B501" s="20" t="s">
        <v>17</v>
      </c>
      <c r="C501" s="20" t="s">
        <v>13</v>
      </c>
      <c r="D501" s="20" t="s">
        <v>9</v>
      </c>
      <c r="E501" s="20" t="s">
        <v>15</v>
      </c>
      <c r="F501" s="20">
        <v>1488.084012</v>
      </c>
      <c r="G501" s="11">
        <f>VLOOKUP(A501,'Operational Data'!$A$2:$E$201,3,FALSE)</f>
        <v>68216</v>
      </c>
      <c r="H501" s="11">
        <f>VLOOKUP(A501,'Operational Data'!$A$2:$E$201,4,FALSE)</f>
        <v>9562.33</v>
      </c>
      <c r="I501" s="11">
        <f>VLOOKUP(A501,'Operational Data'!$A$2:$E$201,5,FALSE)</f>
        <v>63.59</v>
      </c>
      <c r="J501" s="21">
        <f t="shared" si="7"/>
        <v>2.1814295942300926E-2</v>
      </c>
    </row>
    <row r="502" spans="1:10" x14ac:dyDescent="0.25">
      <c r="A502" s="20" t="s">
        <v>6</v>
      </c>
      <c r="B502" s="20" t="s">
        <v>7</v>
      </c>
      <c r="C502" s="20" t="s">
        <v>23</v>
      </c>
      <c r="D502" s="20" t="s">
        <v>14</v>
      </c>
      <c r="E502" s="20" t="s">
        <v>10</v>
      </c>
      <c r="F502" s="20">
        <v>4949.0200000000004</v>
      </c>
      <c r="G502" s="11">
        <f>VLOOKUP(A502,'Operational Data'!$A$2:$E$201,3,FALSE)</f>
        <v>77330</v>
      </c>
      <c r="H502" s="11">
        <f>VLOOKUP(A502,'Operational Data'!$A$2:$E$201,4,FALSE)</f>
        <v>6936.58</v>
      </c>
      <c r="I502" s="11">
        <f>VLOOKUP(A502,'Operational Data'!$A$2:$E$201,5,FALSE)</f>
        <v>82.3</v>
      </c>
      <c r="J502" s="21">
        <f t="shared" si="7"/>
        <v>6.3998706840812103E-2</v>
      </c>
    </row>
    <row r="503" spans="1:10" x14ac:dyDescent="0.25">
      <c r="A503" s="20" t="s">
        <v>56</v>
      </c>
      <c r="B503" s="20" t="s">
        <v>19</v>
      </c>
      <c r="C503" s="20" t="s">
        <v>34</v>
      </c>
      <c r="D503" s="20" t="s">
        <v>9</v>
      </c>
      <c r="E503" s="20" t="s">
        <v>15</v>
      </c>
      <c r="F503" s="20">
        <v>601.16792499999997</v>
      </c>
      <c r="G503" s="11">
        <f>VLOOKUP(A503,'Operational Data'!$A$2:$E$201,3,FALSE)</f>
        <v>43747</v>
      </c>
      <c r="H503" s="11">
        <f>VLOOKUP(A503,'Operational Data'!$A$2:$E$201,4,FALSE)</f>
        <v>3453.48</v>
      </c>
      <c r="I503" s="11">
        <f>VLOOKUP(A503,'Operational Data'!$A$2:$E$201,5,FALSE)</f>
        <v>98.78</v>
      </c>
      <c r="J503" s="21">
        <f t="shared" si="7"/>
        <v>1.3741923446179166E-2</v>
      </c>
    </row>
    <row r="504" spans="1:10" x14ac:dyDescent="0.25">
      <c r="A504" s="20" t="s">
        <v>32</v>
      </c>
      <c r="B504" s="20" t="s">
        <v>7</v>
      </c>
      <c r="C504" s="20" t="s">
        <v>23</v>
      </c>
      <c r="D504" s="20" t="s">
        <v>9</v>
      </c>
      <c r="E504" s="20" t="s">
        <v>15</v>
      </c>
      <c r="F504" s="20">
        <v>4121.8599999999997</v>
      </c>
      <c r="G504" s="11">
        <f>VLOOKUP(A504,'Operational Data'!$A$2:$E$201,3,FALSE)</f>
        <v>10933</v>
      </c>
      <c r="H504" s="11">
        <f>VLOOKUP(A504,'Operational Data'!$A$2:$E$201,4,FALSE)</f>
        <v>9004.3700000000008</v>
      </c>
      <c r="I504" s="11">
        <f>VLOOKUP(A504,'Operational Data'!$A$2:$E$201,5,FALSE)</f>
        <v>26.84</v>
      </c>
      <c r="J504" s="21">
        <f t="shared" si="7"/>
        <v>0.37701088447818526</v>
      </c>
    </row>
    <row r="505" spans="1:10" x14ac:dyDescent="0.25">
      <c r="A505" s="20" t="s">
        <v>96</v>
      </c>
      <c r="B505" s="20" t="s">
        <v>19</v>
      </c>
      <c r="C505" s="20" t="s">
        <v>13</v>
      </c>
      <c r="D505" s="20" t="s">
        <v>28</v>
      </c>
      <c r="E505" s="20" t="s">
        <v>15</v>
      </c>
      <c r="F505" s="20">
        <v>2038.67</v>
      </c>
      <c r="G505" s="11">
        <f>VLOOKUP(A505,'Operational Data'!$A$2:$E$201,3,FALSE)</f>
        <v>53942</v>
      </c>
      <c r="H505" s="11">
        <f>VLOOKUP(A505,'Operational Data'!$A$2:$E$201,4,FALSE)</f>
        <v>5904.31</v>
      </c>
      <c r="I505" s="11">
        <f>VLOOKUP(A505,'Operational Data'!$A$2:$E$201,5,FALSE)</f>
        <v>32.78</v>
      </c>
      <c r="J505" s="21">
        <f t="shared" si="7"/>
        <v>3.7793741425976052E-2</v>
      </c>
    </row>
    <row r="506" spans="1:10" x14ac:dyDescent="0.25">
      <c r="A506" s="20" t="s">
        <v>151</v>
      </c>
      <c r="B506" s="20" t="s">
        <v>12</v>
      </c>
      <c r="C506" s="20" t="s">
        <v>23</v>
      </c>
      <c r="D506" s="20" t="s">
        <v>14</v>
      </c>
      <c r="E506" s="20" t="s">
        <v>10</v>
      </c>
      <c r="F506" s="20">
        <v>1823.3</v>
      </c>
      <c r="G506" s="11">
        <f>VLOOKUP(A506,'Operational Data'!$A$2:$E$201,3,FALSE)</f>
        <v>61207</v>
      </c>
      <c r="H506" s="11">
        <f>VLOOKUP(A506,'Operational Data'!$A$2:$E$201,4,FALSE)</f>
        <v>6922.33</v>
      </c>
      <c r="I506" s="11">
        <f>VLOOKUP(A506,'Operational Data'!$A$2:$E$201,5,FALSE)</f>
        <v>9.1999999999999993</v>
      </c>
      <c r="J506" s="21">
        <f t="shared" si="7"/>
        <v>2.9789076412828599E-2</v>
      </c>
    </row>
    <row r="507" spans="1:10" x14ac:dyDescent="0.25">
      <c r="A507" s="20" t="s">
        <v>204</v>
      </c>
      <c r="B507" s="20" t="s">
        <v>30</v>
      </c>
      <c r="C507" s="20" t="s">
        <v>8</v>
      </c>
      <c r="D507" s="20" t="s">
        <v>9</v>
      </c>
      <c r="E507" s="20" t="s">
        <v>10</v>
      </c>
      <c r="F507" s="20">
        <v>380.59776870000002</v>
      </c>
      <c r="G507" s="11">
        <f>VLOOKUP(A507,'Operational Data'!$A$2:$E$201,3,FALSE)</f>
        <v>36423</v>
      </c>
      <c r="H507" s="11">
        <f>VLOOKUP(A507,'Operational Data'!$A$2:$E$201,4,FALSE)</f>
        <v>589.96</v>
      </c>
      <c r="I507" s="11">
        <f>VLOOKUP(A507,'Operational Data'!$A$2:$E$201,5,FALSE)</f>
        <v>30.9</v>
      </c>
      <c r="J507" s="21">
        <f t="shared" si="7"/>
        <v>1.0449380026356973E-2</v>
      </c>
    </row>
    <row r="508" spans="1:10" x14ac:dyDescent="0.25">
      <c r="A508" s="20" t="s">
        <v>189</v>
      </c>
      <c r="B508" s="20" t="s">
        <v>19</v>
      </c>
      <c r="C508" s="20" t="s">
        <v>13</v>
      </c>
      <c r="D508" s="20" t="s">
        <v>28</v>
      </c>
      <c r="E508" s="20" t="s">
        <v>15</v>
      </c>
      <c r="F508" s="20">
        <v>3069.63</v>
      </c>
      <c r="G508" s="11">
        <f>VLOOKUP(A508,'Operational Data'!$A$2:$E$201,3,FALSE)</f>
        <v>27681</v>
      </c>
      <c r="H508" s="11">
        <f>VLOOKUP(A508,'Operational Data'!$A$2:$E$201,4,FALSE)</f>
        <v>928.26</v>
      </c>
      <c r="I508" s="11">
        <f>VLOOKUP(A508,'Operational Data'!$A$2:$E$201,5,FALSE)</f>
        <v>44.97</v>
      </c>
      <c r="J508" s="21">
        <f t="shared" si="7"/>
        <v>0.1108930313211228</v>
      </c>
    </row>
    <row r="509" spans="1:10" x14ac:dyDescent="0.25">
      <c r="A509" s="20" t="s">
        <v>121</v>
      </c>
      <c r="B509" s="20" t="s">
        <v>30</v>
      </c>
      <c r="C509" s="20" t="s">
        <v>8</v>
      </c>
      <c r="D509" s="20" t="s">
        <v>28</v>
      </c>
      <c r="E509" s="20" t="s">
        <v>15</v>
      </c>
      <c r="F509" s="20">
        <v>1532.06</v>
      </c>
      <c r="G509" s="11">
        <f>VLOOKUP(A509,'Operational Data'!$A$2:$E$201,3,FALSE)</f>
        <v>58895</v>
      </c>
      <c r="H509" s="11">
        <f>VLOOKUP(A509,'Operational Data'!$A$2:$E$201,4,FALSE)</f>
        <v>3039.17</v>
      </c>
      <c r="I509" s="11">
        <f>VLOOKUP(A509,'Operational Data'!$A$2:$E$201,5,FALSE)</f>
        <v>59.82</v>
      </c>
      <c r="J509" s="21">
        <f t="shared" si="7"/>
        <v>2.6013413702351641E-2</v>
      </c>
    </row>
    <row r="510" spans="1:10" x14ac:dyDescent="0.25">
      <c r="A510" s="20" t="s">
        <v>125</v>
      </c>
      <c r="B510" s="20" t="s">
        <v>7</v>
      </c>
      <c r="C510" s="20" t="s">
        <v>8</v>
      </c>
      <c r="D510" s="20" t="s">
        <v>28</v>
      </c>
      <c r="E510" s="20" t="s">
        <v>10</v>
      </c>
      <c r="F510" s="20">
        <v>3269.38</v>
      </c>
      <c r="G510" s="11">
        <f>VLOOKUP(A510,'Operational Data'!$A$2:$E$201,3,FALSE)</f>
        <v>56392</v>
      </c>
      <c r="H510" s="11">
        <f>VLOOKUP(A510,'Operational Data'!$A$2:$E$201,4,FALSE)</f>
        <v>5703.76</v>
      </c>
      <c r="I510" s="11">
        <f>VLOOKUP(A510,'Operational Data'!$A$2:$E$201,5,FALSE)</f>
        <v>23.04</v>
      </c>
      <c r="J510" s="21">
        <f t="shared" si="7"/>
        <v>5.7975954036033485E-2</v>
      </c>
    </row>
    <row r="511" spans="1:10" x14ac:dyDescent="0.25">
      <c r="A511" s="20" t="s">
        <v>75</v>
      </c>
      <c r="B511" s="20" t="s">
        <v>19</v>
      </c>
      <c r="C511" s="20" t="s">
        <v>8</v>
      </c>
      <c r="D511" s="20" t="s">
        <v>9</v>
      </c>
      <c r="E511" s="20" t="s">
        <v>10</v>
      </c>
      <c r="F511" s="20">
        <v>2397.750059</v>
      </c>
      <c r="G511" s="11">
        <f>VLOOKUP(A511,'Operational Data'!$A$2:$E$201,3,FALSE)</f>
        <v>54136</v>
      </c>
      <c r="H511" s="11">
        <f>VLOOKUP(A511,'Operational Data'!$A$2:$E$201,4,FALSE)</f>
        <v>2775.38</v>
      </c>
      <c r="I511" s="11">
        <f>VLOOKUP(A511,'Operational Data'!$A$2:$E$201,5,FALSE)</f>
        <v>75.459999999999994</v>
      </c>
      <c r="J511" s="21">
        <f t="shared" si="7"/>
        <v>4.4291230585931728E-2</v>
      </c>
    </row>
    <row r="512" spans="1:10" ht="30" x14ac:dyDescent="0.25">
      <c r="A512" s="20" t="s">
        <v>58</v>
      </c>
      <c r="B512" s="20" t="s">
        <v>17</v>
      </c>
      <c r="C512" s="20" t="s">
        <v>34</v>
      </c>
      <c r="D512" s="20" t="s">
        <v>14</v>
      </c>
      <c r="E512" s="20" t="s">
        <v>10</v>
      </c>
      <c r="F512" s="20">
        <v>1104.3599999999999</v>
      </c>
      <c r="G512" s="11">
        <f>VLOOKUP(A512,'Operational Data'!$A$2:$E$201,3,FALSE)</f>
        <v>32246</v>
      </c>
      <c r="H512" s="11">
        <f>VLOOKUP(A512,'Operational Data'!$A$2:$E$201,4,FALSE)</f>
        <v>7903.93</v>
      </c>
      <c r="I512" s="11">
        <f>VLOOKUP(A512,'Operational Data'!$A$2:$E$201,5,FALSE)</f>
        <v>42.12</v>
      </c>
      <c r="J512" s="21">
        <f t="shared" si="7"/>
        <v>3.4247968740308873E-2</v>
      </c>
    </row>
    <row r="513" spans="1:10" ht="30" x14ac:dyDescent="0.25">
      <c r="A513" s="20" t="s">
        <v>89</v>
      </c>
      <c r="B513" s="20" t="s">
        <v>17</v>
      </c>
      <c r="C513" s="20" t="s">
        <v>8</v>
      </c>
      <c r="D513" s="20" t="s">
        <v>9</v>
      </c>
      <c r="E513" s="20" t="s">
        <v>24</v>
      </c>
      <c r="F513" s="20">
        <v>5406.2894820000001</v>
      </c>
      <c r="G513" s="11">
        <f>VLOOKUP(A513,'Operational Data'!$A$2:$E$201,3,FALSE)</f>
        <v>36171</v>
      </c>
      <c r="H513" s="11">
        <f>VLOOKUP(A513,'Operational Data'!$A$2:$E$201,4,FALSE)</f>
        <v>6864.38</v>
      </c>
      <c r="I513" s="11">
        <f>VLOOKUP(A513,'Operational Data'!$A$2:$E$201,5,FALSE)</f>
        <v>37.03</v>
      </c>
      <c r="J513" s="21">
        <f t="shared" si="7"/>
        <v>0.14946475026955297</v>
      </c>
    </row>
    <row r="514" spans="1:10" x14ac:dyDescent="0.25">
      <c r="A514" s="20" t="s">
        <v>97</v>
      </c>
      <c r="B514" s="20" t="s">
        <v>7</v>
      </c>
      <c r="C514" s="20" t="s">
        <v>8</v>
      </c>
      <c r="D514" s="20" t="s">
        <v>28</v>
      </c>
      <c r="E514" s="20" t="s">
        <v>15</v>
      </c>
      <c r="F514" s="20">
        <v>2419.31</v>
      </c>
      <c r="G514" s="11">
        <f>VLOOKUP(A514,'Operational Data'!$A$2:$E$201,3,FALSE)</f>
        <v>78624</v>
      </c>
      <c r="H514" s="11">
        <f>VLOOKUP(A514,'Operational Data'!$A$2:$E$201,4,FALSE)</f>
        <v>2373.27</v>
      </c>
      <c r="I514" s="11">
        <f>VLOOKUP(A514,'Operational Data'!$A$2:$E$201,5,FALSE)</f>
        <v>25.07</v>
      </c>
      <c r="J514" s="21">
        <f t="shared" si="7"/>
        <v>3.0770629833129833E-2</v>
      </c>
    </row>
    <row r="515" spans="1:10" x14ac:dyDescent="0.25">
      <c r="A515" s="20" t="s">
        <v>153</v>
      </c>
      <c r="B515" s="20" t="s">
        <v>7</v>
      </c>
      <c r="C515" s="20" t="s">
        <v>34</v>
      </c>
      <c r="D515" s="20" t="s">
        <v>9</v>
      </c>
      <c r="E515" s="20" t="s">
        <v>24</v>
      </c>
      <c r="F515" s="20">
        <v>1984.2661450000001</v>
      </c>
      <c r="G515" s="11">
        <f>VLOOKUP(A515,'Operational Data'!$A$2:$E$201,3,FALSE)</f>
        <v>21388</v>
      </c>
      <c r="H515" s="11">
        <f>VLOOKUP(A515,'Operational Data'!$A$2:$E$201,4,FALSE)</f>
        <v>5249.39</v>
      </c>
      <c r="I515" s="11">
        <f>VLOOKUP(A515,'Operational Data'!$A$2:$E$201,5,FALSE)</f>
        <v>64.2</v>
      </c>
      <c r="J515" s="21">
        <f t="shared" ref="J515:J578" si="8">F515/G515</f>
        <v>9.2774740274920525E-2</v>
      </c>
    </row>
    <row r="516" spans="1:10" x14ac:dyDescent="0.25">
      <c r="A516" s="20" t="s">
        <v>74</v>
      </c>
      <c r="B516" s="20" t="s">
        <v>19</v>
      </c>
      <c r="C516" s="20" t="s">
        <v>13</v>
      </c>
      <c r="D516" s="20" t="s">
        <v>28</v>
      </c>
      <c r="E516" s="20" t="s">
        <v>15</v>
      </c>
      <c r="F516" s="20">
        <v>2554.5100000000002</v>
      </c>
      <c r="G516" s="11">
        <f>VLOOKUP(A516,'Operational Data'!$A$2:$E$201,3,FALSE)</f>
        <v>18175</v>
      </c>
      <c r="H516" s="11">
        <f>VLOOKUP(A516,'Operational Data'!$A$2:$E$201,4,FALSE)</f>
        <v>8349.49</v>
      </c>
      <c r="I516" s="11">
        <f>VLOOKUP(A516,'Operational Data'!$A$2:$E$201,5,FALSE)</f>
        <v>39.97</v>
      </c>
      <c r="J516" s="21">
        <f t="shared" si="8"/>
        <v>0.14055075653370014</v>
      </c>
    </row>
    <row r="517" spans="1:10" x14ac:dyDescent="0.25">
      <c r="A517" s="20" t="s">
        <v>193</v>
      </c>
      <c r="B517" s="20" t="s">
        <v>12</v>
      </c>
      <c r="C517" s="20" t="s">
        <v>23</v>
      </c>
      <c r="D517" s="20" t="s">
        <v>14</v>
      </c>
      <c r="E517" s="20" t="s">
        <v>10</v>
      </c>
      <c r="F517" s="20">
        <v>2087.4</v>
      </c>
      <c r="G517" s="11">
        <f>VLOOKUP(A517,'Operational Data'!$A$2:$E$201,3,FALSE)</f>
        <v>13333</v>
      </c>
      <c r="H517" s="11">
        <f>VLOOKUP(A517,'Operational Data'!$A$2:$E$201,4,FALSE)</f>
        <v>6102.15</v>
      </c>
      <c r="I517" s="11">
        <f>VLOOKUP(A517,'Operational Data'!$A$2:$E$201,5,FALSE)</f>
        <v>17.670000000000002</v>
      </c>
      <c r="J517" s="21">
        <f t="shared" si="8"/>
        <v>0.15655891397284932</v>
      </c>
    </row>
    <row r="518" spans="1:10" x14ac:dyDescent="0.25">
      <c r="A518" s="20" t="s">
        <v>121</v>
      </c>
      <c r="B518" s="20" t="s">
        <v>30</v>
      </c>
      <c r="C518" s="20" t="s">
        <v>34</v>
      </c>
      <c r="D518" s="20" t="s">
        <v>28</v>
      </c>
      <c r="E518" s="20" t="s">
        <v>15</v>
      </c>
      <c r="F518" s="20">
        <v>3785.96</v>
      </c>
      <c r="G518" s="11">
        <f>VLOOKUP(A518,'Operational Data'!$A$2:$E$201,3,FALSE)</f>
        <v>58895</v>
      </c>
      <c r="H518" s="11">
        <f>VLOOKUP(A518,'Operational Data'!$A$2:$E$201,4,FALSE)</f>
        <v>3039.17</v>
      </c>
      <c r="I518" s="11">
        <f>VLOOKUP(A518,'Operational Data'!$A$2:$E$201,5,FALSE)</f>
        <v>59.82</v>
      </c>
      <c r="J518" s="21">
        <f t="shared" si="8"/>
        <v>6.4283215892690385E-2</v>
      </c>
    </row>
    <row r="519" spans="1:10" x14ac:dyDescent="0.25">
      <c r="A519" s="20" t="s">
        <v>110</v>
      </c>
      <c r="B519" s="20" t="s">
        <v>12</v>
      </c>
      <c r="C519" s="20" t="s">
        <v>23</v>
      </c>
      <c r="D519" s="20" t="s">
        <v>14</v>
      </c>
      <c r="E519" s="20" t="s">
        <v>15</v>
      </c>
      <c r="F519" s="20">
        <v>4818.79</v>
      </c>
      <c r="G519" s="11">
        <f>VLOOKUP(A519,'Operational Data'!$A$2:$E$201,3,FALSE)</f>
        <v>70481</v>
      </c>
      <c r="H519" s="11">
        <f>VLOOKUP(A519,'Operational Data'!$A$2:$E$201,4,FALSE)</f>
        <v>4452.83</v>
      </c>
      <c r="I519" s="11">
        <f>VLOOKUP(A519,'Operational Data'!$A$2:$E$201,5,FALSE)</f>
        <v>91.26</v>
      </c>
      <c r="J519" s="21">
        <f t="shared" si="8"/>
        <v>6.8370057178530383E-2</v>
      </c>
    </row>
    <row r="520" spans="1:10" x14ac:dyDescent="0.25">
      <c r="A520" s="20" t="s">
        <v>105</v>
      </c>
      <c r="B520" s="20" t="s">
        <v>30</v>
      </c>
      <c r="C520" s="20" t="s">
        <v>13</v>
      </c>
      <c r="D520" s="20" t="s">
        <v>14</v>
      </c>
      <c r="E520" s="20" t="s">
        <v>15</v>
      </c>
      <c r="F520" s="20">
        <v>4888.34</v>
      </c>
      <c r="G520" s="11">
        <f>VLOOKUP(A520,'Operational Data'!$A$2:$E$201,3,FALSE)</f>
        <v>87337</v>
      </c>
      <c r="H520" s="11">
        <f>VLOOKUP(A520,'Operational Data'!$A$2:$E$201,4,FALSE)</f>
        <v>3603.06</v>
      </c>
      <c r="I520" s="11">
        <f>VLOOKUP(A520,'Operational Data'!$A$2:$E$201,5,FALSE)</f>
        <v>67.13</v>
      </c>
      <c r="J520" s="21">
        <f t="shared" si="8"/>
        <v>5.597100885077344E-2</v>
      </c>
    </row>
    <row r="521" spans="1:10" ht="30" x14ac:dyDescent="0.25">
      <c r="A521" s="20" t="s">
        <v>16</v>
      </c>
      <c r="B521" s="20" t="s">
        <v>17</v>
      </c>
      <c r="C521" s="20" t="s">
        <v>34</v>
      </c>
      <c r="D521" s="20" t="s">
        <v>14</v>
      </c>
      <c r="E521" s="20" t="s">
        <v>15</v>
      </c>
      <c r="F521" s="20">
        <v>3595.37</v>
      </c>
      <c r="G521" s="11">
        <f>VLOOKUP(A521,'Operational Data'!$A$2:$E$201,3,FALSE)</f>
        <v>43512</v>
      </c>
      <c r="H521" s="11">
        <f>VLOOKUP(A521,'Operational Data'!$A$2:$E$201,4,FALSE)</f>
        <v>5352.18</v>
      </c>
      <c r="I521" s="11">
        <f>VLOOKUP(A521,'Operational Data'!$A$2:$E$201,5,FALSE)</f>
        <v>6.17</v>
      </c>
      <c r="J521" s="21">
        <f t="shared" si="8"/>
        <v>8.2629389593675301E-2</v>
      </c>
    </row>
    <row r="522" spans="1:10" x14ac:dyDescent="0.25">
      <c r="A522" s="20" t="s">
        <v>109</v>
      </c>
      <c r="B522" s="20" t="s">
        <v>12</v>
      </c>
      <c r="C522" s="20" t="s">
        <v>34</v>
      </c>
      <c r="D522" s="20" t="s">
        <v>14</v>
      </c>
      <c r="E522" s="20" t="s">
        <v>10</v>
      </c>
      <c r="F522" s="20">
        <v>4258.79</v>
      </c>
      <c r="G522" s="11">
        <f>VLOOKUP(A522,'Operational Data'!$A$2:$E$201,3,FALSE)</f>
        <v>84721</v>
      </c>
      <c r="H522" s="11">
        <f>VLOOKUP(A522,'Operational Data'!$A$2:$E$201,4,FALSE)</f>
        <v>2278.9699999999998</v>
      </c>
      <c r="I522" s="11">
        <f>VLOOKUP(A522,'Operational Data'!$A$2:$E$201,5,FALSE)</f>
        <v>68.53</v>
      </c>
      <c r="J522" s="21">
        <f t="shared" si="8"/>
        <v>5.026841042952751E-2</v>
      </c>
    </row>
    <row r="523" spans="1:10" x14ac:dyDescent="0.25">
      <c r="A523" s="20" t="s">
        <v>186</v>
      </c>
      <c r="B523" s="20" t="s">
        <v>30</v>
      </c>
      <c r="C523" s="20" t="s">
        <v>34</v>
      </c>
      <c r="D523" s="20" t="s">
        <v>28</v>
      </c>
      <c r="E523" s="20" t="s">
        <v>15</v>
      </c>
      <c r="F523" s="20">
        <v>2679.07</v>
      </c>
      <c r="G523" s="11">
        <f>VLOOKUP(A523,'Operational Data'!$A$2:$E$201,3,FALSE)</f>
        <v>85868</v>
      </c>
      <c r="H523" s="11">
        <f>VLOOKUP(A523,'Operational Data'!$A$2:$E$201,4,FALSE)</f>
        <v>907.72</v>
      </c>
      <c r="I523" s="11">
        <f>VLOOKUP(A523,'Operational Data'!$A$2:$E$201,5,FALSE)</f>
        <v>90.36</v>
      </c>
      <c r="J523" s="21">
        <f t="shared" si="8"/>
        <v>3.1199864908929988E-2</v>
      </c>
    </row>
    <row r="524" spans="1:10" x14ac:dyDescent="0.25">
      <c r="A524" s="20" t="s">
        <v>53</v>
      </c>
      <c r="B524" s="20" t="s">
        <v>7</v>
      </c>
      <c r="C524" s="20" t="s">
        <v>8</v>
      </c>
      <c r="D524" s="20" t="s">
        <v>28</v>
      </c>
      <c r="E524" s="20" t="s">
        <v>24</v>
      </c>
      <c r="F524" s="20">
        <v>3884.75</v>
      </c>
      <c r="G524" s="11">
        <f>VLOOKUP(A524,'Operational Data'!$A$2:$E$201,3,FALSE)</f>
        <v>90632</v>
      </c>
      <c r="H524" s="11">
        <f>VLOOKUP(A524,'Operational Data'!$A$2:$E$201,4,FALSE)</f>
        <v>5292.17</v>
      </c>
      <c r="I524" s="11">
        <f>VLOOKUP(A524,'Operational Data'!$A$2:$E$201,5,FALSE)</f>
        <v>78.45</v>
      </c>
      <c r="J524" s="21">
        <f t="shared" si="8"/>
        <v>4.2862896107335159E-2</v>
      </c>
    </row>
    <row r="525" spans="1:10" x14ac:dyDescent="0.25">
      <c r="A525" s="20" t="s">
        <v>52</v>
      </c>
      <c r="B525" s="20" t="s">
        <v>19</v>
      </c>
      <c r="C525" s="20" t="s">
        <v>34</v>
      </c>
      <c r="D525" s="20" t="s">
        <v>28</v>
      </c>
      <c r="E525" s="20" t="s">
        <v>24</v>
      </c>
      <c r="F525" s="20">
        <v>3771</v>
      </c>
      <c r="G525" s="11">
        <f>VLOOKUP(A525,'Operational Data'!$A$2:$E$201,3,FALSE)</f>
        <v>94949</v>
      </c>
      <c r="H525" s="11">
        <f>VLOOKUP(A525,'Operational Data'!$A$2:$E$201,4,FALSE)</f>
        <v>9714.76</v>
      </c>
      <c r="I525" s="11">
        <f>VLOOKUP(A525,'Operational Data'!$A$2:$E$201,5,FALSE)</f>
        <v>64.900000000000006</v>
      </c>
      <c r="J525" s="21">
        <f t="shared" si="8"/>
        <v>3.9716058094345384E-2</v>
      </c>
    </row>
    <row r="526" spans="1:10" x14ac:dyDescent="0.25">
      <c r="A526" s="20" t="s">
        <v>152</v>
      </c>
      <c r="B526" s="20" t="s">
        <v>30</v>
      </c>
      <c r="C526" s="20" t="s">
        <v>8</v>
      </c>
      <c r="D526" s="20" t="s">
        <v>9</v>
      </c>
      <c r="E526" s="20" t="s">
        <v>10</v>
      </c>
      <c r="F526" s="20">
        <v>3711.3889049999998</v>
      </c>
      <c r="G526" s="11">
        <f>VLOOKUP(A526,'Operational Data'!$A$2:$E$201,3,FALSE)</f>
        <v>21914</v>
      </c>
      <c r="H526" s="11">
        <f>VLOOKUP(A526,'Operational Data'!$A$2:$E$201,4,FALSE)</f>
        <v>5897.27</v>
      </c>
      <c r="I526" s="11">
        <f>VLOOKUP(A526,'Operational Data'!$A$2:$E$201,5,FALSE)</f>
        <v>49.41</v>
      </c>
      <c r="J526" s="21">
        <f t="shared" si="8"/>
        <v>0.16936154535913114</v>
      </c>
    </row>
    <row r="527" spans="1:10" x14ac:dyDescent="0.25">
      <c r="A527" s="20" t="s">
        <v>74</v>
      </c>
      <c r="B527" s="20" t="s">
        <v>19</v>
      </c>
      <c r="C527" s="20" t="s">
        <v>34</v>
      </c>
      <c r="D527" s="20" t="s">
        <v>14</v>
      </c>
      <c r="E527" s="20" t="s">
        <v>15</v>
      </c>
      <c r="F527" s="20">
        <v>506.34</v>
      </c>
      <c r="G527" s="11">
        <f>VLOOKUP(A527,'Operational Data'!$A$2:$E$201,3,FALSE)</f>
        <v>18175</v>
      </c>
      <c r="H527" s="11">
        <f>VLOOKUP(A527,'Operational Data'!$A$2:$E$201,4,FALSE)</f>
        <v>8349.49</v>
      </c>
      <c r="I527" s="11">
        <f>VLOOKUP(A527,'Operational Data'!$A$2:$E$201,5,FALSE)</f>
        <v>39.97</v>
      </c>
      <c r="J527" s="21">
        <f t="shared" si="8"/>
        <v>2.785914718019257E-2</v>
      </c>
    </row>
    <row r="528" spans="1:10" x14ac:dyDescent="0.25">
      <c r="A528" s="20" t="s">
        <v>67</v>
      </c>
      <c r="B528" s="20" t="s">
        <v>7</v>
      </c>
      <c r="C528" s="20" t="s">
        <v>8</v>
      </c>
      <c r="D528" s="20" t="s">
        <v>9</v>
      </c>
      <c r="E528" s="20" t="s">
        <v>10</v>
      </c>
      <c r="F528" s="20">
        <v>2868.75</v>
      </c>
      <c r="G528" s="11">
        <f>VLOOKUP(A528,'Operational Data'!$A$2:$E$201,3,FALSE)</f>
        <v>70582</v>
      </c>
      <c r="H528" s="11">
        <f>VLOOKUP(A528,'Operational Data'!$A$2:$E$201,4,FALSE)</f>
        <v>7517.59</v>
      </c>
      <c r="I528" s="11">
        <f>VLOOKUP(A528,'Operational Data'!$A$2:$E$201,5,FALSE)</f>
        <v>95.71</v>
      </c>
      <c r="J528" s="21">
        <f t="shared" si="8"/>
        <v>4.0644215239012779E-2</v>
      </c>
    </row>
    <row r="529" spans="1:10" x14ac:dyDescent="0.25">
      <c r="A529" s="20" t="s">
        <v>180</v>
      </c>
      <c r="B529" s="20" t="s">
        <v>30</v>
      </c>
      <c r="C529" s="20" t="s">
        <v>13</v>
      </c>
      <c r="D529" s="20" t="s">
        <v>28</v>
      </c>
      <c r="E529" s="20" t="s">
        <v>15</v>
      </c>
      <c r="F529" s="20">
        <v>4633.6899999999996</v>
      </c>
      <c r="G529" s="11">
        <f>VLOOKUP(A529,'Operational Data'!$A$2:$E$201,3,FALSE)</f>
        <v>72846</v>
      </c>
      <c r="H529" s="11">
        <f>VLOOKUP(A529,'Operational Data'!$A$2:$E$201,4,FALSE)</f>
        <v>5169.53</v>
      </c>
      <c r="I529" s="11">
        <f>VLOOKUP(A529,'Operational Data'!$A$2:$E$201,5,FALSE)</f>
        <v>76.709999999999994</v>
      </c>
      <c r="J529" s="21">
        <f t="shared" si="8"/>
        <v>6.3609395162397386E-2</v>
      </c>
    </row>
    <row r="530" spans="1:10" x14ac:dyDescent="0.25">
      <c r="A530" s="20" t="s">
        <v>63</v>
      </c>
      <c r="B530" s="20" t="s">
        <v>12</v>
      </c>
      <c r="C530" s="20" t="s">
        <v>23</v>
      </c>
      <c r="D530" s="20" t="s">
        <v>28</v>
      </c>
      <c r="E530" s="20" t="s">
        <v>15</v>
      </c>
      <c r="F530" s="20">
        <v>822.11</v>
      </c>
      <c r="G530" s="11">
        <f>VLOOKUP(A530,'Operational Data'!$A$2:$E$201,3,FALSE)</f>
        <v>33688</v>
      </c>
      <c r="H530" s="11">
        <f>VLOOKUP(A530,'Operational Data'!$A$2:$E$201,4,FALSE)</f>
        <v>9495.48</v>
      </c>
      <c r="I530" s="11">
        <f>VLOOKUP(A530,'Operational Data'!$A$2:$E$201,5,FALSE)</f>
        <v>55.55</v>
      </c>
      <c r="J530" s="21">
        <f t="shared" si="8"/>
        <v>2.4403645214913321E-2</v>
      </c>
    </row>
    <row r="531" spans="1:10" x14ac:dyDescent="0.25">
      <c r="A531" s="20" t="s">
        <v>119</v>
      </c>
      <c r="B531" s="20" t="s">
        <v>30</v>
      </c>
      <c r="C531" s="20" t="s">
        <v>34</v>
      </c>
      <c r="D531" s="20" t="s">
        <v>28</v>
      </c>
      <c r="E531" s="20" t="s">
        <v>24</v>
      </c>
      <c r="F531" s="20">
        <v>381.04</v>
      </c>
      <c r="G531" s="11">
        <f>VLOOKUP(A531,'Operational Data'!$A$2:$E$201,3,FALSE)</f>
        <v>80488</v>
      </c>
      <c r="H531" s="11">
        <f>VLOOKUP(A531,'Operational Data'!$A$2:$E$201,4,FALSE)</f>
        <v>7629.95</v>
      </c>
      <c r="I531" s="11">
        <f>VLOOKUP(A531,'Operational Data'!$A$2:$E$201,5,FALSE)</f>
        <v>63.83</v>
      </c>
      <c r="J531" s="21">
        <f t="shared" si="8"/>
        <v>4.7341218566742871E-3</v>
      </c>
    </row>
    <row r="532" spans="1:10" x14ac:dyDescent="0.25">
      <c r="A532" s="20" t="s">
        <v>113</v>
      </c>
      <c r="B532" s="20" t="s">
        <v>30</v>
      </c>
      <c r="C532" s="20" t="s">
        <v>23</v>
      </c>
      <c r="D532" s="20" t="s">
        <v>14</v>
      </c>
      <c r="E532" s="20" t="s">
        <v>10</v>
      </c>
      <c r="F532" s="20">
        <v>4854.5</v>
      </c>
      <c r="G532" s="11">
        <f>VLOOKUP(A532,'Operational Data'!$A$2:$E$201,3,FALSE)</f>
        <v>90679</v>
      </c>
      <c r="H532" s="11">
        <f>VLOOKUP(A532,'Operational Data'!$A$2:$E$201,4,FALSE)</f>
        <v>7266.82</v>
      </c>
      <c r="I532" s="11">
        <f>VLOOKUP(A532,'Operational Data'!$A$2:$E$201,5,FALSE)</f>
        <v>23.3</v>
      </c>
      <c r="J532" s="21">
        <f t="shared" si="8"/>
        <v>5.3534997077603418E-2</v>
      </c>
    </row>
    <row r="533" spans="1:10" x14ac:dyDescent="0.25">
      <c r="A533" s="20" t="s">
        <v>38</v>
      </c>
      <c r="B533" s="20" t="s">
        <v>30</v>
      </c>
      <c r="C533" s="20" t="s">
        <v>34</v>
      </c>
      <c r="D533" s="20" t="s">
        <v>14</v>
      </c>
      <c r="E533" s="20" t="s">
        <v>10</v>
      </c>
      <c r="F533" s="20">
        <v>4069.56</v>
      </c>
      <c r="G533" s="11">
        <f>VLOOKUP(A533,'Operational Data'!$A$2:$E$201,3,FALSE)</f>
        <v>57215</v>
      </c>
      <c r="H533" s="11">
        <f>VLOOKUP(A533,'Operational Data'!$A$2:$E$201,4,FALSE)</f>
        <v>3227.1</v>
      </c>
      <c r="I533" s="11">
        <f>VLOOKUP(A533,'Operational Data'!$A$2:$E$201,5,FALSE)</f>
        <v>32.909999999999997</v>
      </c>
      <c r="J533" s="21">
        <f t="shared" si="8"/>
        <v>7.1127501529319237E-2</v>
      </c>
    </row>
    <row r="534" spans="1:10" x14ac:dyDescent="0.25">
      <c r="A534" s="20" t="s">
        <v>141</v>
      </c>
      <c r="B534" s="20" t="s">
        <v>7</v>
      </c>
      <c r="C534" s="20" t="s">
        <v>8</v>
      </c>
      <c r="D534" s="20" t="s">
        <v>28</v>
      </c>
      <c r="E534" s="20" t="s">
        <v>24</v>
      </c>
      <c r="F534" s="20">
        <v>4573.76</v>
      </c>
      <c r="G534" s="11">
        <f>VLOOKUP(A534,'Operational Data'!$A$2:$E$201,3,FALSE)</f>
        <v>45644</v>
      </c>
      <c r="H534" s="11">
        <f>VLOOKUP(A534,'Operational Data'!$A$2:$E$201,4,FALSE)</f>
        <v>7724.73</v>
      </c>
      <c r="I534" s="11">
        <f>VLOOKUP(A534,'Operational Data'!$A$2:$E$201,5,FALSE)</f>
        <v>31</v>
      </c>
      <c r="J534" s="21">
        <f t="shared" si="8"/>
        <v>0.10020506528788012</v>
      </c>
    </row>
    <row r="535" spans="1:10" x14ac:dyDescent="0.25">
      <c r="A535" s="20" t="s">
        <v>160</v>
      </c>
      <c r="B535" s="20" t="s">
        <v>30</v>
      </c>
      <c r="C535" s="20" t="s">
        <v>34</v>
      </c>
      <c r="D535" s="20" t="s">
        <v>28</v>
      </c>
      <c r="E535" s="20" t="s">
        <v>15</v>
      </c>
      <c r="F535" s="20">
        <v>202.63</v>
      </c>
      <c r="G535" s="11">
        <f>VLOOKUP(A535,'Operational Data'!$A$2:$E$201,3,FALSE)</f>
        <v>18341</v>
      </c>
      <c r="H535" s="11">
        <f>VLOOKUP(A535,'Operational Data'!$A$2:$E$201,4,FALSE)</f>
        <v>8465.57</v>
      </c>
      <c r="I535" s="11">
        <f>VLOOKUP(A535,'Operational Data'!$A$2:$E$201,5,FALSE)</f>
        <v>38.39</v>
      </c>
      <c r="J535" s="21">
        <f t="shared" si="8"/>
        <v>1.1047925413009104E-2</v>
      </c>
    </row>
    <row r="536" spans="1:10" x14ac:dyDescent="0.25">
      <c r="A536" s="20" t="s">
        <v>107</v>
      </c>
      <c r="B536" s="20" t="s">
        <v>30</v>
      </c>
      <c r="C536" s="20" t="s">
        <v>34</v>
      </c>
      <c r="D536" s="20" t="s">
        <v>14</v>
      </c>
      <c r="E536" s="20" t="s">
        <v>10</v>
      </c>
      <c r="F536" s="20">
        <v>948.57</v>
      </c>
      <c r="G536" s="11">
        <f>VLOOKUP(A536,'Operational Data'!$A$2:$E$201,3,FALSE)</f>
        <v>69305</v>
      </c>
      <c r="H536" s="11">
        <f>VLOOKUP(A536,'Operational Data'!$A$2:$E$201,4,FALSE)</f>
        <v>3203.67</v>
      </c>
      <c r="I536" s="11">
        <f>VLOOKUP(A536,'Operational Data'!$A$2:$E$201,5,FALSE)</f>
        <v>83.65</v>
      </c>
      <c r="J536" s="21">
        <f t="shared" si="8"/>
        <v>1.3686891277685593E-2</v>
      </c>
    </row>
    <row r="537" spans="1:10" x14ac:dyDescent="0.25">
      <c r="A537" s="20" t="s">
        <v>155</v>
      </c>
      <c r="B537" s="20" t="s">
        <v>7</v>
      </c>
      <c r="C537" s="20" t="s">
        <v>23</v>
      </c>
      <c r="D537" s="20" t="s">
        <v>9</v>
      </c>
      <c r="E537" s="20" t="s">
        <v>24</v>
      </c>
      <c r="F537" s="20">
        <v>1391.940732</v>
      </c>
      <c r="G537" s="11">
        <f>VLOOKUP(A537,'Operational Data'!$A$2:$E$201,3,FALSE)</f>
        <v>72224</v>
      </c>
      <c r="H537" s="11">
        <f>VLOOKUP(A537,'Operational Data'!$A$2:$E$201,4,FALSE)</f>
        <v>1613.32</v>
      </c>
      <c r="I537" s="11">
        <f>VLOOKUP(A537,'Operational Data'!$A$2:$E$201,5,FALSE)</f>
        <v>39.21</v>
      </c>
      <c r="J537" s="21">
        <f t="shared" si="8"/>
        <v>1.9272551118741692E-2</v>
      </c>
    </row>
    <row r="538" spans="1:10" x14ac:dyDescent="0.25">
      <c r="A538" s="20" t="s">
        <v>103</v>
      </c>
      <c r="B538" s="20" t="s">
        <v>19</v>
      </c>
      <c r="C538" s="20" t="s">
        <v>8</v>
      </c>
      <c r="D538" s="20" t="s">
        <v>9</v>
      </c>
      <c r="E538" s="20" t="s">
        <v>10</v>
      </c>
      <c r="F538" s="20">
        <v>262.76459319999998</v>
      </c>
      <c r="G538" s="11">
        <f>VLOOKUP(A538,'Operational Data'!$A$2:$E$201,3,FALSE)</f>
        <v>38869</v>
      </c>
      <c r="H538" s="11">
        <f>VLOOKUP(A538,'Operational Data'!$A$2:$E$201,4,FALSE)</f>
        <v>5109.76</v>
      </c>
      <c r="I538" s="11">
        <f>VLOOKUP(A538,'Operational Data'!$A$2:$E$201,5,FALSE)</f>
        <v>35.270000000000003</v>
      </c>
      <c r="J538" s="21">
        <f t="shared" si="8"/>
        <v>6.7602612158789779E-3</v>
      </c>
    </row>
    <row r="539" spans="1:10" x14ac:dyDescent="0.25">
      <c r="A539" s="20" t="s">
        <v>53</v>
      </c>
      <c r="B539" s="20" t="s">
        <v>7</v>
      </c>
      <c r="C539" s="20" t="s">
        <v>23</v>
      </c>
      <c r="D539" s="20" t="s">
        <v>28</v>
      </c>
      <c r="E539" s="20" t="s">
        <v>24</v>
      </c>
      <c r="F539" s="20">
        <v>1987.36</v>
      </c>
      <c r="G539" s="11">
        <f>VLOOKUP(A539,'Operational Data'!$A$2:$E$201,3,FALSE)</f>
        <v>90632</v>
      </c>
      <c r="H539" s="11">
        <f>VLOOKUP(A539,'Operational Data'!$A$2:$E$201,4,FALSE)</f>
        <v>5292.17</v>
      </c>
      <c r="I539" s="11">
        <f>VLOOKUP(A539,'Operational Data'!$A$2:$E$201,5,FALSE)</f>
        <v>78.45</v>
      </c>
      <c r="J539" s="21">
        <f t="shared" si="8"/>
        <v>2.1927795921970163E-2</v>
      </c>
    </row>
    <row r="540" spans="1:10" x14ac:dyDescent="0.25">
      <c r="A540" s="20" t="s">
        <v>178</v>
      </c>
      <c r="B540" s="20" t="s">
        <v>30</v>
      </c>
      <c r="C540" s="20" t="s">
        <v>34</v>
      </c>
      <c r="D540" s="20" t="s">
        <v>14</v>
      </c>
      <c r="E540" s="20" t="s">
        <v>10</v>
      </c>
      <c r="F540" s="20">
        <v>4710.57</v>
      </c>
      <c r="G540" s="11">
        <f>VLOOKUP(A540,'Operational Data'!$A$2:$E$201,3,FALSE)</f>
        <v>88188</v>
      </c>
      <c r="H540" s="11">
        <f>VLOOKUP(A540,'Operational Data'!$A$2:$E$201,4,FALSE)</f>
        <v>815.86</v>
      </c>
      <c r="I540" s="11">
        <f>VLOOKUP(A540,'Operational Data'!$A$2:$E$201,5,FALSE)</f>
        <v>57.53</v>
      </c>
      <c r="J540" s="21">
        <f t="shared" si="8"/>
        <v>5.3415090488501835E-2</v>
      </c>
    </row>
    <row r="541" spans="1:10" x14ac:dyDescent="0.25">
      <c r="A541" s="20" t="s">
        <v>135</v>
      </c>
      <c r="B541" s="20" t="s">
        <v>12</v>
      </c>
      <c r="C541" s="20" t="s">
        <v>23</v>
      </c>
      <c r="D541" s="20" t="s">
        <v>9</v>
      </c>
      <c r="E541" s="20" t="s">
        <v>15</v>
      </c>
      <c r="F541" s="20">
        <v>897.12</v>
      </c>
      <c r="G541" s="11">
        <f>VLOOKUP(A541,'Operational Data'!$A$2:$E$201,3,FALSE)</f>
        <v>39560</v>
      </c>
      <c r="H541" s="11">
        <f>VLOOKUP(A541,'Operational Data'!$A$2:$E$201,4,FALSE)</f>
        <v>8380.77</v>
      </c>
      <c r="I541" s="11">
        <f>VLOOKUP(A541,'Operational Data'!$A$2:$E$201,5,FALSE)</f>
        <v>94.01</v>
      </c>
      <c r="J541" s="21">
        <f t="shared" si="8"/>
        <v>2.2677451971688575E-2</v>
      </c>
    </row>
    <row r="542" spans="1:10" x14ac:dyDescent="0.25">
      <c r="A542" s="20" t="s">
        <v>52</v>
      </c>
      <c r="B542" s="20" t="s">
        <v>19</v>
      </c>
      <c r="C542" s="20" t="s">
        <v>8</v>
      </c>
      <c r="D542" s="20" t="s">
        <v>28</v>
      </c>
      <c r="E542" s="20" t="s">
        <v>10</v>
      </c>
      <c r="F542" s="20">
        <v>4466.1000000000004</v>
      </c>
      <c r="G542" s="11">
        <f>VLOOKUP(A542,'Operational Data'!$A$2:$E$201,3,FALSE)</f>
        <v>94949</v>
      </c>
      <c r="H542" s="11">
        <f>VLOOKUP(A542,'Operational Data'!$A$2:$E$201,4,FALSE)</f>
        <v>9714.76</v>
      </c>
      <c r="I542" s="11">
        <f>VLOOKUP(A542,'Operational Data'!$A$2:$E$201,5,FALSE)</f>
        <v>64.900000000000006</v>
      </c>
      <c r="J542" s="21">
        <f t="shared" si="8"/>
        <v>4.7036830298370705E-2</v>
      </c>
    </row>
    <row r="543" spans="1:10" x14ac:dyDescent="0.25">
      <c r="A543" s="20" t="s">
        <v>55</v>
      </c>
      <c r="B543" s="20" t="s">
        <v>12</v>
      </c>
      <c r="C543" s="20" t="s">
        <v>13</v>
      </c>
      <c r="D543" s="20" t="s">
        <v>28</v>
      </c>
      <c r="E543" s="20" t="s">
        <v>24</v>
      </c>
      <c r="F543" s="20">
        <v>4306.16</v>
      </c>
      <c r="G543" s="11">
        <f>VLOOKUP(A543,'Operational Data'!$A$2:$E$201,3,FALSE)</f>
        <v>38181</v>
      </c>
      <c r="H543" s="11">
        <f>VLOOKUP(A543,'Operational Data'!$A$2:$E$201,4,FALSE)</f>
        <v>691.84</v>
      </c>
      <c r="I543" s="11">
        <f>VLOOKUP(A543,'Operational Data'!$A$2:$E$201,5,FALSE)</f>
        <v>33.53</v>
      </c>
      <c r="J543" s="21">
        <f t="shared" si="8"/>
        <v>0.11278279772661795</v>
      </c>
    </row>
    <row r="544" spans="1:10" ht="30" x14ac:dyDescent="0.25">
      <c r="A544" s="20" t="s">
        <v>205</v>
      </c>
      <c r="B544" s="20" t="s">
        <v>17</v>
      </c>
      <c r="C544" s="20" t="s">
        <v>13</v>
      </c>
      <c r="D544" s="20" t="s">
        <v>28</v>
      </c>
      <c r="E544" s="20" t="s">
        <v>24</v>
      </c>
      <c r="F544" s="20">
        <v>3510.58</v>
      </c>
      <c r="G544" s="11">
        <f>VLOOKUP(A544,'Operational Data'!$A$2:$E$201,3,FALSE)</f>
        <v>52594</v>
      </c>
      <c r="H544" s="11">
        <f>VLOOKUP(A544,'Operational Data'!$A$2:$E$201,4,FALSE)</f>
        <v>8715.0400000000009</v>
      </c>
      <c r="I544" s="11">
        <f>VLOOKUP(A544,'Operational Data'!$A$2:$E$201,5,FALSE)</f>
        <v>90.54</v>
      </c>
      <c r="J544" s="21">
        <f t="shared" si="8"/>
        <v>6.6748678556489333E-2</v>
      </c>
    </row>
    <row r="545" spans="1:10" x14ac:dyDescent="0.25">
      <c r="A545" s="20" t="s">
        <v>50</v>
      </c>
      <c r="B545" s="20" t="s">
        <v>19</v>
      </c>
      <c r="C545" s="20" t="s">
        <v>13</v>
      </c>
      <c r="D545" s="20" t="s">
        <v>14</v>
      </c>
      <c r="E545" s="20" t="s">
        <v>24</v>
      </c>
      <c r="F545" s="20">
        <v>1053.8399999999999</v>
      </c>
      <c r="G545" s="11">
        <f>VLOOKUP(A545,'Operational Data'!$A$2:$E$201,3,FALSE)</f>
        <v>40577</v>
      </c>
      <c r="H545" s="11">
        <f>VLOOKUP(A545,'Operational Data'!$A$2:$E$201,4,FALSE)</f>
        <v>4280.82</v>
      </c>
      <c r="I545" s="11">
        <f>VLOOKUP(A545,'Operational Data'!$A$2:$E$201,5,FALSE)</f>
        <v>79.88</v>
      </c>
      <c r="J545" s="21">
        <f t="shared" si="8"/>
        <v>2.5971363087463339E-2</v>
      </c>
    </row>
    <row r="546" spans="1:10" x14ac:dyDescent="0.25">
      <c r="A546" s="20" t="s">
        <v>185</v>
      </c>
      <c r="B546" s="20" t="s">
        <v>30</v>
      </c>
      <c r="C546" s="20" t="s">
        <v>13</v>
      </c>
      <c r="D546" s="20" t="s">
        <v>14</v>
      </c>
      <c r="E546" s="20" t="s">
        <v>15</v>
      </c>
      <c r="F546" s="20">
        <v>1084.81</v>
      </c>
      <c r="G546" s="11">
        <f>VLOOKUP(A546,'Operational Data'!$A$2:$E$201,3,FALSE)</f>
        <v>24913</v>
      </c>
      <c r="H546" s="11">
        <f>VLOOKUP(A546,'Operational Data'!$A$2:$E$201,4,FALSE)</f>
        <v>5727.27</v>
      </c>
      <c r="I546" s="11">
        <f>VLOOKUP(A546,'Operational Data'!$A$2:$E$201,5,FALSE)</f>
        <v>78.849999999999994</v>
      </c>
      <c r="J546" s="21">
        <f t="shared" si="8"/>
        <v>4.3543932886444828E-2</v>
      </c>
    </row>
    <row r="547" spans="1:10" x14ac:dyDescent="0.25">
      <c r="A547" s="20" t="s">
        <v>124</v>
      </c>
      <c r="B547" s="20" t="s">
        <v>12</v>
      </c>
      <c r="C547" s="20" t="s">
        <v>34</v>
      </c>
      <c r="D547" s="20" t="s">
        <v>14</v>
      </c>
      <c r="E547" s="20" t="s">
        <v>10</v>
      </c>
      <c r="F547" s="20">
        <v>618.54</v>
      </c>
      <c r="G547" s="11">
        <f>VLOOKUP(A547,'Operational Data'!$A$2:$E$201,3,FALSE)</f>
        <v>47491</v>
      </c>
      <c r="H547" s="11">
        <f>VLOOKUP(A547,'Operational Data'!$A$2:$E$201,4,FALSE)</f>
        <v>5781.05</v>
      </c>
      <c r="I547" s="11">
        <f>VLOOKUP(A547,'Operational Data'!$A$2:$E$201,5,FALSE)</f>
        <v>92.18</v>
      </c>
      <c r="J547" s="21">
        <f t="shared" si="8"/>
        <v>1.3024362510791518E-2</v>
      </c>
    </row>
    <row r="548" spans="1:10" x14ac:dyDescent="0.25">
      <c r="A548" s="20" t="s">
        <v>138</v>
      </c>
      <c r="B548" s="20" t="s">
        <v>12</v>
      </c>
      <c r="C548" s="20" t="s">
        <v>13</v>
      </c>
      <c r="D548" s="20" t="s">
        <v>28</v>
      </c>
      <c r="E548" s="20" t="s">
        <v>24</v>
      </c>
      <c r="F548" s="20">
        <v>3730.83</v>
      </c>
      <c r="G548" s="11">
        <f>VLOOKUP(A548,'Operational Data'!$A$2:$E$201,3,FALSE)</f>
        <v>57353</v>
      </c>
      <c r="H548" s="11">
        <f>VLOOKUP(A548,'Operational Data'!$A$2:$E$201,4,FALSE)</f>
        <v>2274.71</v>
      </c>
      <c r="I548" s="11">
        <f>VLOOKUP(A548,'Operational Data'!$A$2:$E$201,5,FALSE)</f>
        <v>65.34</v>
      </c>
      <c r="J548" s="21">
        <f t="shared" si="8"/>
        <v>6.5050302512510247E-2</v>
      </c>
    </row>
    <row r="549" spans="1:10" x14ac:dyDescent="0.25">
      <c r="A549" s="20" t="s">
        <v>178</v>
      </c>
      <c r="B549" s="20" t="s">
        <v>30</v>
      </c>
      <c r="C549" s="20" t="s">
        <v>8</v>
      </c>
      <c r="D549" s="20" t="s">
        <v>9</v>
      </c>
      <c r="E549" s="20" t="s">
        <v>24</v>
      </c>
      <c r="F549" s="20">
        <v>3608.0164239999999</v>
      </c>
      <c r="G549" s="11">
        <f>VLOOKUP(A549,'Operational Data'!$A$2:$E$201,3,FALSE)</f>
        <v>88188</v>
      </c>
      <c r="H549" s="11">
        <f>VLOOKUP(A549,'Operational Data'!$A$2:$E$201,4,FALSE)</f>
        <v>815.86</v>
      </c>
      <c r="I549" s="11">
        <f>VLOOKUP(A549,'Operational Data'!$A$2:$E$201,5,FALSE)</f>
        <v>57.53</v>
      </c>
      <c r="J549" s="21">
        <f t="shared" si="8"/>
        <v>4.0912782056515627E-2</v>
      </c>
    </row>
    <row r="550" spans="1:10" ht="30" x14ac:dyDescent="0.25">
      <c r="A550" s="20" t="s">
        <v>129</v>
      </c>
      <c r="B550" s="20" t="s">
        <v>17</v>
      </c>
      <c r="C550" s="20" t="s">
        <v>34</v>
      </c>
      <c r="D550" s="20" t="s">
        <v>14</v>
      </c>
      <c r="E550" s="20" t="s">
        <v>24</v>
      </c>
      <c r="F550" s="20">
        <v>4037.93</v>
      </c>
      <c r="G550" s="11">
        <f>VLOOKUP(A550,'Operational Data'!$A$2:$E$201,3,FALSE)</f>
        <v>95292</v>
      </c>
      <c r="H550" s="11">
        <f>VLOOKUP(A550,'Operational Data'!$A$2:$E$201,4,FALSE)</f>
        <v>697.47</v>
      </c>
      <c r="I550" s="11">
        <f>VLOOKUP(A550,'Operational Data'!$A$2:$E$201,5,FALSE)</f>
        <v>88.35</v>
      </c>
      <c r="J550" s="21">
        <f t="shared" si="8"/>
        <v>4.2374281156865215E-2</v>
      </c>
    </row>
    <row r="551" spans="1:10" x14ac:dyDescent="0.25">
      <c r="A551" s="20" t="s">
        <v>35</v>
      </c>
      <c r="B551" s="20" t="s">
        <v>19</v>
      </c>
      <c r="C551" s="20" t="s">
        <v>8</v>
      </c>
      <c r="D551" s="20" t="s">
        <v>9</v>
      </c>
      <c r="E551" s="20" t="s">
        <v>24</v>
      </c>
      <c r="F551" s="20">
        <v>454.38129889999999</v>
      </c>
      <c r="G551" s="11">
        <f>VLOOKUP(A551,'Operational Data'!$A$2:$E$201,3,FALSE)</f>
        <v>42382</v>
      </c>
      <c r="H551" s="11">
        <f>VLOOKUP(A551,'Operational Data'!$A$2:$E$201,4,FALSE)</f>
        <v>5116.6899999999996</v>
      </c>
      <c r="I551" s="11">
        <f>VLOOKUP(A551,'Operational Data'!$A$2:$E$201,5,FALSE)</f>
        <v>80.42</v>
      </c>
      <c r="J551" s="21">
        <f t="shared" si="8"/>
        <v>1.0721091475154546E-2</v>
      </c>
    </row>
    <row r="552" spans="1:10" x14ac:dyDescent="0.25">
      <c r="A552" s="20" t="s">
        <v>118</v>
      </c>
      <c r="B552" s="20" t="s">
        <v>30</v>
      </c>
      <c r="C552" s="20" t="s">
        <v>34</v>
      </c>
      <c r="D552" s="20" t="s">
        <v>14</v>
      </c>
      <c r="E552" s="20" t="s">
        <v>24</v>
      </c>
      <c r="F552" s="20">
        <v>3824.73</v>
      </c>
      <c r="G552" s="11">
        <f>VLOOKUP(A552,'Operational Data'!$A$2:$E$201,3,FALSE)</f>
        <v>68492</v>
      </c>
      <c r="H552" s="11">
        <f>VLOOKUP(A552,'Operational Data'!$A$2:$E$201,4,FALSE)</f>
        <v>3533.88</v>
      </c>
      <c r="I552" s="11">
        <f>VLOOKUP(A552,'Operational Data'!$A$2:$E$201,5,FALSE)</f>
        <v>52.99</v>
      </c>
      <c r="J552" s="21">
        <f t="shared" si="8"/>
        <v>5.5841996145535248E-2</v>
      </c>
    </row>
    <row r="553" spans="1:10" ht="30" x14ac:dyDescent="0.25">
      <c r="A553" s="20" t="s">
        <v>127</v>
      </c>
      <c r="B553" s="20" t="s">
        <v>17</v>
      </c>
      <c r="C553" s="20" t="s">
        <v>23</v>
      </c>
      <c r="D553" s="20" t="s">
        <v>9</v>
      </c>
      <c r="E553" s="20" t="s">
        <v>15</v>
      </c>
      <c r="F553" s="20">
        <v>2188.666952</v>
      </c>
      <c r="G553" s="11">
        <f>VLOOKUP(A553,'Operational Data'!$A$2:$E$201,3,FALSE)</f>
        <v>17416</v>
      </c>
      <c r="H553" s="11">
        <f>VLOOKUP(A553,'Operational Data'!$A$2:$E$201,4,FALSE)</f>
        <v>812.06</v>
      </c>
      <c r="I553" s="11">
        <f>VLOOKUP(A553,'Operational Data'!$A$2:$E$201,5,FALSE)</f>
        <v>5.7</v>
      </c>
      <c r="J553" s="21">
        <f t="shared" si="8"/>
        <v>0.1256698984841525</v>
      </c>
    </row>
    <row r="554" spans="1:10" x14ac:dyDescent="0.25">
      <c r="A554" s="20" t="s">
        <v>57</v>
      </c>
      <c r="B554" s="20" t="s">
        <v>19</v>
      </c>
      <c r="C554" s="20" t="s">
        <v>23</v>
      </c>
      <c r="D554" s="20" t="s">
        <v>14</v>
      </c>
      <c r="E554" s="20" t="s">
        <v>24</v>
      </c>
      <c r="F554" s="20">
        <v>1638.41</v>
      </c>
      <c r="G554" s="11">
        <f>VLOOKUP(A554,'Operational Data'!$A$2:$E$201,3,FALSE)</f>
        <v>41027</v>
      </c>
      <c r="H554" s="11">
        <f>VLOOKUP(A554,'Operational Data'!$A$2:$E$201,4,FALSE)</f>
        <v>7285.85</v>
      </c>
      <c r="I554" s="11">
        <f>VLOOKUP(A554,'Operational Data'!$A$2:$E$201,5,FALSE)</f>
        <v>59.87</v>
      </c>
      <c r="J554" s="21">
        <f t="shared" si="8"/>
        <v>3.9934920905744999E-2</v>
      </c>
    </row>
    <row r="555" spans="1:10" x14ac:dyDescent="0.25">
      <c r="A555" s="20" t="s">
        <v>41</v>
      </c>
      <c r="B555" s="20" t="s">
        <v>30</v>
      </c>
      <c r="C555" s="20" t="s">
        <v>8</v>
      </c>
      <c r="D555" s="20" t="s">
        <v>14</v>
      </c>
      <c r="E555" s="20" t="s">
        <v>15</v>
      </c>
      <c r="F555" s="20">
        <v>4638.62</v>
      </c>
      <c r="G555" s="11">
        <f>VLOOKUP(A555,'Operational Data'!$A$2:$E$201,3,FALSE)</f>
        <v>61743</v>
      </c>
      <c r="H555" s="11">
        <f>VLOOKUP(A555,'Operational Data'!$A$2:$E$201,4,FALSE)</f>
        <v>7426.75</v>
      </c>
      <c r="I555" s="11">
        <f>VLOOKUP(A555,'Operational Data'!$A$2:$E$201,5,FALSE)</f>
        <v>26.39</v>
      </c>
      <c r="J555" s="21">
        <f t="shared" si="8"/>
        <v>7.5127868746254628E-2</v>
      </c>
    </row>
    <row r="556" spans="1:10" x14ac:dyDescent="0.25">
      <c r="A556" s="20" t="s">
        <v>21</v>
      </c>
      <c r="B556" s="20" t="s">
        <v>19</v>
      </c>
      <c r="C556" s="20" t="s">
        <v>13</v>
      </c>
      <c r="D556" s="20" t="s">
        <v>14</v>
      </c>
      <c r="E556" s="20" t="s">
        <v>15</v>
      </c>
      <c r="F556" s="20">
        <v>2700.91</v>
      </c>
      <c r="G556" s="11">
        <f>VLOOKUP(A556,'Operational Data'!$A$2:$E$201,3,FALSE)</f>
        <v>61157</v>
      </c>
      <c r="H556" s="11">
        <f>VLOOKUP(A556,'Operational Data'!$A$2:$E$201,4,FALSE)</f>
        <v>7331.54</v>
      </c>
      <c r="I556" s="11">
        <f>VLOOKUP(A556,'Operational Data'!$A$2:$E$201,5,FALSE)</f>
        <v>55.52</v>
      </c>
      <c r="J556" s="21">
        <f t="shared" si="8"/>
        <v>4.4163546282518763E-2</v>
      </c>
    </row>
    <row r="557" spans="1:10" x14ac:dyDescent="0.25">
      <c r="A557" s="20" t="s">
        <v>36</v>
      </c>
      <c r="B557" s="20" t="s">
        <v>12</v>
      </c>
      <c r="C557" s="20" t="s">
        <v>8</v>
      </c>
      <c r="D557" s="20" t="s">
        <v>14</v>
      </c>
      <c r="E557" s="20" t="s">
        <v>24</v>
      </c>
      <c r="F557" s="20">
        <v>4888.18</v>
      </c>
      <c r="G557" s="11">
        <f>VLOOKUP(A557,'Operational Data'!$A$2:$E$201,3,FALSE)</f>
        <v>40226</v>
      </c>
      <c r="H557" s="11">
        <f>VLOOKUP(A557,'Operational Data'!$A$2:$E$201,4,FALSE)</f>
        <v>7868.86</v>
      </c>
      <c r="I557" s="11">
        <f>VLOOKUP(A557,'Operational Data'!$A$2:$E$201,5,FALSE)</f>
        <v>80.53</v>
      </c>
      <c r="J557" s="21">
        <f t="shared" si="8"/>
        <v>0.12151792373092031</v>
      </c>
    </row>
    <row r="558" spans="1:10" ht="30" x14ac:dyDescent="0.25">
      <c r="A558" s="20" t="s">
        <v>79</v>
      </c>
      <c r="B558" s="20" t="s">
        <v>17</v>
      </c>
      <c r="C558" s="20" t="s">
        <v>8</v>
      </c>
      <c r="D558" s="20" t="s">
        <v>9</v>
      </c>
      <c r="E558" s="20" t="s">
        <v>10</v>
      </c>
      <c r="F558" s="20">
        <v>1395.928737</v>
      </c>
      <c r="G558" s="11">
        <f>VLOOKUP(A558,'Operational Data'!$A$2:$E$201,3,FALSE)</f>
        <v>40503</v>
      </c>
      <c r="H558" s="11">
        <f>VLOOKUP(A558,'Operational Data'!$A$2:$E$201,4,FALSE)</f>
        <v>7447.46</v>
      </c>
      <c r="I558" s="11">
        <f>VLOOKUP(A558,'Operational Data'!$A$2:$E$201,5,FALSE)</f>
        <v>98.27</v>
      </c>
      <c r="J558" s="21">
        <f t="shared" si="8"/>
        <v>3.4464823272350197E-2</v>
      </c>
    </row>
    <row r="559" spans="1:10" x14ac:dyDescent="0.25">
      <c r="A559" s="20" t="s">
        <v>186</v>
      </c>
      <c r="B559" s="20" t="s">
        <v>30</v>
      </c>
      <c r="C559" s="20" t="s">
        <v>34</v>
      </c>
      <c r="D559" s="20" t="s">
        <v>28</v>
      </c>
      <c r="E559" s="20" t="s">
        <v>24</v>
      </c>
      <c r="F559" s="20">
        <v>2978</v>
      </c>
      <c r="G559" s="11">
        <f>VLOOKUP(A559,'Operational Data'!$A$2:$E$201,3,FALSE)</f>
        <v>85868</v>
      </c>
      <c r="H559" s="11">
        <f>VLOOKUP(A559,'Operational Data'!$A$2:$E$201,4,FALSE)</f>
        <v>907.72</v>
      </c>
      <c r="I559" s="11">
        <f>VLOOKUP(A559,'Operational Data'!$A$2:$E$201,5,FALSE)</f>
        <v>90.36</v>
      </c>
      <c r="J559" s="21">
        <f t="shared" si="8"/>
        <v>3.4681138491638328E-2</v>
      </c>
    </row>
    <row r="560" spans="1:10" x14ac:dyDescent="0.25">
      <c r="A560" s="20" t="s">
        <v>183</v>
      </c>
      <c r="B560" s="20" t="s">
        <v>7</v>
      </c>
      <c r="C560" s="20" t="s">
        <v>23</v>
      </c>
      <c r="D560" s="20" t="s">
        <v>14</v>
      </c>
      <c r="E560" s="20" t="s">
        <v>10</v>
      </c>
      <c r="F560" s="20">
        <v>2047.72</v>
      </c>
      <c r="G560" s="11">
        <f>VLOOKUP(A560,'Operational Data'!$A$2:$E$201,3,FALSE)</f>
        <v>14009</v>
      </c>
      <c r="H560" s="11">
        <f>VLOOKUP(A560,'Operational Data'!$A$2:$E$201,4,FALSE)</f>
        <v>7528.98</v>
      </c>
      <c r="I560" s="11">
        <f>VLOOKUP(A560,'Operational Data'!$A$2:$E$201,5,FALSE)</f>
        <v>77.62</v>
      </c>
      <c r="J560" s="21">
        <f t="shared" si="8"/>
        <v>0.14617174673424227</v>
      </c>
    </row>
    <row r="561" spans="1:10" x14ac:dyDescent="0.25">
      <c r="A561" s="20" t="s">
        <v>206</v>
      </c>
      <c r="B561" s="20" t="s">
        <v>19</v>
      </c>
      <c r="C561" s="20" t="s">
        <v>23</v>
      </c>
      <c r="D561" s="20" t="s">
        <v>14</v>
      </c>
      <c r="E561" s="20" t="s">
        <v>15</v>
      </c>
      <c r="F561" s="20">
        <v>2384.92</v>
      </c>
      <c r="G561" s="11">
        <f>VLOOKUP(A561,'Operational Data'!$A$2:$E$201,3,FALSE)</f>
        <v>10250</v>
      </c>
      <c r="H561" s="11">
        <f>VLOOKUP(A561,'Operational Data'!$A$2:$E$201,4,FALSE)</f>
        <v>4717</v>
      </c>
      <c r="I561" s="11">
        <f>VLOOKUP(A561,'Operational Data'!$A$2:$E$201,5,FALSE)</f>
        <v>16.600000000000001</v>
      </c>
      <c r="J561" s="21">
        <f t="shared" si="8"/>
        <v>0.23267512195121953</v>
      </c>
    </row>
    <row r="562" spans="1:10" ht="30" x14ac:dyDescent="0.25">
      <c r="A562" s="20" t="s">
        <v>80</v>
      </c>
      <c r="B562" s="20" t="s">
        <v>17</v>
      </c>
      <c r="C562" s="20" t="s">
        <v>23</v>
      </c>
      <c r="D562" s="20" t="s">
        <v>9</v>
      </c>
      <c r="E562" s="20" t="s">
        <v>10</v>
      </c>
      <c r="F562" s="20">
        <v>1560.1904489999999</v>
      </c>
      <c r="G562" s="11">
        <f>VLOOKUP(A562,'Operational Data'!$A$2:$E$201,3,FALSE)</f>
        <v>75508</v>
      </c>
      <c r="H562" s="11">
        <f>VLOOKUP(A562,'Operational Data'!$A$2:$E$201,4,FALSE)</f>
        <v>6856.22</v>
      </c>
      <c r="I562" s="11">
        <f>VLOOKUP(A562,'Operational Data'!$A$2:$E$201,5,FALSE)</f>
        <v>18.2</v>
      </c>
      <c r="J562" s="21">
        <f t="shared" si="8"/>
        <v>2.0662584745987179E-2</v>
      </c>
    </row>
    <row r="563" spans="1:10" x14ac:dyDescent="0.25">
      <c r="A563" s="20" t="s">
        <v>64</v>
      </c>
      <c r="B563" s="20" t="s">
        <v>30</v>
      </c>
      <c r="C563" s="20" t="s">
        <v>8</v>
      </c>
      <c r="D563" s="20" t="s">
        <v>14</v>
      </c>
      <c r="E563" s="20" t="s">
        <v>24</v>
      </c>
      <c r="F563" s="20">
        <v>4290.7299999999996</v>
      </c>
      <c r="G563" s="11">
        <f>VLOOKUP(A563,'Operational Data'!$A$2:$E$201,3,FALSE)</f>
        <v>52836</v>
      </c>
      <c r="H563" s="11">
        <f>VLOOKUP(A563,'Operational Data'!$A$2:$E$201,4,FALSE)</f>
        <v>9330.2999999999993</v>
      </c>
      <c r="I563" s="11">
        <f>VLOOKUP(A563,'Operational Data'!$A$2:$E$201,5,FALSE)</f>
        <v>87.27</v>
      </c>
      <c r="J563" s="21">
        <f t="shared" si="8"/>
        <v>8.1208456355515171E-2</v>
      </c>
    </row>
    <row r="564" spans="1:10" x14ac:dyDescent="0.25">
      <c r="A564" s="20" t="s">
        <v>192</v>
      </c>
      <c r="B564" s="20" t="s">
        <v>19</v>
      </c>
      <c r="C564" s="20" t="s">
        <v>8</v>
      </c>
      <c r="D564" s="20" t="s">
        <v>9</v>
      </c>
      <c r="E564" s="20" t="s">
        <v>24</v>
      </c>
      <c r="F564" s="20">
        <v>2521.882044</v>
      </c>
      <c r="G564" s="11">
        <f>VLOOKUP(A564,'Operational Data'!$A$2:$E$201,3,FALSE)</f>
        <v>43227</v>
      </c>
      <c r="H564" s="11">
        <f>VLOOKUP(A564,'Operational Data'!$A$2:$E$201,4,FALSE)</f>
        <v>5199.53</v>
      </c>
      <c r="I564" s="11">
        <f>VLOOKUP(A564,'Operational Data'!$A$2:$E$201,5,FALSE)</f>
        <v>44.09</v>
      </c>
      <c r="J564" s="21">
        <f t="shared" si="8"/>
        <v>5.8340436393920468E-2</v>
      </c>
    </row>
    <row r="565" spans="1:10" x14ac:dyDescent="0.25">
      <c r="A565" s="20" t="s">
        <v>177</v>
      </c>
      <c r="B565" s="20" t="s">
        <v>7</v>
      </c>
      <c r="C565" s="20" t="s">
        <v>13</v>
      </c>
      <c r="D565" s="20" t="s">
        <v>28</v>
      </c>
      <c r="E565" s="20" t="s">
        <v>15</v>
      </c>
      <c r="F565" s="20">
        <v>3941.05</v>
      </c>
      <c r="G565" s="11">
        <f>VLOOKUP(A565,'Operational Data'!$A$2:$E$201,3,FALSE)</f>
        <v>17097</v>
      </c>
      <c r="H565" s="11">
        <f>VLOOKUP(A565,'Operational Data'!$A$2:$E$201,4,FALSE)</f>
        <v>9061.7800000000007</v>
      </c>
      <c r="I565" s="11">
        <f>VLOOKUP(A565,'Operational Data'!$A$2:$E$201,5,FALSE)</f>
        <v>95.92</v>
      </c>
      <c r="J565" s="21">
        <f t="shared" si="8"/>
        <v>0.2305112007954612</v>
      </c>
    </row>
    <row r="566" spans="1:10" x14ac:dyDescent="0.25">
      <c r="A566" s="20" t="s">
        <v>189</v>
      </c>
      <c r="B566" s="20" t="s">
        <v>19</v>
      </c>
      <c r="C566" s="20" t="s">
        <v>23</v>
      </c>
      <c r="D566" s="20" t="s">
        <v>14</v>
      </c>
      <c r="E566" s="20" t="s">
        <v>24</v>
      </c>
      <c r="F566" s="20">
        <v>992.87</v>
      </c>
      <c r="G566" s="11">
        <f>VLOOKUP(A566,'Operational Data'!$A$2:$E$201,3,FALSE)</f>
        <v>27681</v>
      </c>
      <c r="H566" s="11">
        <f>VLOOKUP(A566,'Operational Data'!$A$2:$E$201,4,FALSE)</f>
        <v>928.26</v>
      </c>
      <c r="I566" s="11">
        <f>VLOOKUP(A566,'Operational Data'!$A$2:$E$201,5,FALSE)</f>
        <v>44.97</v>
      </c>
      <c r="J566" s="21">
        <f t="shared" si="8"/>
        <v>3.5868285105306888E-2</v>
      </c>
    </row>
    <row r="567" spans="1:10" x14ac:dyDescent="0.25">
      <c r="A567" s="20" t="s">
        <v>74</v>
      </c>
      <c r="B567" s="20" t="s">
        <v>19</v>
      </c>
      <c r="C567" s="20" t="s">
        <v>34</v>
      </c>
      <c r="D567" s="20" t="s">
        <v>14</v>
      </c>
      <c r="E567" s="20" t="s">
        <v>10</v>
      </c>
      <c r="F567" s="20">
        <v>3998.2</v>
      </c>
      <c r="G567" s="11">
        <f>VLOOKUP(A567,'Operational Data'!$A$2:$E$201,3,FALSE)</f>
        <v>18175</v>
      </c>
      <c r="H567" s="11">
        <f>VLOOKUP(A567,'Operational Data'!$A$2:$E$201,4,FALSE)</f>
        <v>8349.49</v>
      </c>
      <c r="I567" s="11">
        <f>VLOOKUP(A567,'Operational Data'!$A$2:$E$201,5,FALSE)</f>
        <v>39.97</v>
      </c>
      <c r="J567" s="21">
        <f t="shared" si="8"/>
        <v>0.21998349381017882</v>
      </c>
    </row>
    <row r="568" spans="1:10" ht="30" x14ac:dyDescent="0.25">
      <c r="A568" s="20" t="s">
        <v>116</v>
      </c>
      <c r="B568" s="20" t="s">
        <v>17</v>
      </c>
      <c r="C568" s="20" t="s">
        <v>13</v>
      </c>
      <c r="D568" s="20" t="s">
        <v>28</v>
      </c>
      <c r="E568" s="20" t="s">
        <v>24</v>
      </c>
      <c r="F568" s="20">
        <v>951.15</v>
      </c>
      <c r="G568" s="11">
        <f>VLOOKUP(A568,'Operational Data'!$A$2:$E$201,3,FALSE)</f>
        <v>68216</v>
      </c>
      <c r="H568" s="11">
        <f>VLOOKUP(A568,'Operational Data'!$A$2:$E$201,4,FALSE)</f>
        <v>9562.33</v>
      </c>
      <c r="I568" s="11">
        <f>VLOOKUP(A568,'Operational Data'!$A$2:$E$201,5,FALSE)</f>
        <v>63.59</v>
      </c>
      <c r="J568" s="21">
        <f t="shared" si="8"/>
        <v>1.3943209804151518E-2</v>
      </c>
    </row>
    <row r="569" spans="1:10" ht="30" x14ac:dyDescent="0.25">
      <c r="A569" s="20" t="s">
        <v>207</v>
      </c>
      <c r="B569" s="20" t="s">
        <v>17</v>
      </c>
      <c r="C569" s="20" t="s">
        <v>34</v>
      </c>
      <c r="D569" s="20" t="s">
        <v>9</v>
      </c>
      <c r="E569" s="20" t="s">
        <v>10</v>
      </c>
      <c r="F569" s="20">
        <v>602.29235949999998</v>
      </c>
      <c r="G569" s="11">
        <f>VLOOKUP(A569,'Operational Data'!$A$2:$E$201,3,FALSE)</f>
        <v>99115</v>
      </c>
      <c r="H569" s="11">
        <f>VLOOKUP(A569,'Operational Data'!$A$2:$E$201,4,FALSE)</f>
        <v>827.26</v>
      </c>
      <c r="I569" s="11">
        <f>VLOOKUP(A569,'Operational Data'!$A$2:$E$201,5,FALSE)</f>
        <v>28.88</v>
      </c>
      <c r="J569" s="21">
        <f t="shared" si="8"/>
        <v>6.0767024113403617E-3</v>
      </c>
    </row>
    <row r="570" spans="1:10" x14ac:dyDescent="0.25">
      <c r="A570" s="20" t="s">
        <v>21</v>
      </c>
      <c r="B570" s="20" t="s">
        <v>19</v>
      </c>
      <c r="C570" s="20" t="s">
        <v>13</v>
      </c>
      <c r="D570" s="20" t="s">
        <v>14</v>
      </c>
      <c r="E570" s="20" t="s">
        <v>15</v>
      </c>
      <c r="F570" s="20">
        <v>4791.01</v>
      </c>
      <c r="G570" s="11">
        <f>VLOOKUP(A570,'Operational Data'!$A$2:$E$201,3,FALSE)</f>
        <v>61157</v>
      </c>
      <c r="H570" s="11">
        <f>VLOOKUP(A570,'Operational Data'!$A$2:$E$201,4,FALSE)</f>
        <v>7331.54</v>
      </c>
      <c r="I570" s="11">
        <f>VLOOKUP(A570,'Operational Data'!$A$2:$E$201,5,FALSE)</f>
        <v>55.52</v>
      </c>
      <c r="J570" s="21">
        <f t="shared" si="8"/>
        <v>7.8339519597102544E-2</v>
      </c>
    </row>
    <row r="571" spans="1:10" x14ac:dyDescent="0.25">
      <c r="A571" s="20" t="s">
        <v>70</v>
      </c>
      <c r="B571" s="20" t="s">
        <v>19</v>
      </c>
      <c r="C571" s="20" t="s">
        <v>23</v>
      </c>
      <c r="D571" s="20" t="s">
        <v>14</v>
      </c>
      <c r="E571" s="20" t="s">
        <v>15</v>
      </c>
      <c r="F571" s="20">
        <v>2408.38</v>
      </c>
      <c r="G571" s="11">
        <f>VLOOKUP(A571,'Operational Data'!$A$2:$E$201,3,FALSE)</f>
        <v>42485</v>
      </c>
      <c r="H571" s="11">
        <f>VLOOKUP(A571,'Operational Data'!$A$2:$E$201,4,FALSE)</f>
        <v>4755.75</v>
      </c>
      <c r="I571" s="11">
        <f>VLOOKUP(A571,'Operational Data'!$A$2:$E$201,5,FALSE)</f>
        <v>10.19</v>
      </c>
      <c r="J571" s="21">
        <f t="shared" si="8"/>
        <v>5.6687772154878198E-2</v>
      </c>
    </row>
    <row r="572" spans="1:10" x14ac:dyDescent="0.25">
      <c r="A572" s="20" t="s">
        <v>40</v>
      </c>
      <c r="B572" s="20" t="s">
        <v>19</v>
      </c>
      <c r="C572" s="20" t="s">
        <v>13</v>
      </c>
      <c r="D572" s="20" t="s">
        <v>9</v>
      </c>
      <c r="E572" s="20" t="s">
        <v>10</v>
      </c>
      <c r="F572" s="20">
        <v>2703.065008</v>
      </c>
      <c r="G572" s="11">
        <f>VLOOKUP(A572,'Operational Data'!$A$2:$E$201,3,FALSE)</f>
        <v>96474</v>
      </c>
      <c r="H572" s="11">
        <f>VLOOKUP(A572,'Operational Data'!$A$2:$E$201,4,FALSE)</f>
        <v>7574.39</v>
      </c>
      <c r="I572" s="11">
        <f>VLOOKUP(A572,'Operational Data'!$A$2:$E$201,5,FALSE)</f>
        <v>95.54</v>
      </c>
      <c r="J572" s="21">
        <f t="shared" si="8"/>
        <v>2.8018585401248006E-2</v>
      </c>
    </row>
    <row r="573" spans="1:10" x14ac:dyDescent="0.25">
      <c r="A573" s="20" t="s">
        <v>189</v>
      </c>
      <c r="B573" s="20" t="s">
        <v>19</v>
      </c>
      <c r="C573" s="20" t="s">
        <v>34</v>
      </c>
      <c r="D573" s="20" t="s">
        <v>28</v>
      </c>
      <c r="E573" s="20" t="s">
        <v>15</v>
      </c>
      <c r="F573" s="20">
        <v>4204.6899999999996</v>
      </c>
      <c r="G573" s="11">
        <f>VLOOKUP(A573,'Operational Data'!$A$2:$E$201,3,FALSE)</f>
        <v>27681</v>
      </c>
      <c r="H573" s="11">
        <f>VLOOKUP(A573,'Operational Data'!$A$2:$E$201,4,FALSE)</f>
        <v>928.26</v>
      </c>
      <c r="I573" s="11">
        <f>VLOOKUP(A573,'Operational Data'!$A$2:$E$201,5,FALSE)</f>
        <v>44.97</v>
      </c>
      <c r="J573" s="21">
        <f t="shared" si="8"/>
        <v>0.15189805281601096</v>
      </c>
    </row>
    <row r="574" spans="1:10" x14ac:dyDescent="0.25">
      <c r="A574" s="20" t="s">
        <v>18</v>
      </c>
      <c r="B574" s="20" t="s">
        <v>19</v>
      </c>
      <c r="C574" s="20" t="s">
        <v>34</v>
      </c>
      <c r="D574" s="20" t="s">
        <v>9</v>
      </c>
      <c r="E574" s="20" t="s">
        <v>24</v>
      </c>
      <c r="F574" s="20">
        <v>947.61289599999998</v>
      </c>
      <c r="G574" s="11">
        <f>VLOOKUP(A574,'Operational Data'!$A$2:$E$201,3,FALSE)</f>
        <v>98682</v>
      </c>
      <c r="H574" s="11">
        <f>VLOOKUP(A574,'Operational Data'!$A$2:$E$201,4,FALSE)</f>
        <v>6220.56</v>
      </c>
      <c r="I574" s="11">
        <f>VLOOKUP(A574,'Operational Data'!$A$2:$E$201,5,FALSE)</f>
        <v>70.099999999999994</v>
      </c>
      <c r="J574" s="21">
        <f t="shared" si="8"/>
        <v>9.6026924464441329E-3</v>
      </c>
    </row>
    <row r="575" spans="1:10" x14ac:dyDescent="0.25">
      <c r="A575" s="20" t="s">
        <v>157</v>
      </c>
      <c r="B575" s="20" t="s">
        <v>30</v>
      </c>
      <c r="C575" s="20" t="s">
        <v>13</v>
      </c>
      <c r="D575" s="20" t="s">
        <v>28</v>
      </c>
      <c r="E575" s="20" t="s">
        <v>10</v>
      </c>
      <c r="F575" s="20">
        <v>3632.9</v>
      </c>
      <c r="G575" s="11">
        <f>VLOOKUP(A575,'Operational Data'!$A$2:$E$201,3,FALSE)</f>
        <v>76544</v>
      </c>
      <c r="H575" s="11">
        <f>VLOOKUP(A575,'Operational Data'!$A$2:$E$201,4,FALSE)</f>
        <v>8632.77</v>
      </c>
      <c r="I575" s="11">
        <f>VLOOKUP(A575,'Operational Data'!$A$2:$E$201,5,FALSE)</f>
        <v>12.87</v>
      </c>
      <c r="J575" s="21">
        <f t="shared" si="8"/>
        <v>4.746159071906355E-2</v>
      </c>
    </row>
    <row r="576" spans="1:10" x14ac:dyDescent="0.25">
      <c r="A576" s="20" t="s">
        <v>108</v>
      </c>
      <c r="B576" s="20" t="s">
        <v>7</v>
      </c>
      <c r="C576" s="20" t="s">
        <v>8</v>
      </c>
      <c r="D576" s="20" t="s">
        <v>9</v>
      </c>
      <c r="E576" s="20" t="s">
        <v>15</v>
      </c>
      <c r="F576" s="20">
        <v>3124.8907899999999</v>
      </c>
      <c r="G576" s="11">
        <f>VLOOKUP(A576,'Operational Data'!$A$2:$E$201,3,FALSE)</f>
        <v>22201</v>
      </c>
      <c r="H576" s="11">
        <f>VLOOKUP(A576,'Operational Data'!$A$2:$E$201,4,FALSE)</f>
        <v>2853.66</v>
      </c>
      <c r="I576" s="11">
        <f>VLOOKUP(A576,'Operational Data'!$A$2:$E$201,5,FALSE)</f>
        <v>71.94</v>
      </c>
      <c r="J576" s="21">
        <f t="shared" si="8"/>
        <v>0.14075450610332868</v>
      </c>
    </row>
    <row r="577" spans="1:10" x14ac:dyDescent="0.25">
      <c r="A577" s="20" t="s">
        <v>63</v>
      </c>
      <c r="B577" s="20" t="s">
        <v>12</v>
      </c>
      <c r="C577" s="20" t="s">
        <v>34</v>
      </c>
      <c r="D577" s="20" t="s">
        <v>14</v>
      </c>
      <c r="E577" s="20" t="s">
        <v>24</v>
      </c>
      <c r="F577" s="20">
        <v>4679.05</v>
      </c>
      <c r="G577" s="11">
        <f>VLOOKUP(A577,'Operational Data'!$A$2:$E$201,3,FALSE)</f>
        <v>33688</v>
      </c>
      <c r="H577" s="11">
        <f>VLOOKUP(A577,'Operational Data'!$A$2:$E$201,4,FALSE)</f>
        <v>9495.48</v>
      </c>
      <c r="I577" s="11">
        <f>VLOOKUP(A577,'Operational Data'!$A$2:$E$201,5,FALSE)</f>
        <v>55.55</v>
      </c>
      <c r="J577" s="21">
        <f t="shared" si="8"/>
        <v>0.13889367133697458</v>
      </c>
    </row>
    <row r="578" spans="1:10" ht="30" x14ac:dyDescent="0.25">
      <c r="A578" s="20" t="s">
        <v>147</v>
      </c>
      <c r="B578" s="20" t="s">
        <v>17</v>
      </c>
      <c r="C578" s="20" t="s">
        <v>8</v>
      </c>
      <c r="D578" s="20" t="s">
        <v>9</v>
      </c>
      <c r="E578" s="20" t="s">
        <v>10</v>
      </c>
      <c r="F578" s="20">
        <v>4154.095757</v>
      </c>
      <c r="G578" s="11">
        <f>VLOOKUP(A578,'Operational Data'!$A$2:$E$201,3,FALSE)</f>
        <v>24095</v>
      </c>
      <c r="H578" s="11">
        <f>VLOOKUP(A578,'Operational Data'!$A$2:$E$201,4,FALSE)</f>
        <v>3167.52</v>
      </c>
      <c r="I578" s="11">
        <f>VLOOKUP(A578,'Operational Data'!$A$2:$E$201,5,FALSE)</f>
        <v>31.02</v>
      </c>
      <c r="J578" s="21">
        <f t="shared" si="8"/>
        <v>0.17240488719651381</v>
      </c>
    </row>
    <row r="579" spans="1:10" x14ac:dyDescent="0.25">
      <c r="A579" s="20" t="s">
        <v>118</v>
      </c>
      <c r="B579" s="20" t="s">
        <v>30</v>
      </c>
      <c r="C579" s="20" t="s">
        <v>8</v>
      </c>
      <c r="D579" s="20" t="s">
        <v>14</v>
      </c>
      <c r="E579" s="20" t="s">
        <v>10</v>
      </c>
      <c r="F579" s="20">
        <v>132.24</v>
      </c>
      <c r="G579" s="11">
        <f>VLOOKUP(A579,'Operational Data'!$A$2:$E$201,3,FALSE)</f>
        <v>68492</v>
      </c>
      <c r="H579" s="11">
        <f>VLOOKUP(A579,'Operational Data'!$A$2:$E$201,4,FALSE)</f>
        <v>3533.88</v>
      </c>
      <c r="I579" s="11">
        <f>VLOOKUP(A579,'Operational Data'!$A$2:$E$201,5,FALSE)</f>
        <v>52.99</v>
      </c>
      <c r="J579" s="21">
        <f t="shared" ref="J579:J642" si="9">F579/G579</f>
        <v>1.9307364363721311E-3</v>
      </c>
    </row>
    <row r="580" spans="1:10" x14ac:dyDescent="0.25">
      <c r="A580" s="20" t="s">
        <v>201</v>
      </c>
      <c r="B580" s="20" t="s">
        <v>12</v>
      </c>
      <c r="C580" s="20" t="s">
        <v>34</v>
      </c>
      <c r="D580" s="20" t="s">
        <v>14</v>
      </c>
      <c r="E580" s="20" t="s">
        <v>15</v>
      </c>
      <c r="F580" s="20">
        <v>3066.65</v>
      </c>
      <c r="G580" s="11">
        <f>VLOOKUP(A580,'Operational Data'!$A$2:$E$201,3,FALSE)</f>
        <v>58439</v>
      </c>
      <c r="H580" s="11">
        <f>VLOOKUP(A580,'Operational Data'!$A$2:$E$201,4,FALSE)</f>
        <v>5817.93</v>
      </c>
      <c r="I580" s="11">
        <f>VLOOKUP(A580,'Operational Data'!$A$2:$E$201,5,FALSE)</f>
        <v>63.77</v>
      </c>
      <c r="J580" s="21">
        <f t="shared" si="9"/>
        <v>5.2476086175328118E-2</v>
      </c>
    </row>
    <row r="581" spans="1:10" ht="30" x14ac:dyDescent="0.25">
      <c r="A581" s="20" t="s">
        <v>142</v>
      </c>
      <c r="B581" s="20" t="s">
        <v>17</v>
      </c>
      <c r="C581" s="20" t="s">
        <v>23</v>
      </c>
      <c r="D581" s="20" t="s">
        <v>9</v>
      </c>
      <c r="E581" s="20" t="s">
        <v>15</v>
      </c>
      <c r="F581" s="20">
        <v>1342.8827699999999</v>
      </c>
      <c r="G581" s="11">
        <f>VLOOKUP(A581,'Operational Data'!$A$2:$E$201,3,FALSE)</f>
        <v>75736</v>
      </c>
      <c r="H581" s="11">
        <f>VLOOKUP(A581,'Operational Data'!$A$2:$E$201,4,FALSE)</f>
        <v>6287.07</v>
      </c>
      <c r="I581" s="11">
        <f>VLOOKUP(A581,'Operational Data'!$A$2:$E$201,5,FALSE)</f>
        <v>63.11</v>
      </c>
      <c r="J581" s="21">
        <f t="shared" si="9"/>
        <v>1.773110238195838E-2</v>
      </c>
    </row>
    <row r="582" spans="1:10" x14ac:dyDescent="0.25">
      <c r="A582" s="20" t="s">
        <v>65</v>
      </c>
      <c r="B582" s="20" t="s">
        <v>30</v>
      </c>
      <c r="C582" s="20" t="s">
        <v>23</v>
      </c>
      <c r="D582" s="20" t="s">
        <v>14</v>
      </c>
      <c r="E582" s="20" t="s">
        <v>24</v>
      </c>
      <c r="F582" s="20">
        <v>3919.95</v>
      </c>
      <c r="G582" s="11">
        <f>VLOOKUP(A582,'Operational Data'!$A$2:$E$201,3,FALSE)</f>
        <v>99026</v>
      </c>
      <c r="H582" s="11">
        <f>VLOOKUP(A582,'Operational Data'!$A$2:$E$201,4,FALSE)</f>
        <v>5453.2</v>
      </c>
      <c r="I582" s="11">
        <f>VLOOKUP(A582,'Operational Data'!$A$2:$E$201,5,FALSE)</f>
        <v>57.49</v>
      </c>
      <c r="J582" s="21">
        <f t="shared" si="9"/>
        <v>3.9585058469492861E-2</v>
      </c>
    </row>
    <row r="583" spans="1:10" ht="30" x14ac:dyDescent="0.25">
      <c r="A583" s="20" t="s">
        <v>143</v>
      </c>
      <c r="B583" s="20" t="s">
        <v>17</v>
      </c>
      <c r="C583" s="20" t="s">
        <v>8</v>
      </c>
      <c r="D583" s="20" t="s">
        <v>14</v>
      </c>
      <c r="E583" s="20" t="s">
        <v>24</v>
      </c>
      <c r="F583" s="20">
        <v>4408.78</v>
      </c>
      <c r="G583" s="11">
        <f>VLOOKUP(A583,'Operational Data'!$A$2:$E$201,3,FALSE)</f>
        <v>94704</v>
      </c>
      <c r="H583" s="11">
        <f>VLOOKUP(A583,'Operational Data'!$A$2:$E$201,4,FALSE)</f>
        <v>6632.95</v>
      </c>
      <c r="I583" s="11">
        <f>VLOOKUP(A583,'Operational Data'!$A$2:$E$201,5,FALSE)</f>
        <v>14.76</v>
      </c>
      <c r="J583" s="21">
        <f t="shared" si="9"/>
        <v>4.6553260685926676E-2</v>
      </c>
    </row>
    <row r="584" spans="1:10" x14ac:dyDescent="0.25">
      <c r="A584" s="20" t="s">
        <v>120</v>
      </c>
      <c r="B584" s="20" t="s">
        <v>30</v>
      </c>
      <c r="C584" s="20" t="s">
        <v>34</v>
      </c>
      <c r="D584" s="20" t="s">
        <v>14</v>
      </c>
      <c r="E584" s="20" t="s">
        <v>15</v>
      </c>
      <c r="F584" s="20">
        <v>4970.6899999999996</v>
      </c>
      <c r="G584" s="11">
        <f>VLOOKUP(A584,'Operational Data'!$A$2:$E$201,3,FALSE)</f>
        <v>79495</v>
      </c>
      <c r="H584" s="11">
        <f>VLOOKUP(A584,'Operational Data'!$A$2:$E$201,4,FALSE)</f>
        <v>7157.48</v>
      </c>
      <c r="I584" s="11">
        <f>VLOOKUP(A584,'Operational Data'!$A$2:$E$201,5,FALSE)</f>
        <v>26.84</v>
      </c>
      <c r="J584" s="21">
        <f t="shared" si="9"/>
        <v>6.2528335115416056E-2</v>
      </c>
    </row>
    <row r="585" spans="1:10" x14ac:dyDescent="0.25">
      <c r="A585" s="20" t="s">
        <v>192</v>
      </c>
      <c r="B585" s="20" t="s">
        <v>19</v>
      </c>
      <c r="C585" s="20" t="s">
        <v>8</v>
      </c>
      <c r="D585" s="20" t="s">
        <v>9</v>
      </c>
      <c r="E585" s="20" t="s">
        <v>15</v>
      </c>
      <c r="F585" s="20">
        <v>1694.1939150000001</v>
      </c>
      <c r="G585" s="11">
        <f>VLOOKUP(A585,'Operational Data'!$A$2:$E$201,3,FALSE)</f>
        <v>43227</v>
      </c>
      <c r="H585" s="11">
        <f>VLOOKUP(A585,'Operational Data'!$A$2:$E$201,4,FALSE)</f>
        <v>5199.53</v>
      </c>
      <c r="I585" s="11">
        <f>VLOOKUP(A585,'Operational Data'!$A$2:$E$201,5,FALSE)</f>
        <v>44.09</v>
      </c>
      <c r="J585" s="21">
        <f t="shared" si="9"/>
        <v>3.9192956138524533E-2</v>
      </c>
    </row>
    <row r="586" spans="1:10" x14ac:dyDescent="0.25">
      <c r="A586" s="20" t="s">
        <v>103</v>
      </c>
      <c r="B586" s="20" t="s">
        <v>19</v>
      </c>
      <c r="C586" s="20" t="s">
        <v>34</v>
      </c>
      <c r="D586" s="20" t="s">
        <v>14</v>
      </c>
      <c r="E586" s="20" t="s">
        <v>15</v>
      </c>
      <c r="F586" s="20">
        <v>4225.8</v>
      </c>
      <c r="G586" s="11">
        <f>VLOOKUP(A586,'Operational Data'!$A$2:$E$201,3,FALSE)</f>
        <v>38869</v>
      </c>
      <c r="H586" s="11">
        <f>VLOOKUP(A586,'Operational Data'!$A$2:$E$201,4,FALSE)</f>
        <v>5109.76</v>
      </c>
      <c r="I586" s="11">
        <f>VLOOKUP(A586,'Operational Data'!$A$2:$E$201,5,FALSE)</f>
        <v>35.270000000000003</v>
      </c>
      <c r="J586" s="21">
        <f t="shared" si="9"/>
        <v>0.10871903058993028</v>
      </c>
    </row>
    <row r="587" spans="1:10" ht="30" x14ac:dyDescent="0.25">
      <c r="A587" s="20" t="s">
        <v>89</v>
      </c>
      <c r="B587" s="20" t="s">
        <v>17</v>
      </c>
      <c r="C587" s="20" t="s">
        <v>8</v>
      </c>
      <c r="D587" s="20" t="s">
        <v>14</v>
      </c>
      <c r="E587" s="20" t="s">
        <v>15</v>
      </c>
      <c r="F587" s="20">
        <v>2933.56</v>
      </c>
      <c r="G587" s="11">
        <f>VLOOKUP(A587,'Operational Data'!$A$2:$E$201,3,FALSE)</f>
        <v>36171</v>
      </c>
      <c r="H587" s="11">
        <f>VLOOKUP(A587,'Operational Data'!$A$2:$E$201,4,FALSE)</f>
        <v>6864.38</v>
      </c>
      <c r="I587" s="11">
        <f>VLOOKUP(A587,'Operational Data'!$A$2:$E$201,5,FALSE)</f>
        <v>37.03</v>
      </c>
      <c r="J587" s="21">
        <f t="shared" si="9"/>
        <v>8.1102540709408089E-2</v>
      </c>
    </row>
    <row r="588" spans="1:10" x14ac:dyDescent="0.25">
      <c r="A588" s="20" t="s">
        <v>111</v>
      </c>
      <c r="B588" s="20" t="s">
        <v>19</v>
      </c>
      <c r="C588" s="20" t="s">
        <v>23</v>
      </c>
      <c r="D588" s="20" t="s">
        <v>9</v>
      </c>
      <c r="E588" s="20" t="s">
        <v>10</v>
      </c>
      <c r="F588" s="20">
        <v>1192.3339940000001</v>
      </c>
      <c r="G588" s="11">
        <f>VLOOKUP(A588,'Operational Data'!$A$2:$E$201,3,FALSE)</f>
        <v>37309</v>
      </c>
      <c r="H588" s="11">
        <f>VLOOKUP(A588,'Operational Data'!$A$2:$E$201,4,FALSE)</f>
        <v>4508.54</v>
      </c>
      <c r="I588" s="11">
        <f>VLOOKUP(A588,'Operational Data'!$A$2:$E$201,5,FALSE)</f>
        <v>47.15</v>
      </c>
      <c r="J588" s="21">
        <f t="shared" si="9"/>
        <v>3.1958347690905685E-2</v>
      </c>
    </row>
    <row r="589" spans="1:10" x14ac:dyDescent="0.25">
      <c r="A589" s="20" t="s">
        <v>183</v>
      </c>
      <c r="B589" s="20" t="s">
        <v>7</v>
      </c>
      <c r="C589" s="20" t="s">
        <v>8</v>
      </c>
      <c r="D589" s="20" t="s">
        <v>14</v>
      </c>
      <c r="E589" s="20" t="s">
        <v>24</v>
      </c>
      <c r="F589" s="20">
        <v>2457.1</v>
      </c>
      <c r="G589" s="11">
        <f>VLOOKUP(A589,'Operational Data'!$A$2:$E$201,3,FALSE)</f>
        <v>14009</v>
      </c>
      <c r="H589" s="11">
        <f>VLOOKUP(A589,'Operational Data'!$A$2:$E$201,4,FALSE)</f>
        <v>7528.98</v>
      </c>
      <c r="I589" s="11">
        <f>VLOOKUP(A589,'Operational Data'!$A$2:$E$201,5,FALSE)</f>
        <v>77.62</v>
      </c>
      <c r="J589" s="21">
        <f t="shared" si="9"/>
        <v>0.17539438932115067</v>
      </c>
    </row>
    <row r="590" spans="1:10" ht="30" x14ac:dyDescent="0.25">
      <c r="A590" s="20" t="s">
        <v>116</v>
      </c>
      <c r="B590" s="20" t="s">
        <v>17</v>
      </c>
      <c r="C590" s="20" t="s">
        <v>13</v>
      </c>
      <c r="D590" s="20" t="s">
        <v>28</v>
      </c>
      <c r="E590" s="20" t="s">
        <v>24</v>
      </c>
      <c r="F590" s="20">
        <v>3801.93</v>
      </c>
      <c r="G590" s="11">
        <f>VLOOKUP(A590,'Operational Data'!$A$2:$E$201,3,FALSE)</f>
        <v>68216</v>
      </c>
      <c r="H590" s="11">
        <f>VLOOKUP(A590,'Operational Data'!$A$2:$E$201,4,FALSE)</f>
        <v>9562.33</v>
      </c>
      <c r="I590" s="11">
        <f>VLOOKUP(A590,'Operational Data'!$A$2:$E$201,5,FALSE)</f>
        <v>63.59</v>
      </c>
      <c r="J590" s="21">
        <f t="shared" si="9"/>
        <v>5.5733698838982056E-2</v>
      </c>
    </row>
    <row r="591" spans="1:10" x14ac:dyDescent="0.25">
      <c r="A591" s="20" t="s">
        <v>72</v>
      </c>
      <c r="B591" s="20" t="s">
        <v>19</v>
      </c>
      <c r="C591" s="20" t="s">
        <v>34</v>
      </c>
      <c r="D591" s="20" t="s">
        <v>28</v>
      </c>
      <c r="E591" s="20" t="s">
        <v>24</v>
      </c>
      <c r="F591" s="20">
        <v>2334.69</v>
      </c>
      <c r="G591" s="11">
        <f>VLOOKUP(A591,'Operational Data'!$A$2:$E$201,3,FALSE)</f>
        <v>29318</v>
      </c>
      <c r="H591" s="11">
        <f>VLOOKUP(A591,'Operational Data'!$A$2:$E$201,4,FALSE)</f>
        <v>9860.6200000000008</v>
      </c>
      <c r="I591" s="11">
        <f>VLOOKUP(A591,'Operational Data'!$A$2:$E$201,5,FALSE)</f>
        <v>14.58</v>
      </c>
      <c r="J591" s="21">
        <f t="shared" si="9"/>
        <v>7.9633331059417431E-2</v>
      </c>
    </row>
    <row r="592" spans="1:10" x14ac:dyDescent="0.25">
      <c r="A592" s="20" t="s">
        <v>94</v>
      </c>
      <c r="B592" s="20" t="s">
        <v>7</v>
      </c>
      <c r="C592" s="20" t="s">
        <v>13</v>
      </c>
      <c r="D592" s="20" t="s">
        <v>28</v>
      </c>
      <c r="E592" s="20" t="s">
        <v>10</v>
      </c>
      <c r="F592" s="20">
        <v>4761.95</v>
      </c>
      <c r="G592" s="11">
        <f>VLOOKUP(A592,'Operational Data'!$A$2:$E$201,3,FALSE)</f>
        <v>26338</v>
      </c>
      <c r="H592" s="11">
        <f>VLOOKUP(A592,'Operational Data'!$A$2:$E$201,4,FALSE)</f>
        <v>578.73</v>
      </c>
      <c r="I592" s="11">
        <f>VLOOKUP(A592,'Operational Data'!$A$2:$E$201,5,FALSE)</f>
        <v>72.52</v>
      </c>
      <c r="J592" s="21">
        <f t="shared" si="9"/>
        <v>0.18080150353101981</v>
      </c>
    </row>
    <row r="593" spans="1:10" x14ac:dyDescent="0.25">
      <c r="A593" s="20" t="s">
        <v>135</v>
      </c>
      <c r="B593" s="20" t="s">
        <v>12</v>
      </c>
      <c r="C593" s="20" t="s">
        <v>34</v>
      </c>
      <c r="D593" s="20" t="s">
        <v>14</v>
      </c>
      <c r="E593" s="20" t="s">
        <v>24</v>
      </c>
      <c r="F593" s="20">
        <v>4516.03</v>
      </c>
      <c r="G593" s="11">
        <f>VLOOKUP(A593,'Operational Data'!$A$2:$E$201,3,FALSE)</f>
        <v>39560</v>
      </c>
      <c r="H593" s="11">
        <f>VLOOKUP(A593,'Operational Data'!$A$2:$E$201,4,FALSE)</f>
        <v>8380.77</v>
      </c>
      <c r="I593" s="11">
        <f>VLOOKUP(A593,'Operational Data'!$A$2:$E$201,5,FALSE)</f>
        <v>94.01</v>
      </c>
      <c r="J593" s="21">
        <f t="shared" si="9"/>
        <v>0.11415647118301314</v>
      </c>
    </row>
    <row r="594" spans="1:10" ht="30" x14ac:dyDescent="0.25">
      <c r="A594" s="20" t="s">
        <v>190</v>
      </c>
      <c r="B594" s="20" t="s">
        <v>17</v>
      </c>
      <c r="C594" s="20" t="s">
        <v>8</v>
      </c>
      <c r="D594" s="20" t="s">
        <v>9</v>
      </c>
      <c r="E594" s="20" t="s">
        <v>24</v>
      </c>
      <c r="F594" s="20">
        <v>4645.5949979999996</v>
      </c>
      <c r="G594" s="11">
        <f>VLOOKUP(A594,'Operational Data'!$A$2:$E$201,3,FALSE)</f>
        <v>41953</v>
      </c>
      <c r="H594" s="11">
        <f>VLOOKUP(A594,'Operational Data'!$A$2:$E$201,4,FALSE)</f>
        <v>2379.14</v>
      </c>
      <c r="I594" s="11">
        <f>VLOOKUP(A594,'Operational Data'!$A$2:$E$201,5,FALSE)</f>
        <v>65.67</v>
      </c>
      <c r="J594" s="21">
        <f t="shared" si="9"/>
        <v>0.11073332057302218</v>
      </c>
    </row>
    <row r="595" spans="1:10" x14ac:dyDescent="0.25">
      <c r="A595" s="20" t="s">
        <v>63</v>
      </c>
      <c r="B595" s="20" t="s">
        <v>12</v>
      </c>
      <c r="C595" s="20" t="s">
        <v>23</v>
      </c>
      <c r="D595" s="20" t="s">
        <v>28</v>
      </c>
      <c r="E595" s="20" t="s">
        <v>24</v>
      </c>
      <c r="F595" s="20">
        <v>3245.36</v>
      </c>
      <c r="G595" s="11">
        <f>VLOOKUP(A595,'Operational Data'!$A$2:$E$201,3,FALSE)</f>
        <v>33688</v>
      </c>
      <c r="H595" s="11">
        <f>VLOOKUP(A595,'Operational Data'!$A$2:$E$201,4,FALSE)</f>
        <v>9495.48</v>
      </c>
      <c r="I595" s="11">
        <f>VLOOKUP(A595,'Operational Data'!$A$2:$E$201,5,FALSE)</f>
        <v>55.55</v>
      </c>
      <c r="J595" s="21">
        <f t="shared" si="9"/>
        <v>9.6335787223937305E-2</v>
      </c>
    </row>
    <row r="596" spans="1:10" x14ac:dyDescent="0.25">
      <c r="A596" s="20" t="s">
        <v>208</v>
      </c>
      <c r="B596" s="20" t="s">
        <v>19</v>
      </c>
      <c r="C596" s="20" t="s">
        <v>23</v>
      </c>
      <c r="D596" s="20" t="s">
        <v>14</v>
      </c>
      <c r="E596" s="20" t="s">
        <v>10</v>
      </c>
      <c r="F596" s="20">
        <v>3907.47</v>
      </c>
      <c r="G596" s="11">
        <f>VLOOKUP(A596,'Operational Data'!$A$2:$E$201,3,FALSE)</f>
        <v>40553</v>
      </c>
      <c r="H596" s="11">
        <f>VLOOKUP(A596,'Operational Data'!$A$2:$E$201,4,FALSE)</f>
        <v>4875.2299999999996</v>
      </c>
      <c r="I596" s="11">
        <f>VLOOKUP(A596,'Operational Data'!$A$2:$E$201,5,FALSE)</f>
        <v>23.33</v>
      </c>
      <c r="J596" s="21">
        <f t="shared" si="9"/>
        <v>9.635464700515374E-2</v>
      </c>
    </row>
    <row r="597" spans="1:10" x14ac:dyDescent="0.25">
      <c r="A597" s="20" t="s">
        <v>176</v>
      </c>
      <c r="B597" s="20" t="s">
        <v>19</v>
      </c>
      <c r="C597" s="20" t="s">
        <v>13</v>
      </c>
      <c r="D597" s="20" t="s">
        <v>9</v>
      </c>
      <c r="E597" s="20" t="s">
        <v>10</v>
      </c>
      <c r="F597" s="20">
        <v>1337.8548840000001</v>
      </c>
      <c r="G597" s="11">
        <f>VLOOKUP(A597,'Operational Data'!$A$2:$E$201,3,FALSE)</f>
        <v>10907</v>
      </c>
      <c r="H597" s="11">
        <f>VLOOKUP(A597,'Operational Data'!$A$2:$E$201,4,FALSE)</f>
        <v>4748.66</v>
      </c>
      <c r="I597" s="11">
        <f>VLOOKUP(A597,'Operational Data'!$A$2:$E$201,5,FALSE)</f>
        <v>39.36</v>
      </c>
      <c r="J597" s="21">
        <f t="shared" si="9"/>
        <v>0.12266020757311819</v>
      </c>
    </row>
    <row r="598" spans="1:10" ht="30" x14ac:dyDescent="0.25">
      <c r="A598" s="20" t="s">
        <v>43</v>
      </c>
      <c r="B598" s="20" t="s">
        <v>17</v>
      </c>
      <c r="C598" s="20" t="s">
        <v>23</v>
      </c>
      <c r="D598" s="20" t="s">
        <v>28</v>
      </c>
      <c r="E598" s="20" t="s">
        <v>10</v>
      </c>
      <c r="F598" s="20">
        <v>3487.09</v>
      </c>
      <c r="G598" s="11">
        <f>VLOOKUP(A598,'Operational Data'!$A$2:$E$201,3,FALSE)</f>
        <v>41168</v>
      </c>
      <c r="H598" s="11">
        <f>VLOOKUP(A598,'Operational Data'!$A$2:$E$201,4,FALSE)</f>
        <v>8226.77</v>
      </c>
      <c r="I598" s="11">
        <f>VLOOKUP(A598,'Operational Data'!$A$2:$E$201,5,FALSE)</f>
        <v>42.55</v>
      </c>
      <c r="J598" s="21">
        <f t="shared" si="9"/>
        <v>8.4703896230081621E-2</v>
      </c>
    </row>
    <row r="599" spans="1:10" x14ac:dyDescent="0.25">
      <c r="A599" s="20" t="s">
        <v>209</v>
      </c>
      <c r="B599" s="20" t="s">
        <v>7</v>
      </c>
      <c r="C599" s="20" t="s">
        <v>23</v>
      </c>
      <c r="D599" s="20" t="s">
        <v>9</v>
      </c>
      <c r="E599" s="20" t="s">
        <v>15</v>
      </c>
      <c r="F599" s="20">
        <v>4959.5938470000001</v>
      </c>
      <c r="G599" s="11">
        <f>VLOOKUP(A599,'Operational Data'!$A$2:$E$201,3,FALSE)</f>
        <v>52357</v>
      </c>
      <c r="H599" s="11">
        <f>VLOOKUP(A599,'Operational Data'!$A$2:$E$201,4,FALSE)</f>
        <v>5643.16</v>
      </c>
      <c r="I599" s="11">
        <f>VLOOKUP(A599,'Operational Data'!$A$2:$E$201,5,FALSE)</f>
        <v>37.130000000000003</v>
      </c>
      <c r="J599" s="21">
        <f t="shared" si="9"/>
        <v>9.472647109269057E-2</v>
      </c>
    </row>
    <row r="600" spans="1:10" ht="30" x14ac:dyDescent="0.25">
      <c r="A600" s="20" t="s">
        <v>129</v>
      </c>
      <c r="B600" s="20" t="s">
        <v>17</v>
      </c>
      <c r="C600" s="20" t="s">
        <v>8</v>
      </c>
      <c r="D600" s="20" t="s">
        <v>28</v>
      </c>
      <c r="E600" s="20" t="s">
        <v>15</v>
      </c>
      <c r="F600" s="20">
        <v>4294.03</v>
      </c>
      <c r="G600" s="11">
        <f>VLOOKUP(A600,'Operational Data'!$A$2:$E$201,3,FALSE)</f>
        <v>95292</v>
      </c>
      <c r="H600" s="11">
        <f>VLOOKUP(A600,'Operational Data'!$A$2:$E$201,4,FALSE)</f>
        <v>697.47</v>
      </c>
      <c r="I600" s="11">
        <f>VLOOKUP(A600,'Operational Data'!$A$2:$E$201,5,FALSE)</f>
        <v>88.35</v>
      </c>
      <c r="J600" s="21">
        <f t="shared" si="9"/>
        <v>4.5061810015531209E-2</v>
      </c>
    </row>
    <row r="601" spans="1:10" x14ac:dyDescent="0.25">
      <c r="A601" s="20" t="s">
        <v>25</v>
      </c>
      <c r="B601" s="20" t="s">
        <v>19</v>
      </c>
      <c r="C601" s="20" t="s">
        <v>8</v>
      </c>
      <c r="D601" s="20" t="s">
        <v>14</v>
      </c>
      <c r="E601" s="20" t="s">
        <v>10</v>
      </c>
      <c r="F601" s="20">
        <v>648.78</v>
      </c>
      <c r="G601" s="11">
        <f>VLOOKUP(A601,'Operational Data'!$A$2:$E$201,3,FALSE)</f>
        <v>95306</v>
      </c>
      <c r="H601" s="11">
        <f>VLOOKUP(A601,'Operational Data'!$A$2:$E$201,4,FALSE)</f>
        <v>9037.76</v>
      </c>
      <c r="I601" s="11">
        <f>VLOOKUP(A601,'Operational Data'!$A$2:$E$201,5,FALSE)</f>
        <v>13.35</v>
      </c>
      <c r="J601" s="21">
        <f t="shared" si="9"/>
        <v>6.8073363691687821E-3</v>
      </c>
    </row>
    <row r="602" spans="1:10" x14ac:dyDescent="0.25">
      <c r="A602" s="20" t="s">
        <v>25</v>
      </c>
      <c r="B602" s="20" t="s">
        <v>19</v>
      </c>
      <c r="C602" s="20" t="s">
        <v>13</v>
      </c>
      <c r="D602" s="20" t="s">
        <v>14</v>
      </c>
      <c r="E602" s="20" t="s">
        <v>10</v>
      </c>
      <c r="F602" s="20">
        <v>3771.9</v>
      </c>
      <c r="G602" s="11">
        <f>VLOOKUP(A602,'Operational Data'!$A$2:$E$201,3,FALSE)</f>
        <v>95306</v>
      </c>
      <c r="H602" s="11">
        <f>VLOOKUP(A602,'Operational Data'!$A$2:$E$201,4,FALSE)</f>
        <v>9037.76</v>
      </c>
      <c r="I602" s="11">
        <f>VLOOKUP(A602,'Operational Data'!$A$2:$E$201,5,FALSE)</f>
        <v>13.35</v>
      </c>
      <c r="J602" s="21">
        <f t="shared" si="9"/>
        <v>3.9576731790233563E-2</v>
      </c>
    </row>
    <row r="603" spans="1:10" ht="30" x14ac:dyDescent="0.25">
      <c r="A603" s="20" t="s">
        <v>116</v>
      </c>
      <c r="B603" s="20" t="s">
        <v>17</v>
      </c>
      <c r="C603" s="20" t="s">
        <v>34</v>
      </c>
      <c r="D603" s="20" t="s">
        <v>9</v>
      </c>
      <c r="E603" s="20" t="s">
        <v>24</v>
      </c>
      <c r="F603" s="20">
        <v>3071.55413</v>
      </c>
      <c r="G603" s="11">
        <f>VLOOKUP(A603,'Operational Data'!$A$2:$E$201,3,FALSE)</f>
        <v>68216</v>
      </c>
      <c r="H603" s="11">
        <f>VLOOKUP(A603,'Operational Data'!$A$2:$E$201,4,FALSE)</f>
        <v>9562.33</v>
      </c>
      <c r="I603" s="11">
        <f>VLOOKUP(A603,'Operational Data'!$A$2:$E$201,5,FALSE)</f>
        <v>63.59</v>
      </c>
      <c r="J603" s="21">
        <f t="shared" si="9"/>
        <v>4.5026887093936908E-2</v>
      </c>
    </row>
    <row r="604" spans="1:10" x14ac:dyDescent="0.25">
      <c r="A604" s="20" t="s">
        <v>50</v>
      </c>
      <c r="B604" s="20" t="s">
        <v>19</v>
      </c>
      <c r="C604" s="20" t="s">
        <v>13</v>
      </c>
      <c r="D604" s="20" t="s">
        <v>28</v>
      </c>
      <c r="E604" s="20" t="s">
        <v>24</v>
      </c>
      <c r="F604" s="20">
        <v>2591.1799999999998</v>
      </c>
      <c r="G604" s="11">
        <f>VLOOKUP(A604,'Operational Data'!$A$2:$E$201,3,FALSE)</f>
        <v>40577</v>
      </c>
      <c r="H604" s="11">
        <f>VLOOKUP(A604,'Operational Data'!$A$2:$E$201,4,FALSE)</f>
        <v>4280.82</v>
      </c>
      <c r="I604" s="11">
        <f>VLOOKUP(A604,'Operational Data'!$A$2:$E$201,5,FALSE)</f>
        <v>79.88</v>
      </c>
      <c r="J604" s="21">
        <f t="shared" si="9"/>
        <v>6.385834339650541E-2</v>
      </c>
    </row>
    <row r="605" spans="1:10" x14ac:dyDescent="0.25">
      <c r="A605" s="20" t="s">
        <v>36</v>
      </c>
      <c r="B605" s="20" t="s">
        <v>12</v>
      </c>
      <c r="C605" s="20" t="s">
        <v>23</v>
      </c>
      <c r="D605" s="20" t="s">
        <v>14</v>
      </c>
      <c r="E605" s="20" t="s">
        <v>15</v>
      </c>
      <c r="F605" s="20">
        <v>3280.07</v>
      </c>
      <c r="G605" s="11">
        <f>VLOOKUP(A605,'Operational Data'!$A$2:$E$201,3,FALSE)</f>
        <v>40226</v>
      </c>
      <c r="H605" s="11">
        <f>VLOOKUP(A605,'Operational Data'!$A$2:$E$201,4,FALSE)</f>
        <v>7868.86</v>
      </c>
      <c r="I605" s="11">
        <f>VLOOKUP(A605,'Operational Data'!$A$2:$E$201,5,FALSE)</f>
        <v>80.53</v>
      </c>
      <c r="J605" s="21">
        <f t="shared" si="9"/>
        <v>8.1541043106448566E-2</v>
      </c>
    </row>
    <row r="606" spans="1:10" x14ac:dyDescent="0.25">
      <c r="A606" s="20" t="s">
        <v>46</v>
      </c>
      <c r="B606" s="20" t="s">
        <v>30</v>
      </c>
      <c r="C606" s="20" t="s">
        <v>34</v>
      </c>
      <c r="D606" s="20" t="s">
        <v>28</v>
      </c>
      <c r="E606" s="20" t="s">
        <v>15</v>
      </c>
      <c r="F606" s="20">
        <v>632.11</v>
      </c>
      <c r="G606" s="11">
        <f>VLOOKUP(A606,'Operational Data'!$A$2:$E$201,3,FALSE)</f>
        <v>43490</v>
      </c>
      <c r="H606" s="11">
        <f>VLOOKUP(A606,'Operational Data'!$A$2:$E$201,4,FALSE)</f>
        <v>9300.8799999999992</v>
      </c>
      <c r="I606" s="11">
        <f>VLOOKUP(A606,'Operational Data'!$A$2:$E$201,5,FALSE)</f>
        <v>58.43</v>
      </c>
      <c r="J606" s="21">
        <f t="shared" si="9"/>
        <v>1.4534605656472752E-2</v>
      </c>
    </row>
    <row r="607" spans="1:10" x14ac:dyDescent="0.25">
      <c r="A607" s="20" t="s">
        <v>175</v>
      </c>
      <c r="B607" s="20" t="s">
        <v>7</v>
      </c>
      <c r="C607" s="20" t="s">
        <v>13</v>
      </c>
      <c r="D607" s="20" t="s">
        <v>14</v>
      </c>
      <c r="E607" s="20" t="s">
        <v>10</v>
      </c>
      <c r="F607" s="20">
        <v>2914.08</v>
      </c>
      <c r="G607" s="11">
        <f>VLOOKUP(A607,'Operational Data'!$A$2:$E$201,3,FALSE)</f>
        <v>83923</v>
      </c>
      <c r="H607" s="11">
        <f>VLOOKUP(A607,'Operational Data'!$A$2:$E$201,4,FALSE)</f>
        <v>8768.7999999999993</v>
      </c>
      <c r="I607" s="11">
        <f>VLOOKUP(A607,'Operational Data'!$A$2:$E$201,5,FALSE)</f>
        <v>65.290000000000006</v>
      </c>
      <c r="J607" s="21">
        <f t="shared" si="9"/>
        <v>3.4723258224801302E-2</v>
      </c>
    </row>
    <row r="608" spans="1:10" x14ac:dyDescent="0.25">
      <c r="A608" s="20" t="s">
        <v>63</v>
      </c>
      <c r="B608" s="20" t="s">
        <v>12</v>
      </c>
      <c r="C608" s="20" t="s">
        <v>34</v>
      </c>
      <c r="D608" s="20" t="s">
        <v>28</v>
      </c>
      <c r="E608" s="20" t="s">
        <v>10</v>
      </c>
      <c r="F608" s="20">
        <v>637.63</v>
      </c>
      <c r="G608" s="11">
        <f>VLOOKUP(A608,'Operational Data'!$A$2:$E$201,3,FALSE)</f>
        <v>33688</v>
      </c>
      <c r="H608" s="11">
        <f>VLOOKUP(A608,'Operational Data'!$A$2:$E$201,4,FALSE)</f>
        <v>9495.48</v>
      </c>
      <c r="I608" s="11">
        <f>VLOOKUP(A608,'Operational Data'!$A$2:$E$201,5,FALSE)</f>
        <v>55.55</v>
      </c>
      <c r="J608" s="21">
        <f t="shared" si="9"/>
        <v>1.8927511279981001E-2</v>
      </c>
    </row>
    <row r="609" spans="1:10" x14ac:dyDescent="0.25">
      <c r="A609" s="20" t="s">
        <v>97</v>
      </c>
      <c r="B609" s="20" t="s">
        <v>7</v>
      </c>
      <c r="C609" s="20" t="s">
        <v>23</v>
      </c>
      <c r="D609" s="20" t="s">
        <v>14</v>
      </c>
      <c r="E609" s="20" t="s">
        <v>24</v>
      </c>
      <c r="F609" s="20">
        <v>1996.46</v>
      </c>
      <c r="G609" s="11">
        <f>VLOOKUP(A609,'Operational Data'!$A$2:$E$201,3,FALSE)</f>
        <v>78624</v>
      </c>
      <c r="H609" s="11">
        <f>VLOOKUP(A609,'Operational Data'!$A$2:$E$201,4,FALSE)</f>
        <v>2373.27</v>
      </c>
      <c r="I609" s="11">
        <f>VLOOKUP(A609,'Operational Data'!$A$2:$E$201,5,FALSE)</f>
        <v>25.07</v>
      </c>
      <c r="J609" s="21">
        <f t="shared" si="9"/>
        <v>2.5392501017501019E-2</v>
      </c>
    </row>
    <row r="610" spans="1:10" x14ac:dyDescent="0.25">
      <c r="A610" s="20" t="s">
        <v>48</v>
      </c>
      <c r="B610" s="20" t="s">
        <v>19</v>
      </c>
      <c r="C610" s="20" t="s">
        <v>23</v>
      </c>
      <c r="D610" s="20" t="s">
        <v>14</v>
      </c>
      <c r="E610" s="20" t="s">
        <v>24</v>
      </c>
      <c r="F610" s="20">
        <v>1059.26</v>
      </c>
      <c r="G610" s="11">
        <f>VLOOKUP(A610,'Operational Data'!$A$2:$E$201,3,FALSE)</f>
        <v>11952</v>
      </c>
      <c r="H610" s="11">
        <f>VLOOKUP(A610,'Operational Data'!$A$2:$E$201,4,FALSE)</f>
        <v>4637.74</v>
      </c>
      <c r="I610" s="11">
        <f>VLOOKUP(A610,'Operational Data'!$A$2:$E$201,5,FALSE)</f>
        <v>63.78</v>
      </c>
      <c r="J610" s="21">
        <f t="shared" si="9"/>
        <v>8.862617135207497E-2</v>
      </c>
    </row>
    <row r="611" spans="1:10" x14ac:dyDescent="0.25">
      <c r="A611" s="20" t="s">
        <v>36</v>
      </c>
      <c r="B611" s="20" t="s">
        <v>12</v>
      </c>
      <c r="C611" s="20" t="s">
        <v>13</v>
      </c>
      <c r="D611" s="20" t="s">
        <v>9</v>
      </c>
      <c r="E611" s="20" t="s">
        <v>24</v>
      </c>
      <c r="F611" s="20">
        <v>3555.9372720000001</v>
      </c>
      <c r="G611" s="11">
        <f>VLOOKUP(A611,'Operational Data'!$A$2:$E$201,3,FALSE)</f>
        <v>40226</v>
      </c>
      <c r="H611" s="11">
        <f>VLOOKUP(A611,'Operational Data'!$A$2:$E$201,4,FALSE)</f>
        <v>7868.86</v>
      </c>
      <c r="I611" s="11">
        <f>VLOOKUP(A611,'Operational Data'!$A$2:$E$201,5,FALSE)</f>
        <v>80.53</v>
      </c>
      <c r="J611" s="21">
        <f t="shared" si="9"/>
        <v>8.8398977576691698E-2</v>
      </c>
    </row>
    <row r="612" spans="1:10" x14ac:dyDescent="0.25">
      <c r="A612" s="20" t="s">
        <v>99</v>
      </c>
      <c r="B612" s="20" t="s">
        <v>19</v>
      </c>
      <c r="C612" s="20" t="s">
        <v>34</v>
      </c>
      <c r="D612" s="20" t="s">
        <v>14</v>
      </c>
      <c r="E612" s="20" t="s">
        <v>15</v>
      </c>
      <c r="F612" s="20">
        <v>3698.27</v>
      </c>
      <c r="G612" s="11">
        <f>VLOOKUP(A612,'Operational Data'!$A$2:$E$201,3,FALSE)</f>
        <v>77400</v>
      </c>
      <c r="H612" s="11">
        <f>VLOOKUP(A612,'Operational Data'!$A$2:$E$201,4,FALSE)</f>
        <v>7504.8</v>
      </c>
      <c r="I612" s="11">
        <f>VLOOKUP(A612,'Operational Data'!$A$2:$E$201,5,FALSE)</f>
        <v>68.819999999999993</v>
      </c>
      <c r="J612" s="21">
        <f t="shared" si="9"/>
        <v>4.7781266149870799E-2</v>
      </c>
    </row>
    <row r="613" spans="1:10" x14ac:dyDescent="0.25">
      <c r="A613" s="20" t="s">
        <v>175</v>
      </c>
      <c r="B613" s="20" t="s">
        <v>7</v>
      </c>
      <c r="C613" s="20" t="s">
        <v>34</v>
      </c>
      <c r="D613" s="20" t="s">
        <v>14</v>
      </c>
      <c r="E613" s="20" t="s">
        <v>15</v>
      </c>
      <c r="F613" s="20">
        <v>2286.9699999999998</v>
      </c>
      <c r="G613" s="11">
        <f>VLOOKUP(A613,'Operational Data'!$A$2:$E$201,3,FALSE)</f>
        <v>83923</v>
      </c>
      <c r="H613" s="11">
        <f>VLOOKUP(A613,'Operational Data'!$A$2:$E$201,4,FALSE)</f>
        <v>8768.7999999999993</v>
      </c>
      <c r="I613" s="11">
        <f>VLOOKUP(A613,'Operational Data'!$A$2:$E$201,5,FALSE)</f>
        <v>65.290000000000006</v>
      </c>
      <c r="J613" s="21">
        <f t="shared" si="9"/>
        <v>2.7250813245475018E-2</v>
      </c>
    </row>
    <row r="614" spans="1:10" x14ac:dyDescent="0.25">
      <c r="A614" s="20" t="s">
        <v>41</v>
      </c>
      <c r="B614" s="20" t="s">
        <v>30</v>
      </c>
      <c r="C614" s="20" t="s">
        <v>34</v>
      </c>
      <c r="D614" s="20" t="s">
        <v>14</v>
      </c>
      <c r="E614" s="20" t="s">
        <v>24</v>
      </c>
      <c r="F614" s="20">
        <v>3316.45</v>
      </c>
      <c r="G614" s="11">
        <f>VLOOKUP(A614,'Operational Data'!$A$2:$E$201,3,FALSE)</f>
        <v>61743</v>
      </c>
      <c r="H614" s="11">
        <f>VLOOKUP(A614,'Operational Data'!$A$2:$E$201,4,FALSE)</f>
        <v>7426.75</v>
      </c>
      <c r="I614" s="11">
        <f>VLOOKUP(A614,'Operational Data'!$A$2:$E$201,5,FALSE)</f>
        <v>26.39</v>
      </c>
      <c r="J614" s="21">
        <f t="shared" si="9"/>
        <v>5.3713781319339841E-2</v>
      </c>
    </row>
    <row r="615" spans="1:10" x14ac:dyDescent="0.25">
      <c r="A615" s="20" t="s">
        <v>95</v>
      </c>
      <c r="B615" s="20" t="s">
        <v>30</v>
      </c>
      <c r="C615" s="20" t="s">
        <v>23</v>
      </c>
      <c r="D615" s="20" t="s">
        <v>28</v>
      </c>
      <c r="E615" s="20" t="s">
        <v>24</v>
      </c>
      <c r="F615" s="20">
        <v>1242.96</v>
      </c>
      <c r="G615" s="11">
        <f>VLOOKUP(A615,'Operational Data'!$A$2:$E$201,3,FALSE)</f>
        <v>51800</v>
      </c>
      <c r="H615" s="11">
        <f>VLOOKUP(A615,'Operational Data'!$A$2:$E$201,4,FALSE)</f>
        <v>3042.95</v>
      </c>
      <c r="I615" s="11">
        <f>VLOOKUP(A615,'Operational Data'!$A$2:$E$201,5,FALSE)</f>
        <v>71.87</v>
      </c>
      <c r="J615" s="21">
        <f t="shared" si="9"/>
        <v>2.3995366795366797E-2</v>
      </c>
    </row>
    <row r="616" spans="1:10" x14ac:dyDescent="0.25">
      <c r="A616" s="20" t="s">
        <v>48</v>
      </c>
      <c r="B616" s="20" t="s">
        <v>19</v>
      </c>
      <c r="C616" s="20" t="s">
        <v>34</v>
      </c>
      <c r="D616" s="20" t="s">
        <v>28</v>
      </c>
      <c r="E616" s="20" t="s">
        <v>10</v>
      </c>
      <c r="F616" s="20">
        <v>3792.28</v>
      </c>
      <c r="G616" s="11">
        <f>VLOOKUP(A616,'Operational Data'!$A$2:$E$201,3,FALSE)</f>
        <v>11952</v>
      </c>
      <c r="H616" s="11">
        <f>VLOOKUP(A616,'Operational Data'!$A$2:$E$201,4,FALSE)</f>
        <v>4637.74</v>
      </c>
      <c r="I616" s="11">
        <f>VLOOKUP(A616,'Operational Data'!$A$2:$E$201,5,FALSE)</f>
        <v>63.78</v>
      </c>
      <c r="J616" s="21">
        <f t="shared" si="9"/>
        <v>0.31729250334672021</v>
      </c>
    </row>
    <row r="617" spans="1:10" x14ac:dyDescent="0.25">
      <c r="A617" s="20" t="s">
        <v>107</v>
      </c>
      <c r="B617" s="20" t="s">
        <v>30</v>
      </c>
      <c r="C617" s="20" t="s">
        <v>34</v>
      </c>
      <c r="D617" s="20" t="s">
        <v>9</v>
      </c>
      <c r="E617" s="20" t="s">
        <v>15</v>
      </c>
      <c r="F617" s="20">
        <v>4685.3057760000002</v>
      </c>
      <c r="G617" s="11">
        <f>VLOOKUP(A617,'Operational Data'!$A$2:$E$201,3,FALSE)</f>
        <v>69305</v>
      </c>
      <c r="H617" s="11">
        <f>VLOOKUP(A617,'Operational Data'!$A$2:$E$201,4,FALSE)</f>
        <v>3203.67</v>
      </c>
      <c r="I617" s="11">
        <f>VLOOKUP(A617,'Operational Data'!$A$2:$E$201,5,FALSE)</f>
        <v>83.65</v>
      </c>
      <c r="J617" s="21">
        <f t="shared" si="9"/>
        <v>6.7604152312242982E-2</v>
      </c>
    </row>
    <row r="618" spans="1:10" ht="30" x14ac:dyDescent="0.25">
      <c r="A618" s="20" t="s">
        <v>26</v>
      </c>
      <c r="B618" s="20" t="s">
        <v>17</v>
      </c>
      <c r="C618" s="20" t="s">
        <v>13</v>
      </c>
      <c r="D618" s="20" t="s">
        <v>28</v>
      </c>
      <c r="E618" s="20" t="s">
        <v>24</v>
      </c>
      <c r="F618" s="20">
        <v>2273.65</v>
      </c>
      <c r="G618" s="11">
        <f>VLOOKUP(A618,'Operational Data'!$A$2:$E$201,3,FALSE)</f>
        <v>17311</v>
      </c>
      <c r="H618" s="11">
        <f>VLOOKUP(A618,'Operational Data'!$A$2:$E$201,4,FALSE)</f>
        <v>2257.38</v>
      </c>
      <c r="I618" s="11">
        <f>VLOOKUP(A618,'Operational Data'!$A$2:$E$201,5,FALSE)</f>
        <v>91.07</v>
      </c>
      <c r="J618" s="21">
        <f t="shared" si="9"/>
        <v>0.13134134365432384</v>
      </c>
    </row>
    <row r="619" spans="1:10" x14ac:dyDescent="0.25">
      <c r="A619" s="20" t="s">
        <v>144</v>
      </c>
      <c r="B619" s="20" t="s">
        <v>30</v>
      </c>
      <c r="C619" s="20" t="s">
        <v>23</v>
      </c>
      <c r="D619" s="20" t="s">
        <v>9</v>
      </c>
      <c r="E619" s="20" t="s">
        <v>24</v>
      </c>
      <c r="F619" s="20">
        <v>3021.59</v>
      </c>
      <c r="G619" s="11">
        <f>VLOOKUP(A619,'Operational Data'!$A$2:$E$201,3,FALSE)</f>
        <v>11426</v>
      </c>
      <c r="H619" s="11">
        <f>VLOOKUP(A619,'Operational Data'!$A$2:$E$201,4,FALSE)</f>
        <v>4439.5600000000004</v>
      </c>
      <c r="I619" s="11">
        <f>VLOOKUP(A619,'Operational Data'!$A$2:$E$201,5,FALSE)</f>
        <v>52.71</v>
      </c>
      <c r="J619" s="21">
        <f t="shared" si="9"/>
        <v>0.26444862594083668</v>
      </c>
    </row>
    <row r="620" spans="1:10" ht="30" x14ac:dyDescent="0.25">
      <c r="A620" s="20" t="s">
        <v>43</v>
      </c>
      <c r="B620" s="20" t="s">
        <v>17</v>
      </c>
      <c r="C620" s="20" t="s">
        <v>34</v>
      </c>
      <c r="D620" s="20" t="s">
        <v>28</v>
      </c>
      <c r="E620" s="20" t="s">
        <v>24</v>
      </c>
      <c r="F620" s="20">
        <v>1312.78</v>
      </c>
      <c r="G620" s="11">
        <f>VLOOKUP(A620,'Operational Data'!$A$2:$E$201,3,FALSE)</f>
        <v>41168</v>
      </c>
      <c r="H620" s="11">
        <f>VLOOKUP(A620,'Operational Data'!$A$2:$E$201,4,FALSE)</f>
        <v>8226.77</v>
      </c>
      <c r="I620" s="11">
        <f>VLOOKUP(A620,'Operational Data'!$A$2:$E$201,5,FALSE)</f>
        <v>42.55</v>
      </c>
      <c r="J620" s="21">
        <f t="shared" si="9"/>
        <v>3.1888359891177616E-2</v>
      </c>
    </row>
    <row r="621" spans="1:10" x14ac:dyDescent="0.25">
      <c r="A621" s="20" t="s">
        <v>21</v>
      </c>
      <c r="B621" s="20" t="s">
        <v>19</v>
      </c>
      <c r="C621" s="20" t="s">
        <v>34</v>
      </c>
      <c r="D621" s="20" t="s">
        <v>9</v>
      </c>
      <c r="E621" s="20" t="s">
        <v>15</v>
      </c>
      <c r="F621" s="20">
        <v>1829.705449</v>
      </c>
      <c r="G621" s="11">
        <f>VLOOKUP(A621,'Operational Data'!$A$2:$E$201,3,FALSE)</f>
        <v>61157</v>
      </c>
      <c r="H621" s="11">
        <f>VLOOKUP(A621,'Operational Data'!$A$2:$E$201,4,FALSE)</f>
        <v>7331.54</v>
      </c>
      <c r="I621" s="11">
        <f>VLOOKUP(A621,'Operational Data'!$A$2:$E$201,5,FALSE)</f>
        <v>55.52</v>
      </c>
      <c r="J621" s="21">
        <f t="shared" si="9"/>
        <v>2.991816879506843E-2</v>
      </c>
    </row>
    <row r="622" spans="1:10" x14ac:dyDescent="0.25">
      <c r="A622" s="20" t="s">
        <v>101</v>
      </c>
      <c r="B622" s="20" t="s">
        <v>19</v>
      </c>
      <c r="C622" s="20" t="s">
        <v>34</v>
      </c>
      <c r="D622" s="20" t="s">
        <v>9</v>
      </c>
      <c r="E622" s="20" t="s">
        <v>15</v>
      </c>
      <c r="F622" s="20">
        <v>1549.717801</v>
      </c>
      <c r="G622" s="11">
        <f>VLOOKUP(A622,'Operational Data'!$A$2:$E$201,3,FALSE)</f>
        <v>39050</v>
      </c>
      <c r="H622" s="11">
        <f>VLOOKUP(A622,'Operational Data'!$A$2:$E$201,4,FALSE)</f>
        <v>5885.73</v>
      </c>
      <c r="I622" s="11">
        <f>VLOOKUP(A622,'Operational Data'!$A$2:$E$201,5,FALSE)</f>
        <v>93.04</v>
      </c>
      <c r="J622" s="21">
        <f t="shared" si="9"/>
        <v>3.9685475057618436E-2</v>
      </c>
    </row>
    <row r="623" spans="1:10" ht="30" x14ac:dyDescent="0.25">
      <c r="A623" s="20" t="s">
        <v>136</v>
      </c>
      <c r="B623" s="20" t="s">
        <v>17</v>
      </c>
      <c r="C623" s="20" t="s">
        <v>8</v>
      </c>
      <c r="D623" s="20" t="s">
        <v>28</v>
      </c>
      <c r="E623" s="20" t="s">
        <v>10</v>
      </c>
      <c r="F623" s="20">
        <v>2500.38</v>
      </c>
      <c r="G623" s="11">
        <f>VLOOKUP(A623,'Operational Data'!$A$2:$E$201,3,FALSE)</f>
        <v>15128</v>
      </c>
      <c r="H623" s="11">
        <f>VLOOKUP(A623,'Operational Data'!$A$2:$E$201,4,FALSE)</f>
        <v>8847.09</v>
      </c>
      <c r="I623" s="11">
        <f>VLOOKUP(A623,'Operational Data'!$A$2:$E$201,5,FALSE)</f>
        <v>5.25</v>
      </c>
      <c r="J623" s="21">
        <f t="shared" si="9"/>
        <v>0.16528159703860393</v>
      </c>
    </row>
    <row r="624" spans="1:10" x14ac:dyDescent="0.25">
      <c r="A624" s="20" t="s">
        <v>56</v>
      </c>
      <c r="B624" s="20" t="s">
        <v>19</v>
      </c>
      <c r="C624" s="20" t="s">
        <v>13</v>
      </c>
      <c r="D624" s="20" t="s">
        <v>28</v>
      </c>
      <c r="E624" s="20" t="s">
        <v>24</v>
      </c>
      <c r="F624" s="20">
        <v>1314.88</v>
      </c>
      <c r="G624" s="11">
        <f>VLOOKUP(A624,'Operational Data'!$A$2:$E$201,3,FALSE)</f>
        <v>43747</v>
      </c>
      <c r="H624" s="11">
        <f>VLOOKUP(A624,'Operational Data'!$A$2:$E$201,4,FALSE)</f>
        <v>3453.48</v>
      </c>
      <c r="I624" s="11">
        <f>VLOOKUP(A624,'Operational Data'!$A$2:$E$201,5,FALSE)</f>
        <v>98.78</v>
      </c>
      <c r="J624" s="21">
        <f t="shared" si="9"/>
        <v>3.0056461014469567E-2</v>
      </c>
    </row>
    <row r="625" spans="1:10" x14ac:dyDescent="0.25">
      <c r="A625" s="20" t="s">
        <v>141</v>
      </c>
      <c r="B625" s="20" t="s">
        <v>7</v>
      </c>
      <c r="C625" s="20" t="s">
        <v>34</v>
      </c>
      <c r="D625" s="20" t="s">
        <v>28</v>
      </c>
      <c r="E625" s="20" t="s">
        <v>24</v>
      </c>
      <c r="F625" s="20">
        <v>2425.58</v>
      </c>
      <c r="G625" s="11">
        <f>VLOOKUP(A625,'Operational Data'!$A$2:$E$201,3,FALSE)</f>
        <v>45644</v>
      </c>
      <c r="H625" s="11">
        <f>VLOOKUP(A625,'Operational Data'!$A$2:$E$201,4,FALSE)</f>
        <v>7724.73</v>
      </c>
      <c r="I625" s="11">
        <f>VLOOKUP(A625,'Operational Data'!$A$2:$E$201,5,FALSE)</f>
        <v>31</v>
      </c>
      <c r="J625" s="21">
        <f t="shared" si="9"/>
        <v>5.314126719831741E-2</v>
      </c>
    </row>
    <row r="626" spans="1:10" x14ac:dyDescent="0.25">
      <c r="A626" s="20" t="s">
        <v>35</v>
      </c>
      <c r="B626" s="20" t="s">
        <v>19</v>
      </c>
      <c r="C626" s="20" t="s">
        <v>13</v>
      </c>
      <c r="D626" s="20" t="s">
        <v>14</v>
      </c>
      <c r="E626" s="20" t="s">
        <v>15</v>
      </c>
      <c r="F626" s="20">
        <v>3143.07</v>
      </c>
      <c r="G626" s="11">
        <f>VLOOKUP(A626,'Operational Data'!$A$2:$E$201,3,FALSE)</f>
        <v>42382</v>
      </c>
      <c r="H626" s="11">
        <f>VLOOKUP(A626,'Operational Data'!$A$2:$E$201,4,FALSE)</f>
        <v>5116.6899999999996</v>
      </c>
      <c r="I626" s="11">
        <f>VLOOKUP(A626,'Operational Data'!$A$2:$E$201,5,FALSE)</f>
        <v>80.42</v>
      </c>
      <c r="J626" s="21">
        <f t="shared" si="9"/>
        <v>7.4160492661979147E-2</v>
      </c>
    </row>
    <row r="627" spans="1:10" x14ac:dyDescent="0.25">
      <c r="A627" s="20" t="s">
        <v>210</v>
      </c>
      <c r="B627" s="20" t="s">
        <v>7</v>
      </c>
      <c r="C627" s="20" t="s">
        <v>34</v>
      </c>
      <c r="D627" s="20" t="s">
        <v>28</v>
      </c>
      <c r="E627" s="20" t="s">
        <v>15</v>
      </c>
      <c r="F627" s="20">
        <v>3426.65</v>
      </c>
      <c r="G627" s="11">
        <f>VLOOKUP(A627,'Operational Data'!$A$2:$E$201,3,FALSE)</f>
        <v>65666</v>
      </c>
      <c r="H627" s="11">
        <f>VLOOKUP(A627,'Operational Data'!$A$2:$E$201,4,FALSE)</f>
        <v>7269.98</v>
      </c>
      <c r="I627" s="11">
        <f>VLOOKUP(A627,'Operational Data'!$A$2:$E$201,5,FALSE)</f>
        <v>75.62</v>
      </c>
      <c r="J627" s="21">
        <f t="shared" si="9"/>
        <v>5.2183017086467887E-2</v>
      </c>
    </row>
    <row r="628" spans="1:10" x14ac:dyDescent="0.25">
      <c r="A628" s="20" t="s">
        <v>50</v>
      </c>
      <c r="B628" s="20" t="s">
        <v>19</v>
      </c>
      <c r="C628" s="20" t="s">
        <v>34</v>
      </c>
      <c r="D628" s="20" t="s">
        <v>9</v>
      </c>
      <c r="E628" s="20" t="s">
        <v>15</v>
      </c>
      <c r="F628" s="20">
        <v>3334.694031</v>
      </c>
      <c r="G628" s="11">
        <f>VLOOKUP(A628,'Operational Data'!$A$2:$E$201,3,FALSE)</f>
        <v>40577</v>
      </c>
      <c r="H628" s="11">
        <f>VLOOKUP(A628,'Operational Data'!$A$2:$E$201,4,FALSE)</f>
        <v>4280.82</v>
      </c>
      <c r="I628" s="11">
        <f>VLOOKUP(A628,'Operational Data'!$A$2:$E$201,5,FALSE)</f>
        <v>79.88</v>
      </c>
      <c r="J628" s="21">
        <f t="shared" si="9"/>
        <v>8.2181877196441336E-2</v>
      </c>
    </row>
    <row r="629" spans="1:10" x14ac:dyDescent="0.25">
      <c r="A629" s="20" t="s">
        <v>103</v>
      </c>
      <c r="B629" s="20" t="s">
        <v>19</v>
      </c>
      <c r="C629" s="20" t="s">
        <v>8</v>
      </c>
      <c r="D629" s="20" t="s">
        <v>28</v>
      </c>
      <c r="E629" s="20" t="s">
        <v>24</v>
      </c>
      <c r="F629" s="20">
        <v>1554.47</v>
      </c>
      <c r="G629" s="11">
        <f>VLOOKUP(A629,'Operational Data'!$A$2:$E$201,3,FALSE)</f>
        <v>38869</v>
      </c>
      <c r="H629" s="11">
        <f>VLOOKUP(A629,'Operational Data'!$A$2:$E$201,4,FALSE)</f>
        <v>5109.76</v>
      </c>
      <c r="I629" s="11">
        <f>VLOOKUP(A629,'Operational Data'!$A$2:$E$201,5,FALSE)</f>
        <v>35.270000000000003</v>
      </c>
      <c r="J629" s="21">
        <f t="shared" si="9"/>
        <v>3.9992539041395457E-2</v>
      </c>
    </row>
    <row r="630" spans="1:10" x14ac:dyDescent="0.25">
      <c r="A630" s="20" t="s">
        <v>163</v>
      </c>
      <c r="B630" s="20" t="s">
        <v>19</v>
      </c>
      <c r="C630" s="20" t="s">
        <v>13</v>
      </c>
      <c r="D630" s="20" t="s">
        <v>9</v>
      </c>
      <c r="E630" s="20" t="s">
        <v>24</v>
      </c>
      <c r="F630" s="20">
        <v>613.2168762</v>
      </c>
      <c r="G630" s="11">
        <f>VLOOKUP(A630,'Operational Data'!$A$2:$E$201,3,FALSE)</f>
        <v>87482</v>
      </c>
      <c r="H630" s="11">
        <f>VLOOKUP(A630,'Operational Data'!$A$2:$E$201,4,FALSE)</f>
        <v>2231.7399999999998</v>
      </c>
      <c r="I630" s="11">
        <f>VLOOKUP(A630,'Operational Data'!$A$2:$E$201,5,FALSE)</f>
        <v>45.43</v>
      </c>
      <c r="J630" s="21">
        <f t="shared" si="9"/>
        <v>7.0096348528840219E-3</v>
      </c>
    </row>
    <row r="631" spans="1:10" x14ac:dyDescent="0.25">
      <c r="A631" s="20" t="s">
        <v>72</v>
      </c>
      <c r="B631" s="20" t="s">
        <v>19</v>
      </c>
      <c r="C631" s="20" t="s">
        <v>34</v>
      </c>
      <c r="D631" s="20" t="s">
        <v>28</v>
      </c>
      <c r="E631" s="20" t="s">
        <v>24</v>
      </c>
      <c r="F631" s="20">
        <v>2269.8200000000002</v>
      </c>
      <c r="G631" s="11">
        <f>VLOOKUP(A631,'Operational Data'!$A$2:$E$201,3,FALSE)</f>
        <v>29318</v>
      </c>
      <c r="H631" s="11">
        <f>VLOOKUP(A631,'Operational Data'!$A$2:$E$201,4,FALSE)</f>
        <v>9860.6200000000008</v>
      </c>
      <c r="I631" s="11">
        <f>VLOOKUP(A631,'Operational Data'!$A$2:$E$201,5,FALSE)</f>
        <v>14.58</v>
      </c>
      <c r="J631" s="21">
        <f t="shared" si="9"/>
        <v>7.7420697182618195E-2</v>
      </c>
    </row>
    <row r="632" spans="1:10" x14ac:dyDescent="0.25">
      <c r="A632" s="20" t="s">
        <v>155</v>
      </c>
      <c r="B632" s="20" t="s">
        <v>7</v>
      </c>
      <c r="C632" s="20" t="s">
        <v>8</v>
      </c>
      <c r="D632" s="20" t="s">
        <v>9</v>
      </c>
      <c r="E632" s="20" t="s">
        <v>24</v>
      </c>
      <c r="F632" s="20">
        <v>1258.557671</v>
      </c>
      <c r="G632" s="11">
        <f>VLOOKUP(A632,'Operational Data'!$A$2:$E$201,3,FALSE)</f>
        <v>72224</v>
      </c>
      <c r="H632" s="11">
        <f>VLOOKUP(A632,'Operational Data'!$A$2:$E$201,4,FALSE)</f>
        <v>1613.32</v>
      </c>
      <c r="I632" s="11">
        <f>VLOOKUP(A632,'Operational Data'!$A$2:$E$201,5,FALSE)</f>
        <v>39.21</v>
      </c>
      <c r="J632" s="21">
        <f t="shared" si="9"/>
        <v>1.7425754195281348E-2</v>
      </c>
    </row>
    <row r="633" spans="1:10" x14ac:dyDescent="0.25">
      <c r="A633" s="20" t="s">
        <v>18</v>
      </c>
      <c r="B633" s="20" t="s">
        <v>19</v>
      </c>
      <c r="C633" s="20" t="s">
        <v>8</v>
      </c>
      <c r="D633" s="20" t="s">
        <v>14</v>
      </c>
      <c r="E633" s="20" t="s">
        <v>10</v>
      </c>
      <c r="F633" s="20">
        <v>2102.71</v>
      </c>
      <c r="G633" s="11">
        <f>VLOOKUP(A633,'Operational Data'!$A$2:$E$201,3,FALSE)</f>
        <v>98682</v>
      </c>
      <c r="H633" s="11">
        <f>VLOOKUP(A633,'Operational Data'!$A$2:$E$201,4,FALSE)</f>
        <v>6220.56</v>
      </c>
      <c r="I633" s="11">
        <f>VLOOKUP(A633,'Operational Data'!$A$2:$E$201,5,FALSE)</f>
        <v>70.099999999999994</v>
      </c>
      <c r="J633" s="21">
        <f t="shared" si="9"/>
        <v>2.1307938631158672E-2</v>
      </c>
    </row>
    <row r="634" spans="1:10" x14ac:dyDescent="0.25">
      <c r="A634" s="20" t="s">
        <v>91</v>
      </c>
      <c r="B634" s="20" t="s">
        <v>30</v>
      </c>
      <c r="C634" s="20" t="s">
        <v>13</v>
      </c>
      <c r="D634" s="20" t="s">
        <v>28</v>
      </c>
      <c r="E634" s="20" t="s">
        <v>15</v>
      </c>
      <c r="F634" s="20">
        <v>1951.99</v>
      </c>
      <c r="G634" s="11">
        <f>VLOOKUP(A634,'Operational Data'!$A$2:$E$201,3,FALSE)</f>
        <v>20207</v>
      </c>
      <c r="H634" s="11">
        <f>VLOOKUP(A634,'Operational Data'!$A$2:$E$201,4,FALSE)</f>
        <v>5369.46</v>
      </c>
      <c r="I634" s="11">
        <f>VLOOKUP(A634,'Operational Data'!$A$2:$E$201,5,FALSE)</f>
        <v>57.51</v>
      </c>
      <c r="J634" s="21">
        <f t="shared" si="9"/>
        <v>9.6599693175632204E-2</v>
      </c>
    </row>
    <row r="635" spans="1:10" x14ac:dyDescent="0.25">
      <c r="A635" s="20" t="s">
        <v>165</v>
      </c>
      <c r="B635" s="20" t="s">
        <v>7</v>
      </c>
      <c r="C635" s="20" t="s">
        <v>8</v>
      </c>
      <c r="D635" s="20" t="s">
        <v>9</v>
      </c>
      <c r="E635" s="20" t="s">
        <v>10</v>
      </c>
      <c r="F635" s="20">
        <v>942.65605679999999</v>
      </c>
      <c r="G635" s="11">
        <f>VLOOKUP(A635,'Operational Data'!$A$2:$E$201,3,FALSE)</f>
        <v>32991</v>
      </c>
      <c r="H635" s="11">
        <f>VLOOKUP(A635,'Operational Data'!$A$2:$E$201,4,FALSE)</f>
        <v>8540.14</v>
      </c>
      <c r="I635" s="11">
        <f>VLOOKUP(A635,'Operational Data'!$A$2:$E$201,5,FALSE)</f>
        <v>37.75</v>
      </c>
      <c r="J635" s="21">
        <f t="shared" si="9"/>
        <v>2.8573127725743386E-2</v>
      </c>
    </row>
    <row r="636" spans="1:10" x14ac:dyDescent="0.25">
      <c r="A636" s="20" t="s">
        <v>18</v>
      </c>
      <c r="B636" s="20" t="s">
        <v>19</v>
      </c>
      <c r="C636" s="20" t="s">
        <v>8</v>
      </c>
      <c r="D636" s="20" t="s">
        <v>14</v>
      </c>
      <c r="E636" s="20" t="s">
        <v>24</v>
      </c>
      <c r="F636" s="20">
        <v>4612.42</v>
      </c>
      <c r="G636" s="11">
        <f>VLOOKUP(A636,'Operational Data'!$A$2:$E$201,3,FALSE)</f>
        <v>98682</v>
      </c>
      <c r="H636" s="11">
        <f>VLOOKUP(A636,'Operational Data'!$A$2:$E$201,4,FALSE)</f>
        <v>6220.56</v>
      </c>
      <c r="I636" s="11">
        <f>VLOOKUP(A636,'Operational Data'!$A$2:$E$201,5,FALSE)</f>
        <v>70.099999999999994</v>
      </c>
      <c r="J636" s="21">
        <f t="shared" si="9"/>
        <v>4.674023631462678E-2</v>
      </c>
    </row>
    <row r="637" spans="1:10" ht="30" x14ac:dyDescent="0.25">
      <c r="A637" s="20" t="s">
        <v>137</v>
      </c>
      <c r="B637" s="20" t="s">
        <v>17</v>
      </c>
      <c r="C637" s="20" t="s">
        <v>23</v>
      </c>
      <c r="D637" s="20" t="s">
        <v>9</v>
      </c>
      <c r="E637" s="20" t="s">
        <v>15</v>
      </c>
      <c r="F637" s="20">
        <v>5180.6869040000001</v>
      </c>
      <c r="G637" s="11">
        <f>VLOOKUP(A637,'Operational Data'!$A$2:$E$201,3,FALSE)</f>
        <v>19265</v>
      </c>
      <c r="H637" s="11">
        <f>VLOOKUP(A637,'Operational Data'!$A$2:$E$201,4,FALSE)</f>
        <v>776.6</v>
      </c>
      <c r="I637" s="11">
        <f>VLOOKUP(A637,'Operational Data'!$A$2:$E$201,5,FALSE)</f>
        <v>39.75</v>
      </c>
      <c r="J637" s="21">
        <f t="shared" si="9"/>
        <v>0.26891704666493643</v>
      </c>
    </row>
    <row r="638" spans="1:10" x14ac:dyDescent="0.25">
      <c r="A638" s="20" t="s">
        <v>111</v>
      </c>
      <c r="B638" s="20" t="s">
        <v>19</v>
      </c>
      <c r="C638" s="20" t="s">
        <v>23</v>
      </c>
      <c r="D638" s="20" t="s">
        <v>9</v>
      </c>
      <c r="E638" s="20" t="s">
        <v>10</v>
      </c>
      <c r="F638" s="20">
        <v>3307.6824809999998</v>
      </c>
      <c r="G638" s="11">
        <f>VLOOKUP(A638,'Operational Data'!$A$2:$E$201,3,FALSE)</f>
        <v>37309</v>
      </c>
      <c r="H638" s="11">
        <f>VLOOKUP(A638,'Operational Data'!$A$2:$E$201,4,FALSE)</f>
        <v>4508.54</v>
      </c>
      <c r="I638" s="11">
        <f>VLOOKUP(A638,'Operational Data'!$A$2:$E$201,5,FALSE)</f>
        <v>47.15</v>
      </c>
      <c r="J638" s="21">
        <f t="shared" si="9"/>
        <v>8.8656422873837404E-2</v>
      </c>
    </row>
    <row r="639" spans="1:10" x14ac:dyDescent="0.25">
      <c r="A639" s="20" t="s">
        <v>211</v>
      </c>
      <c r="B639" s="20" t="s">
        <v>7</v>
      </c>
      <c r="C639" s="20" t="s">
        <v>8</v>
      </c>
      <c r="D639" s="20" t="s">
        <v>28</v>
      </c>
      <c r="E639" s="20" t="s">
        <v>24</v>
      </c>
      <c r="F639" s="20">
        <v>4673.95</v>
      </c>
      <c r="G639" s="11">
        <f>VLOOKUP(A639,'Operational Data'!$A$2:$E$201,3,FALSE)</f>
        <v>27028</v>
      </c>
      <c r="H639" s="11">
        <f>VLOOKUP(A639,'Operational Data'!$A$2:$E$201,4,FALSE)</f>
        <v>4617.92</v>
      </c>
      <c r="I639" s="11">
        <f>VLOOKUP(A639,'Operational Data'!$A$2:$E$201,5,FALSE)</f>
        <v>57.62</v>
      </c>
      <c r="J639" s="21">
        <f t="shared" si="9"/>
        <v>0.17292992452271719</v>
      </c>
    </row>
    <row r="640" spans="1:10" ht="30" x14ac:dyDescent="0.25">
      <c r="A640" s="20" t="s">
        <v>143</v>
      </c>
      <c r="B640" s="20" t="s">
        <v>17</v>
      </c>
      <c r="C640" s="20" t="s">
        <v>8</v>
      </c>
      <c r="D640" s="20" t="s">
        <v>28</v>
      </c>
      <c r="E640" s="20" t="s">
        <v>24</v>
      </c>
      <c r="F640" s="20">
        <v>2977.11</v>
      </c>
      <c r="G640" s="11">
        <f>VLOOKUP(A640,'Operational Data'!$A$2:$E$201,3,FALSE)</f>
        <v>94704</v>
      </c>
      <c r="H640" s="11">
        <f>VLOOKUP(A640,'Operational Data'!$A$2:$E$201,4,FALSE)</f>
        <v>6632.95</v>
      </c>
      <c r="I640" s="11">
        <f>VLOOKUP(A640,'Operational Data'!$A$2:$E$201,5,FALSE)</f>
        <v>14.76</v>
      </c>
      <c r="J640" s="21">
        <f t="shared" si="9"/>
        <v>3.1435947795235682E-2</v>
      </c>
    </row>
    <row r="641" spans="1:10" x14ac:dyDescent="0.25">
      <c r="A641" s="20" t="s">
        <v>6</v>
      </c>
      <c r="B641" s="20" t="s">
        <v>7</v>
      </c>
      <c r="C641" s="20" t="s">
        <v>34</v>
      </c>
      <c r="D641" s="20" t="s">
        <v>9</v>
      </c>
      <c r="E641" s="20" t="s">
        <v>15</v>
      </c>
      <c r="F641" s="20">
        <v>2214.8565199999998</v>
      </c>
      <c r="G641" s="11">
        <f>VLOOKUP(A641,'Operational Data'!$A$2:$E$201,3,FALSE)</f>
        <v>77330</v>
      </c>
      <c r="H641" s="11">
        <f>VLOOKUP(A641,'Operational Data'!$A$2:$E$201,4,FALSE)</f>
        <v>6936.58</v>
      </c>
      <c r="I641" s="11">
        <f>VLOOKUP(A641,'Operational Data'!$A$2:$E$201,5,FALSE)</f>
        <v>82.3</v>
      </c>
      <c r="J641" s="21">
        <f t="shared" si="9"/>
        <v>2.8641620587094269E-2</v>
      </c>
    </row>
    <row r="642" spans="1:10" ht="30" x14ac:dyDescent="0.25">
      <c r="A642" s="20" t="s">
        <v>127</v>
      </c>
      <c r="B642" s="20" t="s">
        <v>17</v>
      </c>
      <c r="C642" s="20" t="s">
        <v>34</v>
      </c>
      <c r="D642" s="20" t="s">
        <v>28</v>
      </c>
      <c r="E642" s="20" t="s">
        <v>15</v>
      </c>
      <c r="F642" s="20">
        <v>2253.86</v>
      </c>
      <c r="G642" s="11">
        <f>VLOOKUP(A642,'Operational Data'!$A$2:$E$201,3,FALSE)</f>
        <v>17416</v>
      </c>
      <c r="H642" s="11">
        <f>VLOOKUP(A642,'Operational Data'!$A$2:$E$201,4,FALSE)</f>
        <v>812.06</v>
      </c>
      <c r="I642" s="11">
        <f>VLOOKUP(A642,'Operational Data'!$A$2:$E$201,5,FALSE)</f>
        <v>5.7</v>
      </c>
      <c r="J642" s="21">
        <f t="shared" si="9"/>
        <v>0.12941318327974277</v>
      </c>
    </row>
    <row r="643" spans="1:10" x14ac:dyDescent="0.25">
      <c r="A643" s="20" t="s">
        <v>112</v>
      </c>
      <c r="B643" s="20" t="s">
        <v>30</v>
      </c>
      <c r="C643" s="20" t="s">
        <v>34</v>
      </c>
      <c r="D643" s="20" t="s">
        <v>9</v>
      </c>
      <c r="E643" s="20" t="s">
        <v>10</v>
      </c>
      <c r="F643" s="20">
        <v>2426.7211910000001</v>
      </c>
      <c r="G643" s="11">
        <f>VLOOKUP(A643,'Operational Data'!$A$2:$E$201,3,FALSE)</f>
        <v>43294</v>
      </c>
      <c r="H643" s="11">
        <f>VLOOKUP(A643,'Operational Data'!$A$2:$E$201,4,FALSE)</f>
        <v>3802.13</v>
      </c>
      <c r="I643" s="11">
        <f>VLOOKUP(A643,'Operational Data'!$A$2:$E$201,5,FALSE)</f>
        <v>45.84</v>
      </c>
      <c r="J643" s="21">
        <f t="shared" ref="J643:J706" si="10">F643/G643</f>
        <v>5.6052136346837901E-2</v>
      </c>
    </row>
    <row r="644" spans="1:10" x14ac:dyDescent="0.25">
      <c r="A644" s="20" t="s">
        <v>115</v>
      </c>
      <c r="B644" s="20" t="s">
        <v>19</v>
      </c>
      <c r="C644" s="20" t="s">
        <v>13</v>
      </c>
      <c r="D644" s="20" t="s">
        <v>14</v>
      </c>
      <c r="E644" s="20" t="s">
        <v>24</v>
      </c>
      <c r="F644" s="20">
        <v>2903.42</v>
      </c>
      <c r="G644" s="11">
        <f>VLOOKUP(A644,'Operational Data'!$A$2:$E$201,3,FALSE)</f>
        <v>17162</v>
      </c>
      <c r="H644" s="11">
        <f>VLOOKUP(A644,'Operational Data'!$A$2:$E$201,4,FALSE)</f>
        <v>5079.95</v>
      </c>
      <c r="I644" s="11">
        <f>VLOOKUP(A644,'Operational Data'!$A$2:$E$201,5,FALSE)</f>
        <v>19.239999999999998</v>
      </c>
      <c r="J644" s="21">
        <f t="shared" si="10"/>
        <v>0.16917725206852349</v>
      </c>
    </row>
    <row r="645" spans="1:10" x14ac:dyDescent="0.25">
      <c r="A645" s="20" t="s">
        <v>202</v>
      </c>
      <c r="B645" s="20" t="s">
        <v>12</v>
      </c>
      <c r="C645" s="20" t="s">
        <v>13</v>
      </c>
      <c r="D645" s="20" t="s">
        <v>9</v>
      </c>
      <c r="E645" s="20" t="s">
        <v>10</v>
      </c>
      <c r="F645" s="20">
        <v>3101.8439530000001</v>
      </c>
      <c r="G645" s="11">
        <f>VLOOKUP(A645,'Operational Data'!$A$2:$E$201,3,FALSE)</f>
        <v>28400</v>
      </c>
      <c r="H645" s="11">
        <f>VLOOKUP(A645,'Operational Data'!$A$2:$E$201,4,FALSE)</f>
        <v>3056.67</v>
      </c>
      <c r="I645" s="11">
        <f>VLOOKUP(A645,'Operational Data'!$A$2:$E$201,5,FALSE)</f>
        <v>52.68</v>
      </c>
      <c r="J645" s="21">
        <f t="shared" si="10"/>
        <v>0.1092198575</v>
      </c>
    </row>
    <row r="646" spans="1:10" x14ac:dyDescent="0.25">
      <c r="A646" s="20" t="s">
        <v>139</v>
      </c>
      <c r="B646" s="20" t="s">
        <v>7</v>
      </c>
      <c r="C646" s="20" t="s">
        <v>8</v>
      </c>
      <c r="D646" s="20" t="s">
        <v>9</v>
      </c>
      <c r="E646" s="20" t="s">
        <v>10</v>
      </c>
      <c r="F646" s="20">
        <v>3483.9279729999998</v>
      </c>
      <c r="G646" s="11">
        <f>VLOOKUP(A646,'Operational Data'!$A$2:$E$201,3,FALSE)</f>
        <v>10067</v>
      </c>
      <c r="H646" s="11">
        <f>VLOOKUP(A646,'Operational Data'!$A$2:$E$201,4,FALSE)</f>
        <v>1953.33</v>
      </c>
      <c r="I646" s="11">
        <f>VLOOKUP(A646,'Operational Data'!$A$2:$E$201,5,FALSE)</f>
        <v>25.15</v>
      </c>
      <c r="J646" s="21">
        <f t="shared" si="10"/>
        <v>0.34607410082447598</v>
      </c>
    </row>
    <row r="647" spans="1:10" x14ac:dyDescent="0.25">
      <c r="A647" s="20" t="s">
        <v>41</v>
      </c>
      <c r="B647" s="20" t="s">
        <v>30</v>
      </c>
      <c r="C647" s="20" t="s">
        <v>8</v>
      </c>
      <c r="D647" s="20" t="s">
        <v>28</v>
      </c>
      <c r="E647" s="20" t="s">
        <v>15</v>
      </c>
      <c r="F647" s="20">
        <v>4798.16</v>
      </c>
      <c r="G647" s="11">
        <f>VLOOKUP(A647,'Operational Data'!$A$2:$E$201,3,FALSE)</f>
        <v>61743</v>
      </c>
      <c r="H647" s="11">
        <f>VLOOKUP(A647,'Operational Data'!$A$2:$E$201,4,FALSE)</f>
        <v>7426.75</v>
      </c>
      <c r="I647" s="11">
        <f>VLOOKUP(A647,'Operational Data'!$A$2:$E$201,5,FALSE)</f>
        <v>26.39</v>
      </c>
      <c r="J647" s="21">
        <f t="shared" si="10"/>
        <v>7.7711805386845467E-2</v>
      </c>
    </row>
    <row r="648" spans="1:10" x14ac:dyDescent="0.25">
      <c r="A648" s="20" t="s">
        <v>188</v>
      </c>
      <c r="B648" s="20" t="s">
        <v>19</v>
      </c>
      <c r="C648" s="20" t="s">
        <v>13</v>
      </c>
      <c r="D648" s="20" t="s">
        <v>28</v>
      </c>
      <c r="E648" s="20" t="s">
        <v>10</v>
      </c>
      <c r="F648" s="20">
        <v>2226.6</v>
      </c>
      <c r="G648" s="11">
        <f>VLOOKUP(A648,'Operational Data'!$A$2:$E$201,3,FALSE)</f>
        <v>60513</v>
      </c>
      <c r="H648" s="11">
        <f>VLOOKUP(A648,'Operational Data'!$A$2:$E$201,4,FALSE)</f>
        <v>4578.16</v>
      </c>
      <c r="I648" s="11">
        <f>VLOOKUP(A648,'Operational Data'!$A$2:$E$201,5,FALSE)</f>
        <v>65.53</v>
      </c>
      <c r="J648" s="21">
        <f t="shared" si="10"/>
        <v>3.6795399335679935E-2</v>
      </c>
    </row>
    <row r="649" spans="1:10" ht="30" x14ac:dyDescent="0.25">
      <c r="A649" s="20" t="s">
        <v>156</v>
      </c>
      <c r="B649" s="20" t="s">
        <v>17</v>
      </c>
      <c r="C649" s="20" t="s">
        <v>23</v>
      </c>
      <c r="D649" s="20" t="s">
        <v>9</v>
      </c>
      <c r="E649" s="20" t="s">
        <v>15</v>
      </c>
      <c r="F649" s="20">
        <v>2848.953849</v>
      </c>
      <c r="G649" s="11">
        <f>VLOOKUP(A649,'Operational Data'!$A$2:$E$201,3,FALSE)</f>
        <v>81057</v>
      </c>
      <c r="H649" s="11">
        <f>VLOOKUP(A649,'Operational Data'!$A$2:$E$201,4,FALSE)</f>
        <v>675.41</v>
      </c>
      <c r="I649" s="11">
        <f>VLOOKUP(A649,'Operational Data'!$A$2:$E$201,5,FALSE)</f>
        <v>55.44</v>
      </c>
      <c r="J649" s="21">
        <f t="shared" si="10"/>
        <v>3.5147536289277914E-2</v>
      </c>
    </row>
    <row r="650" spans="1:10" x14ac:dyDescent="0.25">
      <c r="A650" s="20" t="s">
        <v>11</v>
      </c>
      <c r="B650" s="20" t="s">
        <v>12</v>
      </c>
      <c r="C650" s="20" t="s">
        <v>8</v>
      </c>
      <c r="D650" s="20" t="s">
        <v>14</v>
      </c>
      <c r="E650" s="20" t="s">
        <v>24</v>
      </c>
      <c r="F650" s="20">
        <v>751.3</v>
      </c>
      <c r="G650" s="11">
        <f>VLOOKUP(A650,'Operational Data'!$A$2:$E$201,3,FALSE)</f>
        <v>44657</v>
      </c>
      <c r="H650" s="11">
        <f>VLOOKUP(A650,'Operational Data'!$A$2:$E$201,4,FALSE)</f>
        <v>7867.98</v>
      </c>
      <c r="I650" s="11">
        <f>VLOOKUP(A650,'Operational Data'!$A$2:$E$201,5,FALSE)</f>
        <v>96.01</v>
      </c>
      <c r="J650" s="21">
        <f t="shared" si="10"/>
        <v>1.6823790223257272E-2</v>
      </c>
    </row>
    <row r="651" spans="1:10" x14ac:dyDescent="0.25">
      <c r="A651" s="20" t="s">
        <v>64</v>
      </c>
      <c r="B651" s="20" t="s">
        <v>30</v>
      </c>
      <c r="C651" s="20" t="s">
        <v>23</v>
      </c>
      <c r="D651" s="20" t="s">
        <v>28</v>
      </c>
      <c r="E651" s="20" t="s">
        <v>15</v>
      </c>
      <c r="F651" s="20">
        <v>3286.05</v>
      </c>
      <c r="G651" s="11">
        <f>VLOOKUP(A651,'Operational Data'!$A$2:$E$201,3,FALSE)</f>
        <v>52836</v>
      </c>
      <c r="H651" s="11">
        <f>VLOOKUP(A651,'Operational Data'!$A$2:$E$201,4,FALSE)</f>
        <v>9330.2999999999993</v>
      </c>
      <c r="I651" s="11">
        <f>VLOOKUP(A651,'Operational Data'!$A$2:$E$201,5,FALSE)</f>
        <v>87.27</v>
      </c>
      <c r="J651" s="21">
        <f t="shared" si="10"/>
        <v>6.2193390869861462E-2</v>
      </c>
    </row>
    <row r="652" spans="1:10" x14ac:dyDescent="0.25">
      <c r="A652" s="20" t="s">
        <v>100</v>
      </c>
      <c r="B652" s="20" t="s">
        <v>7</v>
      </c>
      <c r="C652" s="20" t="s">
        <v>13</v>
      </c>
      <c r="D652" s="20" t="s">
        <v>28</v>
      </c>
      <c r="E652" s="20" t="s">
        <v>15</v>
      </c>
      <c r="F652" s="20">
        <v>1018.05</v>
      </c>
      <c r="G652" s="11">
        <f>VLOOKUP(A652,'Operational Data'!$A$2:$E$201,3,FALSE)</f>
        <v>17468</v>
      </c>
      <c r="H652" s="11">
        <f>VLOOKUP(A652,'Operational Data'!$A$2:$E$201,4,FALSE)</f>
        <v>6359.73</v>
      </c>
      <c r="I652" s="11">
        <f>VLOOKUP(A652,'Operational Data'!$A$2:$E$201,5,FALSE)</f>
        <v>5.22</v>
      </c>
      <c r="J652" s="21">
        <f t="shared" si="10"/>
        <v>5.82808564231738E-2</v>
      </c>
    </row>
    <row r="653" spans="1:10" x14ac:dyDescent="0.25">
      <c r="A653" s="20" t="s">
        <v>189</v>
      </c>
      <c r="B653" s="20" t="s">
        <v>19</v>
      </c>
      <c r="C653" s="20" t="s">
        <v>34</v>
      </c>
      <c r="D653" s="20" t="s">
        <v>14</v>
      </c>
      <c r="E653" s="20" t="s">
        <v>24</v>
      </c>
      <c r="F653" s="20">
        <v>2978.67</v>
      </c>
      <c r="G653" s="11">
        <f>VLOOKUP(A653,'Operational Data'!$A$2:$E$201,3,FALSE)</f>
        <v>27681</v>
      </c>
      <c r="H653" s="11">
        <f>VLOOKUP(A653,'Operational Data'!$A$2:$E$201,4,FALSE)</f>
        <v>928.26</v>
      </c>
      <c r="I653" s="11">
        <f>VLOOKUP(A653,'Operational Data'!$A$2:$E$201,5,FALSE)</f>
        <v>44.97</v>
      </c>
      <c r="J653" s="21">
        <f t="shared" si="10"/>
        <v>0.10760702286767097</v>
      </c>
    </row>
    <row r="654" spans="1:10" ht="30" x14ac:dyDescent="0.25">
      <c r="A654" s="20" t="s">
        <v>26</v>
      </c>
      <c r="B654" s="20" t="s">
        <v>17</v>
      </c>
      <c r="C654" s="20" t="s">
        <v>23</v>
      </c>
      <c r="D654" s="20" t="s">
        <v>28</v>
      </c>
      <c r="E654" s="20" t="s">
        <v>15</v>
      </c>
      <c r="F654" s="20">
        <v>1158.82</v>
      </c>
      <c r="G654" s="11">
        <f>VLOOKUP(A654,'Operational Data'!$A$2:$E$201,3,FALSE)</f>
        <v>17311</v>
      </c>
      <c r="H654" s="11">
        <f>VLOOKUP(A654,'Operational Data'!$A$2:$E$201,4,FALSE)</f>
        <v>2257.38</v>
      </c>
      <c r="I654" s="11">
        <f>VLOOKUP(A654,'Operational Data'!$A$2:$E$201,5,FALSE)</f>
        <v>91.07</v>
      </c>
      <c r="J654" s="21">
        <f t="shared" si="10"/>
        <v>6.6941251227543172E-2</v>
      </c>
    </row>
    <row r="655" spans="1:10" x14ac:dyDescent="0.25">
      <c r="A655" s="20" t="s">
        <v>63</v>
      </c>
      <c r="B655" s="20" t="s">
        <v>12</v>
      </c>
      <c r="C655" s="20" t="s">
        <v>8</v>
      </c>
      <c r="D655" s="20" t="s">
        <v>9</v>
      </c>
      <c r="E655" s="20" t="s">
        <v>10</v>
      </c>
      <c r="F655" s="20">
        <v>4416.2129789999999</v>
      </c>
      <c r="G655" s="11">
        <f>VLOOKUP(A655,'Operational Data'!$A$2:$E$201,3,FALSE)</f>
        <v>33688</v>
      </c>
      <c r="H655" s="11">
        <f>VLOOKUP(A655,'Operational Data'!$A$2:$E$201,4,FALSE)</f>
        <v>9495.48</v>
      </c>
      <c r="I655" s="11">
        <f>VLOOKUP(A655,'Operational Data'!$A$2:$E$201,5,FALSE)</f>
        <v>55.55</v>
      </c>
      <c r="J655" s="21">
        <f t="shared" si="10"/>
        <v>0.13109157501187366</v>
      </c>
    </row>
    <row r="656" spans="1:10" x14ac:dyDescent="0.25">
      <c r="A656" s="20" t="s">
        <v>90</v>
      </c>
      <c r="B656" s="20" t="s">
        <v>19</v>
      </c>
      <c r="C656" s="20" t="s">
        <v>13</v>
      </c>
      <c r="D656" s="20" t="s">
        <v>9</v>
      </c>
      <c r="E656" s="20" t="s">
        <v>10</v>
      </c>
      <c r="F656" s="20">
        <v>1348.0319910000001</v>
      </c>
      <c r="G656" s="11">
        <f>VLOOKUP(A656,'Operational Data'!$A$2:$E$201,3,FALSE)</f>
        <v>97337</v>
      </c>
      <c r="H656" s="11">
        <f>VLOOKUP(A656,'Operational Data'!$A$2:$E$201,4,FALSE)</f>
        <v>3362.06</v>
      </c>
      <c r="I656" s="11">
        <f>VLOOKUP(A656,'Operational Data'!$A$2:$E$201,5,FALSE)</f>
        <v>55.46</v>
      </c>
      <c r="J656" s="21">
        <f t="shared" si="10"/>
        <v>1.3849122029649569E-2</v>
      </c>
    </row>
    <row r="657" spans="1:10" x14ac:dyDescent="0.25">
      <c r="A657" s="20" t="s">
        <v>33</v>
      </c>
      <c r="B657" s="20" t="s">
        <v>19</v>
      </c>
      <c r="C657" s="20" t="s">
        <v>34</v>
      </c>
      <c r="D657" s="20" t="s">
        <v>28</v>
      </c>
      <c r="E657" s="20" t="s">
        <v>10</v>
      </c>
      <c r="F657" s="20">
        <v>2825.42</v>
      </c>
      <c r="G657" s="11">
        <f>VLOOKUP(A657,'Operational Data'!$A$2:$E$201,3,FALSE)</f>
        <v>65719</v>
      </c>
      <c r="H657" s="11">
        <f>VLOOKUP(A657,'Operational Data'!$A$2:$E$201,4,FALSE)</f>
        <v>9362.41</v>
      </c>
      <c r="I657" s="11">
        <f>VLOOKUP(A657,'Operational Data'!$A$2:$E$201,5,FALSE)</f>
        <v>86.55</v>
      </c>
      <c r="J657" s="21">
        <f t="shared" si="10"/>
        <v>4.2992437499048984E-2</v>
      </c>
    </row>
    <row r="658" spans="1:10" x14ac:dyDescent="0.25">
      <c r="A658" s="20" t="s">
        <v>113</v>
      </c>
      <c r="B658" s="20" t="s">
        <v>30</v>
      </c>
      <c r="C658" s="20" t="s">
        <v>8</v>
      </c>
      <c r="D658" s="20" t="s">
        <v>9</v>
      </c>
      <c r="E658" s="20" t="s">
        <v>24</v>
      </c>
      <c r="F658" s="20">
        <v>4051.467787</v>
      </c>
      <c r="G658" s="11">
        <f>VLOOKUP(A658,'Operational Data'!$A$2:$E$201,3,FALSE)</f>
        <v>90679</v>
      </c>
      <c r="H658" s="11">
        <f>VLOOKUP(A658,'Operational Data'!$A$2:$E$201,4,FALSE)</f>
        <v>7266.82</v>
      </c>
      <c r="I658" s="11">
        <f>VLOOKUP(A658,'Operational Data'!$A$2:$E$201,5,FALSE)</f>
        <v>23.3</v>
      </c>
      <c r="J658" s="21">
        <f t="shared" si="10"/>
        <v>4.4679228785054974E-2</v>
      </c>
    </row>
    <row r="659" spans="1:10" ht="30" x14ac:dyDescent="0.25">
      <c r="A659" s="20" t="s">
        <v>59</v>
      </c>
      <c r="B659" s="20" t="s">
        <v>17</v>
      </c>
      <c r="C659" s="20" t="s">
        <v>34</v>
      </c>
      <c r="D659" s="20" t="s">
        <v>28</v>
      </c>
      <c r="E659" s="20" t="s">
        <v>24</v>
      </c>
      <c r="F659" s="20">
        <v>3797.37</v>
      </c>
      <c r="G659" s="11">
        <f>VLOOKUP(A659,'Operational Data'!$A$2:$E$201,3,FALSE)</f>
        <v>15553</v>
      </c>
      <c r="H659" s="11">
        <f>VLOOKUP(A659,'Operational Data'!$A$2:$E$201,4,FALSE)</f>
        <v>3909.51</v>
      </c>
      <c r="I659" s="11">
        <f>VLOOKUP(A659,'Operational Data'!$A$2:$E$201,5,FALSE)</f>
        <v>46.44</v>
      </c>
      <c r="J659" s="21">
        <f t="shared" si="10"/>
        <v>0.24415675432392464</v>
      </c>
    </row>
    <row r="660" spans="1:10" x14ac:dyDescent="0.25">
      <c r="A660" s="20" t="s">
        <v>175</v>
      </c>
      <c r="B660" s="20" t="s">
        <v>7</v>
      </c>
      <c r="C660" s="20" t="s">
        <v>34</v>
      </c>
      <c r="D660" s="20" t="s">
        <v>28</v>
      </c>
      <c r="E660" s="20" t="s">
        <v>24</v>
      </c>
      <c r="F660" s="20">
        <v>4111.7700000000004</v>
      </c>
      <c r="G660" s="11">
        <f>VLOOKUP(A660,'Operational Data'!$A$2:$E$201,3,FALSE)</f>
        <v>83923</v>
      </c>
      <c r="H660" s="11">
        <f>VLOOKUP(A660,'Operational Data'!$A$2:$E$201,4,FALSE)</f>
        <v>8768.7999999999993</v>
      </c>
      <c r="I660" s="11">
        <f>VLOOKUP(A660,'Operational Data'!$A$2:$E$201,5,FALSE)</f>
        <v>65.290000000000006</v>
      </c>
      <c r="J660" s="21">
        <f t="shared" si="10"/>
        <v>4.8994554532130648E-2</v>
      </c>
    </row>
    <row r="661" spans="1:10" x14ac:dyDescent="0.25">
      <c r="A661" s="20" t="s">
        <v>195</v>
      </c>
      <c r="B661" s="20" t="s">
        <v>7</v>
      </c>
      <c r="C661" s="20" t="s">
        <v>34</v>
      </c>
      <c r="D661" s="20" t="s">
        <v>9</v>
      </c>
      <c r="E661" s="20" t="s">
        <v>10</v>
      </c>
      <c r="F661" s="20">
        <v>1444.1264490000001</v>
      </c>
      <c r="G661" s="11">
        <f>VLOOKUP(A661,'Operational Data'!$A$2:$E$201,3,FALSE)</f>
        <v>68278</v>
      </c>
      <c r="H661" s="11">
        <f>VLOOKUP(A661,'Operational Data'!$A$2:$E$201,4,FALSE)</f>
        <v>3272.65</v>
      </c>
      <c r="I661" s="11">
        <f>VLOOKUP(A661,'Operational Data'!$A$2:$E$201,5,FALSE)</f>
        <v>30.47</v>
      </c>
      <c r="J661" s="21">
        <f t="shared" si="10"/>
        <v>2.1150684686136092E-2</v>
      </c>
    </row>
    <row r="662" spans="1:10" x14ac:dyDescent="0.25">
      <c r="A662" s="20" t="s">
        <v>155</v>
      </c>
      <c r="B662" s="20" t="s">
        <v>7</v>
      </c>
      <c r="C662" s="20" t="s">
        <v>13</v>
      </c>
      <c r="D662" s="20" t="s">
        <v>28</v>
      </c>
      <c r="E662" s="20" t="s">
        <v>10</v>
      </c>
      <c r="F662" s="20">
        <v>3062.42</v>
      </c>
      <c r="G662" s="11">
        <f>VLOOKUP(A662,'Operational Data'!$A$2:$E$201,3,FALSE)</f>
        <v>72224</v>
      </c>
      <c r="H662" s="11">
        <f>VLOOKUP(A662,'Operational Data'!$A$2:$E$201,4,FALSE)</f>
        <v>1613.32</v>
      </c>
      <c r="I662" s="11">
        <f>VLOOKUP(A662,'Operational Data'!$A$2:$E$201,5,FALSE)</f>
        <v>39.21</v>
      </c>
      <c r="J662" s="21">
        <f t="shared" si="10"/>
        <v>4.24016947275144E-2</v>
      </c>
    </row>
    <row r="663" spans="1:10" ht="30" x14ac:dyDescent="0.25">
      <c r="A663" s="20" t="s">
        <v>76</v>
      </c>
      <c r="B663" s="20" t="s">
        <v>17</v>
      </c>
      <c r="C663" s="20" t="s">
        <v>34</v>
      </c>
      <c r="D663" s="20" t="s">
        <v>14</v>
      </c>
      <c r="E663" s="20" t="s">
        <v>10</v>
      </c>
      <c r="F663" s="20">
        <v>1226.9100000000001</v>
      </c>
      <c r="G663" s="11">
        <f>VLOOKUP(A663,'Operational Data'!$A$2:$E$201,3,FALSE)</f>
        <v>59617</v>
      </c>
      <c r="H663" s="11">
        <f>VLOOKUP(A663,'Operational Data'!$A$2:$E$201,4,FALSE)</f>
        <v>5000.95</v>
      </c>
      <c r="I663" s="11">
        <f>VLOOKUP(A663,'Operational Data'!$A$2:$E$201,5,FALSE)</f>
        <v>80.36</v>
      </c>
      <c r="J663" s="21">
        <f t="shared" si="10"/>
        <v>2.0579868158411192E-2</v>
      </c>
    </row>
    <row r="664" spans="1:10" ht="30" x14ac:dyDescent="0.25">
      <c r="A664" s="20" t="s">
        <v>168</v>
      </c>
      <c r="B664" s="20" t="s">
        <v>17</v>
      </c>
      <c r="C664" s="20" t="s">
        <v>13</v>
      </c>
      <c r="D664" s="20" t="s">
        <v>14</v>
      </c>
      <c r="E664" s="20" t="s">
        <v>24</v>
      </c>
      <c r="F664" s="20">
        <v>1442.19</v>
      </c>
      <c r="G664" s="11">
        <f>VLOOKUP(A664,'Operational Data'!$A$2:$E$201,3,FALSE)</f>
        <v>41050</v>
      </c>
      <c r="H664" s="11">
        <f>VLOOKUP(A664,'Operational Data'!$A$2:$E$201,4,FALSE)</f>
        <v>6025.84</v>
      </c>
      <c r="I664" s="11">
        <f>VLOOKUP(A664,'Operational Data'!$A$2:$E$201,5,FALSE)</f>
        <v>53.53</v>
      </c>
      <c r="J664" s="21">
        <f t="shared" si="10"/>
        <v>3.5132521315468943E-2</v>
      </c>
    </row>
    <row r="665" spans="1:10" x14ac:dyDescent="0.25">
      <c r="A665" s="20" t="s">
        <v>182</v>
      </c>
      <c r="B665" s="20" t="s">
        <v>12</v>
      </c>
      <c r="C665" s="20" t="s">
        <v>13</v>
      </c>
      <c r="D665" s="20" t="s">
        <v>14</v>
      </c>
      <c r="E665" s="20" t="s">
        <v>24</v>
      </c>
      <c r="F665" s="20">
        <v>3767.87</v>
      </c>
      <c r="G665" s="11">
        <f>VLOOKUP(A665,'Operational Data'!$A$2:$E$201,3,FALSE)</f>
        <v>21081</v>
      </c>
      <c r="H665" s="11">
        <f>VLOOKUP(A665,'Operational Data'!$A$2:$E$201,4,FALSE)</f>
        <v>9001.77</v>
      </c>
      <c r="I665" s="11">
        <f>VLOOKUP(A665,'Operational Data'!$A$2:$E$201,5,FALSE)</f>
        <v>49.27</v>
      </c>
      <c r="J665" s="21">
        <f t="shared" si="10"/>
        <v>0.17873298230634219</v>
      </c>
    </row>
    <row r="666" spans="1:10" x14ac:dyDescent="0.25">
      <c r="A666" s="20" t="s">
        <v>91</v>
      </c>
      <c r="B666" s="20" t="s">
        <v>30</v>
      </c>
      <c r="C666" s="20" t="s">
        <v>23</v>
      </c>
      <c r="D666" s="20" t="s">
        <v>14</v>
      </c>
      <c r="E666" s="20" t="s">
        <v>24</v>
      </c>
      <c r="F666" s="20">
        <v>1528.64</v>
      </c>
      <c r="G666" s="11">
        <f>VLOOKUP(A666,'Operational Data'!$A$2:$E$201,3,FALSE)</f>
        <v>20207</v>
      </c>
      <c r="H666" s="11">
        <f>VLOOKUP(A666,'Operational Data'!$A$2:$E$201,4,FALSE)</f>
        <v>5369.46</v>
      </c>
      <c r="I666" s="11">
        <f>VLOOKUP(A666,'Operational Data'!$A$2:$E$201,5,FALSE)</f>
        <v>57.51</v>
      </c>
      <c r="J666" s="21">
        <f t="shared" si="10"/>
        <v>7.5649032513485426E-2</v>
      </c>
    </row>
    <row r="667" spans="1:10" x14ac:dyDescent="0.25">
      <c r="A667" s="20" t="s">
        <v>85</v>
      </c>
      <c r="B667" s="20" t="s">
        <v>30</v>
      </c>
      <c r="C667" s="20" t="s">
        <v>23</v>
      </c>
      <c r="D667" s="20" t="s">
        <v>28</v>
      </c>
      <c r="E667" s="20" t="s">
        <v>15</v>
      </c>
      <c r="F667" s="20">
        <v>438.03</v>
      </c>
      <c r="G667" s="11">
        <f>VLOOKUP(A667,'Operational Data'!$A$2:$E$201,3,FALSE)</f>
        <v>45519</v>
      </c>
      <c r="H667" s="11">
        <f>VLOOKUP(A667,'Operational Data'!$A$2:$E$201,4,FALSE)</f>
        <v>7987.69</v>
      </c>
      <c r="I667" s="11">
        <f>VLOOKUP(A667,'Operational Data'!$A$2:$E$201,5,FALSE)</f>
        <v>10.86</v>
      </c>
      <c r="J667" s="21">
        <f t="shared" si="10"/>
        <v>9.6230145653463384E-3</v>
      </c>
    </row>
    <row r="668" spans="1:10" x14ac:dyDescent="0.25">
      <c r="A668" s="20" t="s">
        <v>119</v>
      </c>
      <c r="B668" s="20" t="s">
        <v>30</v>
      </c>
      <c r="C668" s="20" t="s">
        <v>13</v>
      </c>
      <c r="D668" s="20" t="s">
        <v>14</v>
      </c>
      <c r="E668" s="20" t="s">
        <v>10</v>
      </c>
      <c r="F668" s="20">
        <v>2291.7800000000002</v>
      </c>
      <c r="G668" s="11">
        <f>VLOOKUP(A668,'Operational Data'!$A$2:$E$201,3,FALSE)</f>
        <v>80488</v>
      </c>
      <c r="H668" s="11">
        <f>VLOOKUP(A668,'Operational Data'!$A$2:$E$201,4,FALSE)</f>
        <v>7629.95</v>
      </c>
      <c r="I668" s="11">
        <f>VLOOKUP(A668,'Operational Data'!$A$2:$E$201,5,FALSE)</f>
        <v>63.83</v>
      </c>
      <c r="J668" s="21">
        <f t="shared" si="10"/>
        <v>2.847356127621509E-2</v>
      </c>
    </row>
    <row r="669" spans="1:10" x14ac:dyDescent="0.25">
      <c r="A669" s="20" t="s">
        <v>42</v>
      </c>
      <c r="B669" s="20" t="s">
        <v>30</v>
      </c>
      <c r="C669" s="20" t="s">
        <v>13</v>
      </c>
      <c r="D669" s="20" t="s">
        <v>28</v>
      </c>
      <c r="E669" s="20" t="s">
        <v>10</v>
      </c>
      <c r="F669" s="20">
        <v>4099.03</v>
      </c>
      <c r="G669" s="11">
        <f>VLOOKUP(A669,'Operational Data'!$A$2:$E$201,3,FALSE)</f>
        <v>41539</v>
      </c>
      <c r="H669" s="11">
        <f>VLOOKUP(A669,'Operational Data'!$A$2:$E$201,4,FALSE)</f>
        <v>982.8</v>
      </c>
      <c r="I669" s="11">
        <f>VLOOKUP(A669,'Operational Data'!$A$2:$E$201,5,FALSE)</f>
        <v>79.7</v>
      </c>
      <c r="J669" s="21">
        <f t="shared" si="10"/>
        <v>9.8679072678687488E-2</v>
      </c>
    </row>
    <row r="670" spans="1:10" x14ac:dyDescent="0.25">
      <c r="A670" s="20" t="s">
        <v>122</v>
      </c>
      <c r="B670" s="20" t="s">
        <v>19</v>
      </c>
      <c r="C670" s="20" t="s">
        <v>23</v>
      </c>
      <c r="D670" s="20" t="s">
        <v>9</v>
      </c>
      <c r="E670" s="20" t="s">
        <v>10</v>
      </c>
      <c r="F670" s="20">
        <v>2713.3180809999999</v>
      </c>
      <c r="G670" s="11">
        <f>VLOOKUP(A670,'Operational Data'!$A$2:$E$201,3,FALSE)</f>
        <v>95962</v>
      </c>
      <c r="H670" s="11">
        <f>VLOOKUP(A670,'Operational Data'!$A$2:$E$201,4,FALSE)</f>
        <v>524.72</v>
      </c>
      <c r="I670" s="11">
        <f>VLOOKUP(A670,'Operational Data'!$A$2:$E$201,5,FALSE)</f>
        <v>49.55</v>
      </c>
      <c r="J670" s="21">
        <f t="shared" si="10"/>
        <v>2.8274922167107811E-2</v>
      </c>
    </row>
    <row r="671" spans="1:10" x14ac:dyDescent="0.25">
      <c r="A671" s="20" t="s">
        <v>25</v>
      </c>
      <c r="B671" s="20" t="s">
        <v>19</v>
      </c>
      <c r="C671" s="20" t="s">
        <v>13</v>
      </c>
      <c r="D671" s="20" t="s">
        <v>14</v>
      </c>
      <c r="E671" s="20" t="s">
        <v>15</v>
      </c>
      <c r="F671" s="20">
        <v>769.84</v>
      </c>
      <c r="G671" s="11">
        <f>VLOOKUP(A671,'Operational Data'!$A$2:$E$201,3,FALSE)</f>
        <v>95306</v>
      </c>
      <c r="H671" s="11">
        <f>VLOOKUP(A671,'Operational Data'!$A$2:$E$201,4,FALSE)</f>
        <v>9037.76</v>
      </c>
      <c r="I671" s="11">
        <f>VLOOKUP(A671,'Operational Data'!$A$2:$E$201,5,FALSE)</f>
        <v>13.35</v>
      </c>
      <c r="J671" s="21">
        <f t="shared" si="10"/>
        <v>8.077560699221456E-3</v>
      </c>
    </row>
    <row r="672" spans="1:10" x14ac:dyDescent="0.25">
      <c r="A672" s="20" t="s">
        <v>100</v>
      </c>
      <c r="B672" s="20" t="s">
        <v>7</v>
      </c>
      <c r="C672" s="20" t="s">
        <v>23</v>
      </c>
      <c r="D672" s="20" t="s">
        <v>28</v>
      </c>
      <c r="E672" s="20" t="s">
        <v>10</v>
      </c>
      <c r="F672" s="20">
        <v>3217.94</v>
      </c>
      <c r="G672" s="11">
        <f>VLOOKUP(A672,'Operational Data'!$A$2:$E$201,3,FALSE)</f>
        <v>17468</v>
      </c>
      <c r="H672" s="11">
        <f>VLOOKUP(A672,'Operational Data'!$A$2:$E$201,4,FALSE)</f>
        <v>6359.73</v>
      </c>
      <c r="I672" s="11">
        <f>VLOOKUP(A672,'Operational Data'!$A$2:$E$201,5,FALSE)</f>
        <v>5.22</v>
      </c>
      <c r="J672" s="21">
        <f t="shared" si="10"/>
        <v>0.1842191435768262</v>
      </c>
    </row>
    <row r="673" spans="1:10" x14ac:dyDescent="0.25">
      <c r="A673" s="20" t="s">
        <v>179</v>
      </c>
      <c r="B673" s="20" t="s">
        <v>7</v>
      </c>
      <c r="C673" s="20" t="s">
        <v>23</v>
      </c>
      <c r="D673" s="20" t="s">
        <v>9</v>
      </c>
      <c r="E673" s="20" t="s">
        <v>15</v>
      </c>
      <c r="F673" s="20">
        <v>3817.749018</v>
      </c>
      <c r="G673" s="11">
        <f>VLOOKUP(A673,'Operational Data'!$A$2:$E$201,3,FALSE)</f>
        <v>94393</v>
      </c>
      <c r="H673" s="11">
        <f>VLOOKUP(A673,'Operational Data'!$A$2:$E$201,4,FALSE)</f>
        <v>6691.7</v>
      </c>
      <c r="I673" s="11">
        <f>VLOOKUP(A673,'Operational Data'!$A$2:$E$201,5,FALSE)</f>
        <v>74.790000000000006</v>
      </c>
      <c r="J673" s="21">
        <f t="shared" si="10"/>
        <v>4.0445255665144661E-2</v>
      </c>
    </row>
    <row r="674" spans="1:10" x14ac:dyDescent="0.25">
      <c r="A674" s="20" t="s">
        <v>160</v>
      </c>
      <c r="B674" s="20" t="s">
        <v>30</v>
      </c>
      <c r="C674" s="20" t="s">
        <v>34</v>
      </c>
      <c r="D674" s="20" t="s">
        <v>14</v>
      </c>
      <c r="E674" s="20" t="s">
        <v>10</v>
      </c>
      <c r="F674" s="20">
        <v>3796.86</v>
      </c>
      <c r="G674" s="11">
        <f>VLOOKUP(A674,'Operational Data'!$A$2:$E$201,3,FALSE)</f>
        <v>18341</v>
      </c>
      <c r="H674" s="11">
        <f>VLOOKUP(A674,'Operational Data'!$A$2:$E$201,4,FALSE)</f>
        <v>8465.57</v>
      </c>
      <c r="I674" s="11">
        <f>VLOOKUP(A674,'Operational Data'!$A$2:$E$201,5,FALSE)</f>
        <v>38.39</v>
      </c>
      <c r="J674" s="21">
        <f t="shared" si="10"/>
        <v>0.20701488468458645</v>
      </c>
    </row>
    <row r="675" spans="1:10" x14ac:dyDescent="0.25">
      <c r="A675" s="20" t="s">
        <v>163</v>
      </c>
      <c r="B675" s="20" t="s">
        <v>19</v>
      </c>
      <c r="C675" s="20" t="s">
        <v>8</v>
      </c>
      <c r="D675" s="20" t="s">
        <v>28</v>
      </c>
      <c r="E675" s="20" t="s">
        <v>15</v>
      </c>
      <c r="F675" s="20">
        <v>1722.54</v>
      </c>
      <c r="G675" s="11">
        <f>VLOOKUP(A675,'Operational Data'!$A$2:$E$201,3,FALSE)</f>
        <v>87482</v>
      </c>
      <c r="H675" s="11">
        <f>VLOOKUP(A675,'Operational Data'!$A$2:$E$201,4,FALSE)</f>
        <v>2231.7399999999998</v>
      </c>
      <c r="I675" s="11">
        <f>VLOOKUP(A675,'Operational Data'!$A$2:$E$201,5,FALSE)</f>
        <v>45.43</v>
      </c>
      <c r="J675" s="21">
        <f t="shared" si="10"/>
        <v>1.9690221988523354E-2</v>
      </c>
    </row>
    <row r="676" spans="1:10" ht="30" x14ac:dyDescent="0.25">
      <c r="A676" s="20" t="s">
        <v>190</v>
      </c>
      <c r="B676" s="20" t="s">
        <v>17</v>
      </c>
      <c r="C676" s="20" t="s">
        <v>23</v>
      </c>
      <c r="D676" s="20" t="s">
        <v>14</v>
      </c>
      <c r="E676" s="20" t="s">
        <v>24</v>
      </c>
      <c r="F676" s="20">
        <v>2472.08</v>
      </c>
      <c r="G676" s="11">
        <f>VLOOKUP(A676,'Operational Data'!$A$2:$E$201,3,FALSE)</f>
        <v>41953</v>
      </c>
      <c r="H676" s="11">
        <f>VLOOKUP(A676,'Operational Data'!$A$2:$E$201,4,FALSE)</f>
        <v>2379.14</v>
      </c>
      <c r="I676" s="11">
        <f>VLOOKUP(A676,'Operational Data'!$A$2:$E$201,5,FALSE)</f>
        <v>65.67</v>
      </c>
      <c r="J676" s="21">
        <f t="shared" si="10"/>
        <v>5.8924987485996234E-2</v>
      </c>
    </row>
    <row r="677" spans="1:10" ht="30" x14ac:dyDescent="0.25">
      <c r="A677" s="20" t="s">
        <v>129</v>
      </c>
      <c r="B677" s="20" t="s">
        <v>17</v>
      </c>
      <c r="C677" s="20" t="s">
        <v>34</v>
      </c>
      <c r="D677" s="20" t="s">
        <v>28</v>
      </c>
      <c r="E677" s="20" t="s">
        <v>24</v>
      </c>
      <c r="F677" s="20">
        <v>3592.6</v>
      </c>
      <c r="G677" s="11">
        <f>VLOOKUP(A677,'Operational Data'!$A$2:$E$201,3,FALSE)</f>
        <v>95292</v>
      </c>
      <c r="H677" s="11">
        <f>VLOOKUP(A677,'Operational Data'!$A$2:$E$201,4,FALSE)</f>
        <v>697.47</v>
      </c>
      <c r="I677" s="11">
        <f>VLOOKUP(A677,'Operational Data'!$A$2:$E$201,5,FALSE)</f>
        <v>88.35</v>
      </c>
      <c r="J677" s="21">
        <f t="shared" si="10"/>
        <v>3.7700961255929144E-2</v>
      </c>
    </row>
    <row r="678" spans="1:10" ht="30" x14ac:dyDescent="0.25">
      <c r="A678" s="20" t="s">
        <v>80</v>
      </c>
      <c r="B678" s="20" t="s">
        <v>17</v>
      </c>
      <c r="C678" s="20" t="s">
        <v>34</v>
      </c>
      <c r="D678" s="20" t="s">
        <v>28</v>
      </c>
      <c r="E678" s="20" t="s">
        <v>15</v>
      </c>
      <c r="F678" s="20">
        <v>4482.0600000000004</v>
      </c>
      <c r="G678" s="11">
        <f>VLOOKUP(A678,'Operational Data'!$A$2:$E$201,3,FALSE)</f>
        <v>75508</v>
      </c>
      <c r="H678" s="11">
        <f>VLOOKUP(A678,'Operational Data'!$A$2:$E$201,4,FALSE)</f>
        <v>6856.22</v>
      </c>
      <c r="I678" s="11">
        <f>VLOOKUP(A678,'Operational Data'!$A$2:$E$201,5,FALSE)</f>
        <v>18.2</v>
      </c>
      <c r="J678" s="21">
        <f t="shared" si="10"/>
        <v>5.9358743444403249E-2</v>
      </c>
    </row>
    <row r="679" spans="1:10" ht="30" x14ac:dyDescent="0.25">
      <c r="A679" s="20" t="s">
        <v>156</v>
      </c>
      <c r="B679" s="20" t="s">
        <v>17</v>
      </c>
      <c r="C679" s="20" t="s">
        <v>23</v>
      </c>
      <c r="D679" s="20" t="s">
        <v>9</v>
      </c>
      <c r="E679" s="20" t="s">
        <v>15</v>
      </c>
      <c r="F679" s="20">
        <v>3888.6305109999998</v>
      </c>
      <c r="G679" s="11">
        <f>VLOOKUP(A679,'Operational Data'!$A$2:$E$201,3,FALSE)</f>
        <v>81057</v>
      </c>
      <c r="H679" s="11">
        <f>VLOOKUP(A679,'Operational Data'!$A$2:$E$201,4,FALSE)</f>
        <v>675.41</v>
      </c>
      <c r="I679" s="11">
        <f>VLOOKUP(A679,'Operational Data'!$A$2:$E$201,5,FALSE)</f>
        <v>55.44</v>
      </c>
      <c r="J679" s="21">
        <f t="shared" si="10"/>
        <v>4.7974024587635861E-2</v>
      </c>
    </row>
    <row r="680" spans="1:10" x14ac:dyDescent="0.25">
      <c r="A680" s="20" t="s">
        <v>204</v>
      </c>
      <c r="B680" s="20" t="s">
        <v>30</v>
      </c>
      <c r="C680" s="20" t="s">
        <v>34</v>
      </c>
      <c r="D680" s="20" t="s">
        <v>9</v>
      </c>
      <c r="E680" s="20" t="s">
        <v>15</v>
      </c>
      <c r="F680" s="20">
        <v>1035.252371</v>
      </c>
      <c r="G680" s="11">
        <f>VLOOKUP(A680,'Operational Data'!$A$2:$E$201,3,FALSE)</f>
        <v>36423</v>
      </c>
      <c r="H680" s="11">
        <f>VLOOKUP(A680,'Operational Data'!$A$2:$E$201,4,FALSE)</f>
        <v>589.96</v>
      </c>
      <c r="I680" s="11">
        <f>VLOOKUP(A680,'Operational Data'!$A$2:$E$201,5,FALSE)</f>
        <v>30.9</v>
      </c>
      <c r="J680" s="21">
        <f t="shared" si="10"/>
        <v>2.8423039590368723E-2</v>
      </c>
    </row>
    <row r="681" spans="1:10" x14ac:dyDescent="0.25">
      <c r="A681" s="20" t="s">
        <v>107</v>
      </c>
      <c r="B681" s="20" t="s">
        <v>30</v>
      </c>
      <c r="C681" s="20" t="s">
        <v>34</v>
      </c>
      <c r="D681" s="20" t="s">
        <v>14</v>
      </c>
      <c r="E681" s="20" t="s">
        <v>15</v>
      </c>
      <c r="F681" s="20">
        <v>93.17</v>
      </c>
      <c r="G681" s="11">
        <f>VLOOKUP(A681,'Operational Data'!$A$2:$E$201,3,FALSE)</f>
        <v>69305</v>
      </c>
      <c r="H681" s="11">
        <f>VLOOKUP(A681,'Operational Data'!$A$2:$E$201,4,FALSE)</f>
        <v>3203.67</v>
      </c>
      <c r="I681" s="11">
        <f>VLOOKUP(A681,'Operational Data'!$A$2:$E$201,5,FALSE)</f>
        <v>83.65</v>
      </c>
      <c r="J681" s="21">
        <f t="shared" si="10"/>
        <v>1.3443474496789554E-3</v>
      </c>
    </row>
    <row r="682" spans="1:10" x14ac:dyDescent="0.25">
      <c r="A682" s="20" t="s">
        <v>64</v>
      </c>
      <c r="B682" s="20" t="s">
        <v>30</v>
      </c>
      <c r="C682" s="20" t="s">
        <v>8</v>
      </c>
      <c r="D682" s="20" t="s">
        <v>14</v>
      </c>
      <c r="E682" s="20" t="s">
        <v>15</v>
      </c>
      <c r="F682" s="20">
        <v>489.88</v>
      </c>
      <c r="G682" s="11">
        <f>VLOOKUP(A682,'Operational Data'!$A$2:$E$201,3,FALSE)</f>
        <v>52836</v>
      </c>
      <c r="H682" s="11">
        <f>VLOOKUP(A682,'Operational Data'!$A$2:$E$201,4,FALSE)</f>
        <v>9330.2999999999993</v>
      </c>
      <c r="I682" s="11">
        <f>VLOOKUP(A682,'Operational Data'!$A$2:$E$201,5,FALSE)</f>
        <v>87.27</v>
      </c>
      <c r="J682" s="21">
        <f t="shared" si="10"/>
        <v>9.271708683473389E-3</v>
      </c>
    </row>
    <row r="683" spans="1:10" x14ac:dyDescent="0.25">
      <c r="A683" s="20" t="s">
        <v>42</v>
      </c>
      <c r="B683" s="20" t="s">
        <v>30</v>
      </c>
      <c r="C683" s="20" t="s">
        <v>8</v>
      </c>
      <c r="D683" s="20" t="s">
        <v>28</v>
      </c>
      <c r="E683" s="20" t="s">
        <v>24</v>
      </c>
      <c r="F683" s="20">
        <v>627.29999999999995</v>
      </c>
      <c r="G683" s="11">
        <f>VLOOKUP(A683,'Operational Data'!$A$2:$E$201,3,FALSE)</f>
        <v>41539</v>
      </c>
      <c r="H683" s="11">
        <f>VLOOKUP(A683,'Operational Data'!$A$2:$E$201,4,FALSE)</f>
        <v>982.8</v>
      </c>
      <c r="I683" s="11">
        <f>VLOOKUP(A683,'Operational Data'!$A$2:$E$201,5,FALSE)</f>
        <v>79.7</v>
      </c>
      <c r="J683" s="21">
        <f t="shared" si="10"/>
        <v>1.5101470906858613E-2</v>
      </c>
    </row>
    <row r="684" spans="1:10" x14ac:dyDescent="0.25">
      <c r="A684" s="20" t="s">
        <v>169</v>
      </c>
      <c r="B684" s="20" t="s">
        <v>12</v>
      </c>
      <c r="C684" s="20" t="s">
        <v>23</v>
      </c>
      <c r="D684" s="20" t="s">
        <v>28</v>
      </c>
      <c r="E684" s="20" t="s">
        <v>24</v>
      </c>
      <c r="F684" s="20">
        <v>4443.8500000000004</v>
      </c>
      <c r="G684" s="11">
        <f>VLOOKUP(A684,'Operational Data'!$A$2:$E$201,3,FALSE)</f>
        <v>82377</v>
      </c>
      <c r="H684" s="11">
        <f>VLOOKUP(A684,'Operational Data'!$A$2:$E$201,4,FALSE)</f>
        <v>7974.74</v>
      </c>
      <c r="I684" s="11">
        <f>VLOOKUP(A684,'Operational Data'!$A$2:$E$201,5,FALSE)</f>
        <v>9.17</v>
      </c>
      <c r="J684" s="21">
        <f t="shared" si="10"/>
        <v>5.3945275987229452E-2</v>
      </c>
    </row>
    <row r="685" spans="1:10" x14ac:dyDescent="0.25">
      <c r="A685" s="20" t="s">
        <v>188</v>
      </c>
      <c r="B685" s="20" t="s">
        <v>19</v>
      </c>
      <c r="C685" s="20" t="s">
        <v>8</v>
      </c>
      <c r="D685" s="20" t="s">
        <v>14</v>
      </c>
      <c r="E685" s="20" t="s">
        <v>15</v>
      </c>
      <c r="F685" s="20">
        <v>2192.52</v>
      </c>
      <c r="G685" s="11">
        <f>VLOOKUP(A685,'Operational Data'!$A$2:$E$201,3,FALSE)</f>
        <v>60513</v>
      </c>
      <c r="H685" s="11">
        <f>VLOOKUP(A685,'Operational Data'!$A$2:$E$201,4,FALSE)</f>
        <v>4578.16</v>
      </c>
      <c r="I685" s="11">
        <f>VLOOKUP(A685,'Operational Data'!$A$2:$E$201,5,FALSE)</f>
        <v>65.53</v>
      </c>
      <c r="J685" s="21">
        <f t="shared" si="10"/>
        <v>3.6232214565465271E-2</v>
      </c>
    </row>
    <row r="686" spans="1:10" x14ac:dyDescent="0.25">
      <c r="A686" s="20" t="s">
        <v>35</v>
      </c>
      <c r="B686" s="20" t="s">
        <v>19</v>
      </c>
      <c r="C686" s="20" t="s">
        <v>34</v>
      </c>
      <c r="D686" s="20" t="s">
        <v>9</v>
      </c>
      <c r="E686" s="20" t="s">
        <v>15</v>
      </c>
      <c r="F686" s="20">
        <v>1166.7681070000001</v>
      </c>
      <c r="G686" s="11">
        <f>VLOOKUP(A686,'Operational Data'!$A$2:$E$201,3,FALSE)</f>
        <v>42382</v>
      </c>
      <c r="H686" s="11">
        <f>VLOOKUP(A686,'Operational Data'!$A$2:$E$201,4,FALSE)</f>
        <v>5116.6899999999996</v>
      </c>
      <c r="I686" s="11">
        <f>VLOOKUP(A686,'Operational Data'!$A$2:$E$201,5,FALSE)</f>
        <v>80.42</v>
      </c>
      <c r="J686" s="21">
        <f t="shared" si="10"/>
        <v>2.7529802911613423E-2</v>
      </c>
    </row>
    <row r="687" spans="1:10" ht="30" x14ac:dyDescent="0.25">
      <c r="A687" s="20" t="s">
        <v>156</v>
      </c>
      <c r="B687" s="20" t="s">
        <v>17</v>
      </c>
      <c r="C687" s="20" t="s">
        <v>8</v>
      </c>
      <c r="D687" s="20" t="s">
        <v>9</v>
      </c>
      <c r="E687" s="20" t="s">
        <v>10</v>
      </c>
      <c r="F687" s="20">
        <v>3803.9616740000001</v>
      </c>
      <c r="G687" s="11">
        <f>VLOOKUP(A687,'Operational Data'!$A$2:$E$201,3,FALSE)</f>
        <v>81057</v>
      </c>
      <c r="H687" s="11">
        <f>VLOOKUP(A687,'Operational Data'!$A$2:$E$201,4,FALSE)</f>
        <v>675.41</v>
      </c>
      <c r="I687" s="11">
        <f>VLOOKUP(A687,'Operational Data'!$A$2:$E$201,5,FALSE)</f>
        <v>55.44</v>
      </c>
      <c r="J687" s="21">
        <f t="shared" si="10"/>
        <v>4.6929465363879742E-2</v>
      </c>
    </row>
    <row r="688" spans="1:10" x14ac:dyDescent="0.25">
      <c r="A688" s="20" t="s">
        <v>48</v>
      </c>
      <c r="B688" s="20" t="s">
        <v>19</v>
      </c>
      <c r="C688" s="20" t="s">
        <v>8</v>
      </c>
      <c r="D688" s="20" t="s">
        <v>14</v>
      </c>
      <c r="E688" s="20" t="s">
        <v>24</v>
      </c>
      <c r="F688" s="20">
        <v>4902.53</v>
      </c>
      <c r="G688" s="11">
        <f>VLOOKUP(A688,'Operational Data'!$A$2:$E$201,3,FALSE)</f>
        <v>11952</v>
      </c>
      <c r="H688" s="11">
        <f>VLOOKUP(A688,'Operational Data'!$A$2:$E$201,4,FALSE)</f>
        <v>4637.74</v>
      </c>
      <c r="I688" s="11">
        <f>VLOOKUP(A688,'Operational Data'!$A$2:$E$201,5,FALSE)</f>
        <v>63.78</v>
      </c>
      <c r="J688" s="21">
        <f t="shared" si="10"/>
        <v>0.41018490629183396</v>
      </c>
    </row>
    <row r="689" spans="1:10" x14ac:dyDescent="0.25">
      <c r="A689" s="20" t="s">
        <v>193</v>
      </c>
      <c r="B689" s="20" t="s">
        <v>12</v>
      </c>
      <c r="C689" s="20" t="s">
        <v>23</v>
      </c>
      <c r="D689" s="20" t="s">
        <v>28</v>
      </c>
      <c r="E689" s="20" t="s">
        <v>24</v>
      </c>
      <c r="F689" s="20">
        <v>1144.49</v>
      </c>
      <c r="G689" s="11">
        <f>VLOOKUP(A689,'Operational Data'!$A$2:$E$201,3,FALSE)</f>
        <v>13333</v>
      </c>
      <c r="H689" s="11">
        <f>VLOOKUP(A689,'Operational Data'!$A$2:$E$201,4,FALSE)</f>
        <v>6102.15</v>
      </c>
      <c r="I689" s="11">
        <f>VLOOKUP(A689,'Operational Data'!$A$2:$E$201,5,FALSE)</f>
        <v>17.670000000000002</v>
      </c>
      <c r="J689" s="21">
        <f t="shared" si="10"/>
        <v>8.5838895972399312E-2</v>
      </c>
    </row>
    <row r="690" spans="1:10" x14ac:dyDescent="0.25">
      <c r="A690" s="20" t="s">
        <v>67</v>
      </c>
      <c r="B690" s="20" t="s">
        <v>7</v>
      </c>
      <c r="C690" s="20" t="s">
        <v>13</v>
      </c>
      <c r="D690" s="20" t="s">
        <v>9</v>
      </c>
      <c r="E690" s="20" t="s">
        <v>15</v>
      </c>
      <c r="F690" s="20">
        <v>4243.1099999999997</v>
      </c>
      <c r="G690" s="11">
        <f>VLOOKUP(A690,'Operational Data'!$A$2:$E$201,3,FALSE)</f>
        <v>70582</v>
      </c>
      <c r="H690" s="11">
        <f>VLOOKUP(A690,'Operational Data'!$A$2:$E$201,4,FALSE)</f>
        <v>7517.59</v>
      </c>
      <c r="I690" s="11">
        <f>VLOOKUP(A690,'Operational Data'!$A$2:$E$201,5,FALSE)</f>
        <v>95.71</v>
      </c>
      <c r="J690" s="21">
        <f t="shared" si="10"/>
        <v>6.0116035249780396E-2</v>
      </c>
    </row>
    <row r="691" spans="1:10" x14ac:dyDescent="0.25">
      <c r="A691" s="20" t="s">
        <v>22</v>
      </c>
      <c r="B691" s="20" t="s">
        <v>12</v>
      </c>
      <c r="C691" s="20" t="s">
        <v>8</v>
      </c>
      <c r="D691" s="20" t="s">
        <v>28</v>
      </c>
      <c r="E691" s="20" t="s">
        <v>24</v>
      </c>
      <c r="F691" s="20">
        <v>2303.31</v>
      </c>
      <c r="G691" s="11">
        <f>VLOOKUP(A691,'Operational Data'!$A$2:$E$201,3,FALSE)</f>
        <v>47484</v>
      </c>
      <c r="H691" s="11">
        <f>VLOOKUP(A691,'Operational Data'!$A$2:$E$201,4,FALSE)</f>
        <v>3396.39</v>
      </c>
      <c r="I691" s="11">
        <f>VLOOKUP(A691,'Operational Data'!$A$2:$E$201,5,FALSE)</f>
        <v>19.510000000000002</v>
      </c>
      <c r="J691" s="21">
        <f t="shared" si="10"/>
        <v>4.8507076067728076E-2</v>
      </c>
    </row>
    <row r="692" spans="1:10" x14ac:dyDescent="0.25">
      <c r="A692" s="20" t="s">
        <v>95</v>
      </c>
      <c r="B692" s="20" t="s">
        <v>30</v>
      </c>
      <c r="C692" s="20" t="s">
        <v>23</v>
      </c>
      <c r="D692" s="20" t="s">
        <v>14</v>
      </c>
      <c r="E692" s="20" t="s">
        <v>10</v>
      </c>
      <c r="F692" s="20">
        <v>3192.9</v>
      </c>
      <c r="G692" s="11">
        <f>VLOOKUP(A692,'Operational Data'!$A$2:$E$201,3,FALSE)</f>
        <v>51800</v>
      </c>
      <c r="H692" s="11">
        <f>VLOOKUP(A692,'Operational Data'!$A$2:$E$201,4,FALSE)</f>
        <v>3042.95</v>
      </c>
      <c r="I692" s="11">
        <f>VLOOKUP(A692,'Operational Data'!$A$2:$E$201,5,FALSE)</f>
        <v>71.87</v>
      </c>
      <c r="J692" s="21">
        <f t="shared" si="10"/>
        <v>6.1638996138996142E-2</v>
      </c>
    </row>
    <row r="693" spans="1:10" x14ac:dyDescent="0.25">
      <c r="A693" s="20" t="s">
        <v>71</v>
      </c>
      <c r="B693" s="20" t="s">
        <v>7</v>
      </c>
      <c r="C693" s="20" t="s">
        <v>13</v>
      </c>
      <c r="D693" s="20" t="s">
        <v>28</v>
      </c>
      <c r="E693" s="20" t="s">
        <v>15</v>
      </c>
      <c r="F693" s="20">
        <v>3601.52</v>
      </c>
      <c r="G693" s="11">
        <f>VLOOKUP(A693,'Operational Data'!$A$2:$E$201,3,FALSE)</f>
        <v>68018</v>
      </c>
      <c r="H693" s="11">
        <f>VLOOKUP(A693,'Operational Data'!$A$2:$E$201,4,FALSE)</f>
        <v>3523.4</v>
      </c>
      <c r="I693" s="11">
        <f>VLOOKUP(A693,'Operational Data'!$A$2:$E$201,5,FALSE)</f>
        <v>92.26</v>
      </c>
      <c r="J693" s="21">
        <f t="shared" si="10"/>
        <v>5.2949513364109503E-2</v>
      </c>
    </row>
    <row r="694" spans="1:10" x14ac:dyDescent="0.25">
      <c r="A694" s="20" t="s">
        <v>95</v>
      </c>
      <c r="B694" s="20" t="s">
        <v>30</v>
      </c>
      <c r="C694" s="20" t="s">
        <v>13</v>
      </c>
      <c r="D694" s="20" t="s">
        <v>14</v>
      </c>
      <c r="E694" s="20" t="s">
        <v>15</v>
      </c>
      <c r="F694" s="20">
        <v>4964.3100000000004</v>
      </c>
      <c r="G694" s="11">
        <f>VLOOKUP(A694,'Operational Data'!$A$2:$E$201,3,FALSE)</f>
        <v>51800</v>
      </c>
      <c r="H694" s="11">
        <f>VLOOKUP(A694,'Operational Data'!$A$2:$E$201,4,FALSE)</f>
        <v>3042.95</v>
      </c>
      <c r="I694" s="11">
        <f>VLOOKUP(A694,'Operational Data'!$A$2:$E$201,5,FALSE)</f>
        <v>71.87</v>
      </c>
      <c r="J694" s="21">
        <f t="shared" si="10"/>
        <v>9.5836100386100395E-2</v>
      </c>
    </row>
    <row r="695" spans="1:10" ht="30" x14ac:dyDescent="0.25">
      <c r="A695" s="20" t="s">
        <v>59</v>
      </c>
      <c r="B695" s="20" t="s">
        <v>17</v>
      </c>
      <c r="C695" s="20" t="s">
        <v>23</v>
      </c>
      <c r="D695" s="20" t="s">
        <v>14</v>
      </c>
      <c r="E695" s="20" t="s">
        <v>15</v>
      </c>
      <c r="F695" s="20">
        <v>2143.7399999999998</v>
      </c>
      <c r="G695" s="11">
        <f>VLOOKUP(A695,'Operational Data'!$A$2:$E$201,3,FALSE)</f>
        <v>15553</v>
      </c>
      <c r="H695" s="11">
        <f>VLOOKUP(A695,'Operational Data'!$A$2:$E$201,4,FALSE)</f>
        <v>3909.51</v>
      </c>
      <c r="I695" s="11">
        <f>VLOOKUP(A695,'Operational Data'!$A$2:$E$201,5,FALSE)</f>
        <v>46.44</v>
      </c>
      <c r="J695" s="21">
        <f t="shared" si="10"/>
        <v>0.13783450138236994</v>
      </c>
    </row>
    <row r="696" spans="1:10" x14ac:dyDescent="0.25">
      <c r="A696" s="20" t="s">
        <v>164</v>
      </c>
      <c r="B696" s="20" t="s">
        <v>19</v>
      </c>
      <c r="C696" s="20" t="s">
        <v>13</v>
      </c>
      <c r="D696" s="20" t="s">
        <v>14</v>
      </c>
      <c r="E696" s="20" t="s">
        <v>15</v>
      </c>
      <c r="F696" s="20">
        <v>563.55999999999995</v>
      </c>
      <c r="G696" s="11">
        <f>VLOOKUP(A696,'Operational Data'!$A$2:$E$201,3,FALSE)</f>
        <v>69636</v>
      </c>
      <c r="H696" s="11">
        <f>VLOOKUP(A696,'Operational Data'!$A$2:$E$201,4,FALSE)</f>
        <v>4246.55</v>
      </c>
      <c r="I696" s="11">
        <f>VLOOKUP(A696,'Operational Data'!$A$2:$E$201,5,FALSE)</f>
        <v>69.290000000000006</v>
      </c>
      <c r="J696" s="21">
        <f t="shared" si="10"/>
        <v>8.0929404331093104E-3</v>
      </c>
    </row>
    <row r="697" spans="1:10" x14ac:dyDescent="0.25">
      <c r="A697" s="20" t="s">
        <v>95</v>
      </c>
      <c r="B697" s="20" t="s">
        <v>30</v>
      </c>
      <c r="C697" s="20" t="s">
        <v>13</v>
      </c>
      <c r="D697" s="20" t="s">
        <v>9</v>
      </c>
      <c r="E697" s="20" t="s">
        <v>15</v>
      </c>
      <c r="F697" s="20">
        <v>1541.8649820000001</v>
      </c>
      <c r="G697" s="11">
        <f>VLOOKUP(A697,'Operational Data'!$A$2:$E$201,3,FALSE)</f>
        <v>51800</v>
      </c>
      <c r="H697" s="11">
        <f>VLOOKUP(A697,'Operational Data'!$A$2:$E$201,4,FALSE)</f>
        <v>3042.95</v>
      </c>
      <c r="I697" s="11">
        <f>VLOOKUP(A697,'Operational Data'!$A$2:$E$201,5,FALSE)</f>
        <v>71.87</v>
      </c>
      <c r="J697" s="21">
        <f t="shared" si="10"/>
        <v>2.9765733243243244E-2</v>
      </c>
    </row>
    <row r="698" spans="1:10" x14ac:dyDescent="0.25">
      <c r="A698" s="20" t="s">
        <v>46</v>
      </c>
      <c r="B698" s="20" t="s">
        <v>30</v>
      </c>
      <c r="C698" s="20" t="s">
        <v>23</v>
      </c>
      <c r="D698" s="20" t="s">
        <v>14</v>
      </c>
      <c r="E698" s="20" t="s">
        <v>10</v>
      </c>
      <c r="F698" s="20">
        <v>2191.88</v>
      </c>
      <c r="G698" s="11">
        <f>VLOOKUP(A698,'Operational Data'!$A$2:$E$201,3,FALSE)</f>
        <v>43490</v>
      </c>
      <c r="H698" s="11">
        <f>VLOOKUP(A698,'Operational Data'!$A$2:$E$201,4,FALSE)</f>
        <v>9300.8799999999992</v>
      </c>
      <c r="I698" s="11">
        <f>VLOOKUP(A698,'Operational Data'!$A$2:$E$201,5,FALSE)</f>
        <v>58.43</v>
      </c>
      <c r="J698" s="21">
        <f t="shared" si="10"/>
        <v>5.039963209933318E-2</v>
      </c>
    </row>
    <row r="699" spans="1:10" x14ac:dyDescent="0.25">
      <c r="A699" s="20" t="s">
        <v>45</v>
      </c>
      <c r="B699" s="20" t="s">
        <v>7</v>
      </c>
      <c r="C699" s="20" t="s">
        <v>34</v>
      </c>
      <c r="D699" s="20" t="s">
        <v>28</v>
      </c>
      <c r="E699" s="20" t="s">
        <v>15</v>
      </c>
      <c r="F699" s="20">
        <v>4804.76</v>
      </c>
      <c r="G699" s="11">
        <f>VLOOKUP(A699,'Operational Data'!$A$2:$E$201,3,FALSE)</f>
        <v>49924</v>
      </c>
      <c r="H699" s="11">
        <f>VLOOKUP(A699,'Operational Data'!$A$2:$E$201,4,FALSE)</f>
        <v>2199.16</v>
      </c>
      <c r="I699" s="11">
        <f>VLOOKUP(A699,'Operational Data'!$A$2:$E$201,5,FALSE)</f>
        <v>75.48</v>
      </c>
      <c r="J699" s="21">
        <f t="shared" si="10"/>
        <v>9.6241487060331712E-2</v>
      </c>
    </row>
    <row r="700" spans="1:10" x14ac:dyDescent="0.25">
      <c r="A700" s="20" t="s">
        <v>212</v>
      </c>
      <c r="B700" s="20" t="s">
        <v>7</v>
      </c>
      <c r="C700" s="20" t="s">
        <v>13</v>
      </c>
      <c r="D700" s="20" t="s">
        <v>14</v>
      </c>
      <c r="E700" s="20" t="s">
        <v>10</v>
      </c>
      <c r="F700" s="20">
        <v>4966.99</v>
      </c>
      <c r="G700" s="11">
        <f>VLOOKUP(A700,'Operational Data'!$A$2:$E$201,3,FALSE)</f>
        <v>67820</v>
      </c>
      <c r="H700" s="11">
        <f>VLOOKUP(A700,'Operational Data'!$A$2:$E$201,4,FALSE)</f>
        <v>8177.95</v>
      </c>
      <c r="I700" s="11">
        <f>VLOOKUP(A700,'Operational Data'!$A$2:$E$201,5,FALSE)</f>
        <v>40.69</v>
      </c>
      <c r="J700" s="21">
        <f t="shared" si="10"/>
        <v>7.3237835446770858E-2</v>
      </c>
    </row>
    <row r="701" spans="1:10" x14ac:dyDescent="0.25">
      <c r="A701" s="20" t="s">
        <v>99</v>
      </c>
      <c r="B701" s="20" t="s">
        <v>19</v>
      </c>
      <c r="C701" s="20" t="s">
        <v>8</v>
      </c>
      <c r="D701" s="20" t="s">
        <v>28</v>
      </c>
      <c r="E701" s="20" t="s">
        <v>15</v>
      </c>
      <c r="F701" s="20">
        <v>2346.08</v>
      </c>
      <c r="G701" s="11">
        <f>VLOOKUP(A701,'Operational Data'!$A$2:$E$201,3,FALSE)</f>
        <v>77400</v>
      </c>
      <c r="H701" s="11">
        <f>VLOOKUP(A701,'Operational Data'!$A$2:$E$201,4,FALSE)</f>
        <v>7504.8</v>
      </c>
      <c r="I701" s="11">
        <f>VLOOKUP(A701,'Operational Data'!$A$2:$E$201,5,FALSE)</f>
        <v>68.819999999999993</v>
      </c>
      <c r="J701" s="21">
        <f t="shared" si="10"/>
        <v>3.0311111111111112E-2</v>
      </c>
    </row>
    <row r="702" spans="1:10" ht="30" x14ac:dyDescent="0.25">
      <c r="A702" s="20" t="s">
        <v>140</v>
      </c>
      <c r="B702" s="20" t="s">
        <v>17</v>
      </c>
      <c r="C702" s="20" t="s">
        <v>34</v>
      </c>
      <c r="D702" s="20" t="s">
        <v>28</v>
      </c>
      <c r="E702" s="20" t="s">
        <v>15</v>
      </c>
      <c r="F702" s="20">
        <v>278.14</v>
      </c>
      <c r="G702" s="11">
        <f>VLOOKUP(A702,'Operational Data'!$A$2:$E$201,3,FALSE)</f>
        <v>88308</v>
      </c>
      <c r="H702" s="11">
        <f>VLOOKUP(A702,'Operational Data'!$A$2:$E$201,4,FALSE)</f>
        <v>7802.07</v>
      </c>
      <c r="I702" s="11">
        <f>VLOOKUP(A702,'Operational Data'!$A$2:$E$201,5,FALSE)</f>
        <v>36.130000000000003</v>
      </c>
      <c r="J702" s="21">
        <f t="shared" si="10"/>
        <v>3.149658015128867E-3</v>
      </c>
    </row>
    <row r="703" spans="1:10" x14ac:dyDescent="0.25">
      <c r="A703" s="20" t="s">
        <v>111</v>
      </c>
      <c r="B703" s="20" t="s">
        <v>19</v>
      </c>
      <c r="C703" s="20" t="s">
        <v>34</v>
      </c>
      <c r="D703" s="20" t="s">
        <v>28</v>
      </c>
      <c r="E703" s="20" t="s">
        <v>10</v>
      </c>
      <c r="F703" s="20">
        <v>3551.91</v>
      </c>
      <c r="G703" s="11">
        <f>VLOOKUP(A703,'Operational Data'!$A$2:$E$201,3,FALSE)</f>
        <v>37309</v>
      </c>
      <c r="H703" s="11">
        <f>VLOOKUP(A703,'Operational Data'!$A$2:$E$201,4,FALSE)</f>
        <v>4508.54</v>
      </c>
      <c r="I703" s="11">
        <f>VLOOKUP(A703,'Operational Data'!$A$2:$E$201,5,FALSE)</f>
        <v>47.15</v>
      </c>
      <c r="J703" s="21">
        <f t="shared" si="10"/>
        <v>9.5202498056769141E-2</v>
      </c>
    </row>
    <row r="704" spans="1:10" x14ac:dyDescent="0.25">
      <c r="A704" s="20" t="s">
        <v>119</v>
      </c>
      <c r="B704" s="20" t="s">
        <v>30</v>
      </c>
      <c r="C704" s="20" t="s">
        <v>34</v>
      </c>
      <c r="D704" s="20" t="s">
        <v>28</v>
      </c>
      <c r="E704" s="20" t="s">
        <v>10</v>
      </c>
      <c r="F704" s="20">
        <v>3834.95</v>
      </c>
      <c r="G704" s="11">
        <f>VLOOKUP(A704,'Operational Data'!$A$2:$E$201,3,FALSE)</f>
        <v>80488</v>
      </c>
      <c r="H704" s="11">
        <f>VLOOKUP(A704,'Operational Data'!$A$2:$E$201,4,FALSE)</f>
        <v>7629.95</v>
      </c>
      <c r="I704" s="11">
        <f>VLOOKUP(A704,'Operational Data'!$A$2:$E$201,5,FALSE)</f>
        <v>63.83</v>
      </c>
      <c r="J704" s="21">
        <f t="shared" si="10"/>
        <v>4.7646232978829139E-2</v>
      </c>
    </row>
    <row r="705" spans="1:10" x14ac:dyDescent="0.25">
      <c r="A705" s="20" t="s">
        <v>22</v>
      </c>
      <c r="B705" s="20" t="s">
        <v>12</v>
      </c>
      <c r="C705" s="20" t="s">
        <v>13</v>
      </c>
      <c r="D705" s="20" t="s">
        <v>14</v>
      </c>
      <c r="E705" s="20" t="s">
        <v>10</v>
      </c>
      <c r="F705" s="20">
        <v>4076.77</v>
      </c>
      <c r="G705" s="11">
        <f>VLOOKUP(A705,'Operational Data'!$A$2:$E$201,3,FALSE)</f>
        <v>47484</v>
      </c>
      <c r="H705" s="11">
        <f>VLOOKUP(A705,'Operational Data'!$A$2:$E$201,4,FALSE)</f>
        <v>3396.39</v>
      </c>
      <c r="I705" s="11">
        <f>VLOOKUP(A705,'Operational Data'!$A$2:$E$201,5,FALSE)</f>
        <v>19.510000000000002</v>
      </c>
      <c r="J705" s="21">
        <f t="shared" si="10"/>
        <v>8.5855656642237391E-2</v>
      </c>
    </row>
    <row r="706" spans="1:10" x14ac:dyDescent="0.25">
      <c r="A706" s="20" t="s">
        <v>101</v>
      </c>
      <c r="B706" s="20" t="s">
        <v>19</v>
      </c>
      <c r="C706" s="20" t="s">
        <v>13</v>
      </c>
      <c r="D706" s="20" t="s">
        <v>14</v>
      </c>
      <c r="E706" s="20" t="s">
        <v>15</v>
      </c>
      <c r="F706" s="20">
        <v>1402.07</v>
      </c>
      <c r="G706" s="11">
        <f>VLOOKUP(A706,'Operational Data'!$A$2:$E$201,3,FALSE)</f>
        <v>39050</v>
      </c>
      <c r="H706" s="11">
        <f>VLOOKUP(A706,'Operational Data'!$A$2:$E$201,4,FALSE)</f>
        <v>5885.73</v>
      </c>
      <c r="I706" s="11">
        <f>VLOOKUP(A706,'Operational Data'!$A$2:$E$201,5,FALSE)</f>
        <v>93.04</v>
      </c>
      <c r="J706" s="21">
        <f t="shared" si="10"/>
        <v>3.5904481434058895E-2</v>
      </c>
    </row>
    <row r="707" spans="1:10" x14ac:dyDescent="0.25">
      <c r="A707" s="20" t="s">
        <v>93</v>
      </c>
      <c r="B707" s="20" t="s">
        <v>30</v>
      </c>
      <c r="C707" s="20" t="s">
        <v>8</v>
      </c>
      <c r="D707" s="20" t="s">
        <v>14</v>
      </c>
      <c r="E707" s="20" t="s">
        <v>15</v>
      </c>
      <c r="F707" s="20">
        <v>2817.03</v>
      </c>
      <c r="G707" s="11">
        <f>VLOOKUP(A707,'Operational Data'!$A$2:$E$201,3,FALSE)</f>
        <v>26378</v>
      </c>
      <c r="H707" s="11">
        <f>VLOOKUP(A707,'Operational Data'!$A$2:$E$201,4,FALSE)</f>
        <v>2915.44</v>
      </c>
      <c r="I707" s="11">
        <f>VLOOKUP(A707,'Operational Data'!$A$2:$E$201,5,FALSE)</f>
        <v>29.84</v>
      </c>
      <c r="J707" s="21">
        <f t="shared" ref="J707:J770" si="11">F707/G707</f>
        <v>0.10679467738266739</v>
      </c>
    </row>
    <row r="708" spans="1:10" x14ac:dyDescent="0.25">
      <c r="A708" s="20" t="s">
        <v>94</v>
      </c>
      <c r="B708" s="20" t="s">
        <v>7</v>
      </c>
      <c r="C708" s="20" t="s">
        <v>34</v>
      </c>
      <c r="D708" s="20" t="s">
        <v>14</v>
      </c>
      <c r="E708" s="20" t="s">
        <v>24</v>
      </c>
      <c r="F708" s="20">
        <v>4610.1499999999996</v>
      </c>
      <c r="G708" s="11">
        <f>VLOOKUP(A708,'Operational Data'!$A$2:$E$201,3,FALSE)</f>
        <v>26338</v>
      </c>
      <c r="H708" s="11">
        <f>VLOOKUP(A708,'Operational Data'!$A$2:$E$201,4,FALSE)</f>
        <v>578.73</v>
      </c>
      <c r="I708" s="11">
        <f>VLOOKUP(A708,'Operational Data'!$A$2:$E$201,5,FALSE)</f>
        <v>72.52</v>
      </c>
      <c r="J708" s="21">
        <f t="shared" si="11"/>
        <v>0.17503796795504592</v>
      </c>
    </row>
    <row r="709" spans="1:10" x14ac:dyDescent="0.25">
      <c r="A709" s="20" t="s">
        <v>191</v>
      </c>
      <c r="B709" s="20" t="s">
        <v>12</v>
      </c>
      <c r="C709" s="20" t="s">
        <v>23</v>
      </c>
      <c r="D709" s="20" t="s">
        <v>9</v>
      </c>
      <c r="E709" s="20" t="s">
        <v>24</v>
      </c>
      <c r="F709" s="20">
        <v>1197.675115</v>
      </c>
      <c r="G709" s="11">
        <f>VLOOKUP(A709,'Operational Data'!$A$2:$E$201,3,FALSE)</f>
        <v>43346</v>
      </c>
      <c r="H709" s="11">
        <f>VLOOKUP(A709,'Operational Data'!$A$2:$E$201,4,FALSE)</f>
        <v>5559.12</v>
      </c>
      <c r="I709" s="11">
        <f>VLOOKUP(A709,'Operational Data'!$A$2:$E$201,5,FALSE)</f>
        <v>39.4</v>
      </c>
      <c r="J709" s="21">
        <f t="shared" si="11"/>
        <v>2.7630579868961381E-2</v>
      </c>
    </row>
    <row r="710" spans="1:10" ht="30" x14ac:dyDescent="0.25">
      <c r="A710" s="20" t="s">
        <v>80</v>
      </c>
      <c r="B710" s="20" t="s">
        <v>17</v>
      </c>
      <c r="C710" s="20" t="s">
        <v>23</v>
      </c>
      <c r="D710" s="20" t="s">
        <v>14</v>
      </c>
      <c r="E710" s="20" t="s">
        <v>24</v>
      </c>
      <c r="F710" s="20">
        <v>2154.8200000000002</v>
      </c>
      <c r="G710" s="11">
        <f>VLOOKUP(A710,'Operational Data'!$A$2:$E$201,3,FALSE)</f>
        <v>75508</v>
      </c>
      <c r="H710" s="11">
        <f>VLOOKUP(A710,'Operational Data'!$A$2:$E$201,4,FALSE)</f>
        <v>6856.22</v>
      </c>
      <c r="I710" s="11">
        <f>VLOOKUP(A710,'Operational Data'!$A$2:$E$201,5,FALSE)</f>
        <v>18.2</v>
      </c>
      <c r="J710" s="21">
        <f t="shared" si="11"/>
        <v>2.8537638395931559E-2</v>
      </c>
    </row>
    <row r="711" spans="1:10" x14ac:dyDescent="0.25">
      <c r="A711" s="20" t="s">
        <v>71</v>
      </c>
      <c r="B711" s="20" t="s">
        <v>7</v>
      </c>
      <c r="C711" s="20" t="s">
        <v>23</v>
      </c>
      <c r="D711" s="20" t="s">
        <v>28</v>
      </c>
      <c r="E711" s="20" t="s">
        <v>15</v>
      </c>
      <c r="F711" s="20">
        <v>1398.72</v>
      </c>
      <c r="G711" s="11">
        <f>VLOOKUP(A711,'Operational Data'!$A$2:$E$201,3,FALSE)</f>
        <v>68018</v>
      </c>
      <c r="H711" s="11">
        <f>VLOOKUP(A711,'Operational Data'!$A$2:$E$201,4,FALSE)</f>
        <v>3523.4</v>
      </c>
      <c r="I711" s="11">
        <f>VLOOKUP(A711,'Operational Data'!$A$2:$E$201,5,FALSE)</f>
        <v>92.26</v>
      </c>
      <c r="J711" s="21">
        <f t="shared" si="11"/>
        <v>2.0563968361316121E-2</v>
      </c>
    </row>
    <row r="712" spans="1:10" x14ac:dyDescent="0.25">
      <c r="A712" s="20" t="s">
        <v>18</v>
      </c>
      <c r="B712" s="20" t="s">
        <v>19</v>
      </c>
      <c r="C712" s="20" t="s">
        <v>23</v>
      </c>
      <c r="D712" s="20" t="s">
        <v>14</v>
      </c>
      <c r="E712" s="20" t="s">
        <v>15</v>
      </c>
      <c r="F712" s="20">
        <v>2433.64</v>
      </c>
      <c r="G712" s="11">
        <f>VLOOKUP(A712,'Operational Data'!$A$2:$E$201,3,FALSE)</f>
        <v>98682</v>
      </c>
      <c r="H712" s="11">
        <f>VLOOKUP(A712,'Operational Data'!$A$2:$E$201,4,FALSE)</f>
        <v>6220.56</v>
      </c>
      <c r="I712" s="11">
        <f>VLOOKUP(A712,'Operational Data'!$A$2:$E$201,5,FALSE)</f>
        <v>70.099999999999994</v>
      </c>
      <c r="J712" s="21">
        <f t="shared" si="11"/>
        <v>2.4661437749538922E-2</v>
      </c>
    </row>
    <row r="713" spans="1:10" x14ac:dyDescent="0.25">
      <c r="A713" s="20" t="s">
        <v>52</v>
      </c>
      <c r="B713" s="20" t="s">
        <v>19</v>
      </c>
      <c r="C713" s="20" t="s">
        <v>23</v>
      </c>
      <c r="D713" s="20" t="s">
        <v>14</v>
      </c>
      <c r="E713" s="20" t="s">
        <v>10</v>
      </c>
      <c r="F713" s="20">
        <v>1785.88</v>
      </c>
      <c r="G713" s="11">
        <f>VLOOKUP(A713,'Operational Data'!$A$2:$E$201,3,FALSE)</f>
        <v>94949</v>
      </c>
      <c r="H713" s="11">
        <f>VLOOKUP(A713,'Operational Data'!$A$2:$E$201,4,FALSE)</f>
        <v>9714.76</v>
      </c>
      <c r="I713" s="11">
        <f>VLOOKUP(A713,'Operational Data'!$A$2:$E$201,5,FALSE)</f>
        <v>64.900000000000006</v>
      </c>
      <c r="J713" s="21">
        <f t="shared" si="11"/>
        <v>1.8808834216263469E-2</v>
      </c>
    </row>
    <row r="714" spans="1:10" x14ac:dyDescent="0.25">
      <c r="A714" s="20" t="s">
        <v>65</v>
      </c>
      <c r="B714" s="20" t="s">
        <v>30</v>
      </c>
      <c r="C714" s="20" t="s">
        <v>8</v>
      </c>
      <c r="D714" s="20" t="s">
        <v>9</v>
      </c>
      <c r="E714" s="20" t="s">
        <v>10</v>
      </c>
      <c r="F714" s="20">
        <v>4694.8763879999997</v>
      </c>
      <c r="G714" s="11">
        <f>VLOOKUP(A714,'Operational Data'!$A$2:$E$201,3,FALSE)</f>
        <v>99026</v>
      </c>
      <c r="H714" s="11">
        <f>VLOOKUP(A714,'Operational Data'!$A$2:$E$201,4,FALSE)</f>
        <v>5453.2</v>
      </c>
      <c r="I714" s="11">
        <f>VLOOKUP(A714,'Operational Data'!$A$2:$E$201,5,FALSE)</f>
        <v>57.49</v>
      </c>
      <c r="J714" s="21">
        <f t="shared" si="11"/>
        <v>4.7410542564578995E-2</v>
      </c>
    </row>
    <row r="715" spans="1:10" x14ac:dyDescent="0.25">
      <c r="A715" s="20" t="s">
        <v>71</v>
      </c>
      <c r="B715" s="20" t="s">
        <v>7</v>
      </c>
      <c r="C715" s="20" t="s">
        <v>8</v>
      </c>
      <c r="D715" s="20" t="s">
        <v>14</v>
      </c>
      <c r="E715" s="20" t="s">
        <v>10</v>
      </c>
      <c r="F715" s="20">
        <v>3069.11</v>
      </c>
      <c r="G715" s="11">
        <f>VLOOKUP(A715,'Operational Data'!$A$2:$E$201,3,FALSE)</f>
        <v>68018</v>
      </c>
      <c r="H715" s="11">
        <f>VLOOKUP(A715,'Operational Data'!$A$2:$E$201,4,FALSE)</f>
        <v>3523.4</v>
      </c>
      <c r="I715" s="11">
        <f>VLOOKUP(A715,'Operational Data'!$A$2:$E$201,5,FALSE)</f>
        <v>92.26</v>
      </c>
      <c r="J715" s="21">
        <f t="shared" si="11"/>
        <v>4.5122026522391133E-2</v>
      </c>
    </row>
    <row r="716" spans="1:10" x14ac:dyDescent="0.25">
      <c r="A716" s="20" t="s">
        <v>196</v>
      </c>
      <c r="B716" s="20" t="s">
        <v>30</v>
      </c>
      <c r="C716" s="20" t="s">
        <v>13</v>
      </c>
      <c r="D716" s="20" t="s">
        <v>14</v>
      </c>
      <c r="E716" s="20" t="s">
        <v>15</v>
      </c>
      <c r="F716" s="20">
        <v>2819.92</v>
      </c>
      <c r="G716" s="11">
        <f>VLOOKUP(A716,'Operational Data'!$A$2:$E$201,3,FALSE)</f>
        <v>12262</v>
      </c>
      <c r="H716" s="11">
        <f>VLOOKUP(A716,'Operational Data'!$A$2:$E$201,4,FALSE)</f>
        <v>7106.18</v>
      </c>
      <c r="I716" s="11">
        <f>VLOOKUP(A716,'Operational Data'!$A$2:$E$201,5,FALSE)</f>
        <v>45.69</v>
      </c>
      <c r="J716" s="21">
        <f t="shared" si="11"/>
        <v>0.22997227206002285</v>
      </c>
    </row>
    <row r="717" spans="1:10" x14ac:dyDescent="0.25">
      <c r="A717" s="20" t="s">
        <v>95</v>
      </c>
      <c r="B717" s="20" t="s">
        <v>30</v>
      </c>
      <c r="C717" s="20" t="s">
        <v>13</v>
      </c>
      <c r="D717" s="20" t="s">
        <v>28</v>
      </c>
      <c r="E717" s="20" t="s">
        <v>24</v>
      </c>
      <c r="F717" s="20">
        <v>1772.23</v>
      </c>
      <c r="G717" s="11">
        <f>VLOOKUP(A717,'Operational Data'!$A$2:$E$201,3,FALSE)</f>
        <v>51800</v>
      </c>
      <c r="H717" s="11">
        <f>VLOOKUP(A717,'Operational Data'!$A$2:$E$201,4,FALSE)</f>
        <v>3042.95</v>
      </c>
      <c r="I717" s="11">
        <f>VLOOKUP(A717,'Operational Data'!$A$2:$E$201,5,FALSE)</f>
        <v>71.87</v>
      </c>
      <c r="J717" s="21">
        <f t="shared" si="11"/>
        <v>3.4212934362934364E-2</v>
      </c>
    </row>
    <row r="718" spans="1:10" x14ac:dyDescent="0.25">
      <c r="A718" s="20" t="s">
        <v>57</v>
      </c>
      <c r="B718" s="20" t="s">
        <v>19</v>
      </c>
      <c r="C718" s="20" t="s">
        <v>8</v>
      </c>
      <c r="D718" s="20" t="s">
        <v>14</v>
      </c>
      <c r="E718" s="20" t="s">
        <v>24</v>
      </c>
      <c r="F718" s="20">
        <v>2502.25</v>
      </c>
      <c r="G718" s="11">
        <f>VLOOKUP(A718,'Operational Data'!$A$2:$E$201,3,FALSE)</f>
        <v>41027</v>
      </c>
      <c r="H718" s="11">
        <f>VLOOKUP(A718,'Operational Data'!$A$2:$E$201,4,FALSE)</f>
        <v>7285.85</v>
      </c>
      <c r="I718" s="11">
        <f>VLOOKUP(A718,'Operational Data'!$A$2:$E$201,5,FALSE)</f>
        <v>59.87</v>
      </c>
      <c r="J718" s="21">
        <f t="shared" si="11"/>
        <v>6.0990323445535864E-2</v>
      </c>
    </row>
    <row r="719" spans="1:10" x14ac:dyDescent="0.25">
      <c r="A719" s="20" t="s">
        <v>74</v>
      </c>
      <c r="B719" s="20" t="s">
        <v>19</v>
      </c>
      <c r="C719" s="20" t="s">
        <v>8</v>
      </c>
      <c r="D719" s="20" t="s">
        <v>9</v>
      </c>
      <c r="E719" s="20" t="s">
        <v>15</v>
      </c>
      <c r="F719" s="20">
        <v>3851.934953</v>
      </c>
      <c r="G719" s="11">
        <f>VLOOKUP(A719,'Operational Data'!$A$2:$E$201,3,FALSE)</f>
        <v>18175</v>
      </c>
      <c r="H719" s="11">
        <f>VLOOKUP(A719,'Operational Data'!$A$2:$E$201,4,FALSE)</f>
        <v>8349.49</v>
      </c>
      <c r="I719" s="11">
        <f>VLOOKUP(A719,'Operational Data'!$A$2:$E$201,5,FALSE)</f>
        <v>39.97</v>
      </c>
      <c r="J719" s="21">
        <f t="shared" si="11"/>
        <v>0.21193589837689134</v>
      </c>
    </row>
    <row r="720" spans="1:10" x14ac:dyDescent="0.25">
      <c r="A720" s="20" t="s">
        <v>114</v>
      </c>
      <c r="B720" s="20" t="s">
        <v>30</v>
      </c>
      <c r="C720" s="20" t="s">
        <v>13</v>
      </c>
      <c r="D720" s="20" t="s">
        <v>28</v>
      </c>
      <c r="E720" s="20" t="s">
        <v>24</v>
      </c>
      <c r="F720" s="20">
        <v>3031.48</v>
      </c>
      <c r="G720" s="11">
        <f>VLOOKUP(A720,'Operational Data'!$A$2:$E$201,3,FALSE)</f>
        <v>29264</v>
      </c>
      <c r="H720" s="11">
        <f>VLOOKUP(A720,'Operational Data'!$A$2:$E$201,4,FALSE)</f>
        <v>8362.7199999999993</v>
      </c>
      <c r="I720" s="11">
        <f>VLOOKUP(A720,'Operational Data'!$A$2:$E$201,5,FALSE)</f>
        <v>61.93</v>
      </c>
      <c r="J720" s="21">
        <f t="shared" si="11"/>
        <v>0.10359075997813012</v>
      </c>
    </row>
    <row r="721" spans="1:10" x14ac:dyDescent="0.25">
      <c r="A721" s="20" t="s">
        <v>78</v>
      </c>
      <c r="B721" s="20" t="s">
        <v>7</v>
      </c>
      <c r="C721" s="20" t="s">
        <v>23</v>
      </c>
      <c r="D721" s="20" t="s">
        <v>9</v>
      </c>
      <c r="E721" s="20" t="s">
        <v>24</v>
      </c>
      <c r="F721" s="20">
        <v>601.62</v>
      </c>
      <c r="G721" s="11">
        <f>VLOOKUP(A721,'Operational Data'!$A$2:$E$201,3,FALSE)</f>
        <v>86557</v>
      </c>
      <c r="H721" s="11">
        <f>VLOOKUP(A721,'Operational Data'!$A$2:$E$201,4,FALSE)</f>
        <v>8631.2800000000007</v>
      </c>
      <c r="I721" s="11">
        <f>VLOOKUP(A721,'Operational Data'!$A$2:$E$201,5,FALSE)</f>
        <v>69.53</v>
      </c>
      <c r="J721" s="21">
        <f t="shared" si="11"/>
        <v>6.9505643679887239E-3</v>
      </c>
    </row>
    <row r="722" spans="1:10" x14ac:dyDescent="0.25">
      <c r="A722" s="20" t="s">
        <v>73</v>
      </c>
      <c r="B722" s="20" t="s">
        <v>30</v>
      </c>
      <c r="C722" s="20" t="s">
        <v>8</v>
      </c>
      <c r="D722" s="20" t="s">
        <v>28</v>
      </c>
      <c r="E722" s="20" t="s">
        <v>24</v>
      </c>
      <c r="F722" s="20">
        <v>2060.17</v>
      </c>
      <c r="G722" s="11">
        <f>VLOOKUP(A722,'Operational Data'!$A$2:$E$201,3,FALSE)</f>
        <v>55974</v>
      </c>
      <c r="H722" s="11">
        <f>VLOOKUP(A722,'Operational Data'!$A$2:$E$201,4,FALSE)</f>
        <v>7542.28</v>
      </c>
      <c r="I722" s="11">
        <f>VLOOKUP(A722,'Operational Data'!$A$2:$E$201,5,FALSE)</f>
        <v>72.430000000000007</v>
      </c>
      <c r="J722" s="21">
        <f t="shared" si="11"/>
        <v>3.6805838424983028E-2</v>
      </c>
    </row>
    <row r="723" spans="1:10" x14ac:dyDescent="0.25">
      <c r="A723" s="20" t="s">
        <v>99</v>
      </c>
      <c r="B723" s="20" t="s">
        <v>19</v>
      </c>
      <c r="C723" s="20" t="s">
        <v>13</v>
      </c>
      <c r="D723" s="20" t="s">
        <v>28</v>
      </c>
      <c r="E723" s="20" t="s">
        <v>10</v>
      </c>
      <c r="F723" s="20">
        <v>2452.0300000000002</v>
      </c>
      <c r="G723" s="11">
        <f>VLOOKUP(A723,'Operational Data'!$A$2:$E$201,3,FALSE)</f>
        <v>77400</v>
      </c>
      <c r="H723" s="11">
        <f>VLOOKUP(A723,'Operational Data'!$A$2:$E$201,4,FALSE)</f>
        <v>7504.8</v>
      </c>
      <c r="I723" s="11">
        <f>VLOOKUP(A723,'Operational Data'!$A$2:$E$201,5,FALSE)</f>
        <v>68.819999999999993</v>
      </c>
      <c r="J723" s="21">
        <f t="shared" si="11"/>
        <v>3.1679974160206723E-2</v>
      </c>
    </row>
    <row r="724" spans="1:10" x14ac:dyDescent="0.25">
      <c r="A724" s="20" t="s">
        <v>56</v>
      </c>
      <c r="B724" s="20" t="s">
        <v>19</v>
      </c>
      <c r="C724" s="20" t="s">
        <v>8</v>
      </c>
      <c r="D724" s="20" t="s">
        <v>28</v>
      </c>
      <c r="E724" s="20" t="s">
        <v>10</v>
      </c>
      <c r="F724" s="20">
        <v>1782.21</v>
      </c>
      <c r="G724" s="11">
        <f>VLOOKUP(A724,'Operational Data'!$A$2:$E$201,3,FALSE)</f>
        <v>43747</v>
      </c>
      <c r="H724" s="11">
        <f>VLOOKUP(A724,'Operational Data'!$A$2:$E$201,4,FALSE)</f>
        <v>3453.48</v>
      </c>
      <c r="I724" s="11">
        <f>VLOOKUP(A724,'Operational Data'!$A$2:$E$201,5,FALSE)</f>
        <v>98.78</v>
      </c>
      <c r="J724" s="21">
        <f t="shared" si="11"/>
        <v>4.0739022104372871E-2</v>
      </c>
    </row>
    <row r="725" spans="1:10" x14ac:dyDescent="0.25">
      <c r="A725" s="20" t="s">
        <v>123</v>
      </c>
      <c r="B725" s="20" t="s">
        <v>30</v>
      </c>
      <c r="C725" s="20" t="s">
        <v>23</v>
      </c>
      <c r="D725" s="20" t="s">
        <v>9</v>
      </c>
      <c r="E725" s="20" t="s">
        <v>15</v>
      </c>
      <c r="F725" s="20">
        <v>103.31</v>
      </c>
      <c r="G725" s="11">
        <f>VLOOKUP(A725,'Operational Data'!$A$2:$E$201,3,FALSE)</f>
        <v>73977</v>
      </c>
      <c r="H725" s="11">
        <f>VLOOKUP(A725,'Operational Data'!$A$2:$E$201,4,FALSE)</f>
        <v>1646.75</v>
      </c>
      <c r="I725" s="11">
        <f>VLOOKUP(A725,'Operational Data'!$A$2:$E$201,5,FALSE)</f>
        <v>43.77</v>
      </c>
      <c r="J725" s="21">
        <f t="shared" si="11"/>
        <v>1.3965151330819039E-3</v>
      </c>
    </row>
    <row r="726" spans="1:10" ht="30" x14ac:dyDescent="0.25">
      <c r="A726" s="20" t="s">
        <v>171</v>
      </c>
      <c r="B726" s="20" t="s">
        <v>17</v>
      </c>
      <c r="C726" s="20" t="s">
        <v>13</v>
      </c>
      <c r="D726" s="20" t="s">
        <v>14</v>
      </c>
      <c r="E726" s="20" t="s">
        <v>15</v>
      </c>
      <c r="F726" s="20">
        <v>3568.05</v>
      </c>
      <c r="G726" s="11">
        <f>VLOOKUP(A726,'Operational Data'!$A$2:$E$201,3,FALSE)</f>
        <v>24502</v>
      </c>
      <c r="H726" s="11">
        <f>VLOOKUP(A726,'Operational Data'!$A$2:$E$201,4,FALSE)</f>
        <v>7466.86</v>
      </c>
      <c r="I726" s="11">
        <f>VLOOKUP(A726,'Operational Data'!$A$2:$E$201,5,FALSE)</f>
        <v>88.83</v>
      </c>
      <c r="J726" s="21">
        <f t="shared" si="11"/>
        <v>0.14562280630152641</v>
      </c>
    </row>
    <row r="727" spans="1:10" x14ac:dyDescent="0.25">
      <c r="A727" s="20" t="s">
        <v>67</v>
      </c>
      <c r="B727" s="20" t="s">
        <v>7</v>
      </c>
      <c r="C727" s="20" t="s">
        <v>23</v>
      </c>
      <c r="D727" s="20" t="s">
        <v>9</v>
      </c>
      <c r="E727" s="20" t="s">
        <v>15</v>
      </c>
      <c r="F727" s="20">
        <v>2290.64</v>
      </c>
      <c r="G727" s="11">
        <f>VLOOKUP(A727,'Operational Data'!$A$2:$E$201,3,FALSE)</f>
        <v>70582</v>
      </c>
      <c r="H727" s="11">
        <f>VLOOKUP(A727,'Operational Data'!$A$2:$E$201,4,FALSE)</f>
        <v>7517.59</v>
      </c>
      <c r="I727" s="11">
        <f>VLOOKUP(A727,'Operational Data'!$A$2:$E$201,5,FALSE)</f>
        <v>95.71</v>
      </c>
      <c r="J727" s="21">
        <f t="shared" si="11"/>
        <v>3.2453600068006003E-2</v>
      </c>
    </row>
    <row r="728" spans="1:10" x14ac:dyDescent="0.25">
      <c r="A728" s="20" t="s">
        <v>105</v>
      </c>
      <c r="B728" s="20" t="s">
        <v>30</v>
      </c>
      <c r="C728" s="20" t="s">
        <v>23</v>
      </c>
      <c r="D728" s="20" t="s">
        <v>14</v>
      </c>
      <c r="E728" s="20" t="s">
        <v>24</v>
      </c>
      <c r="F728" s="20">
        <v>4937.24</v>
      </c>
      <c r="G728" s="11">
        <f>VLOOKUP(A728,'Operational Data'!$A$2:$E$201,3,FALSE)</f>
        <v>87337</v>
      </c>
      <c r="H728" s="11">
        <f>VLOOKUP(A728,'Operational Data'!$A$2:$E$201,4,FALSE)</f>
        <v>3603.06</v>
      </c>
      <c r="I728" s="11">
        <f>VLOOKUP(A728,'Operational Data'!$A$2:$E$201,5,FALSE)</f>
        <v>67.13</v>
      </c>
      <c r="J728" s="21">
        <f t="shared" si="11"/>
        <v>5.6530909007637083E-2</v>
      </c>
    </row>
    <row r="729" spans="1:10" x14ac:dyDescent="0.25">
      <c r="A729" s="20" t="s">
        <v>150</v>
      </c>
      <c r="B729" s="20" t="s">
        <v>30</v>
      </c>
      <c r="C729" s="20" t="s">
        <v>23</v>
      </c>
      <c r="D729" s="20" t="s">
        <v>9</v>
      </c>
      <c r="E729" s="20" t="s">
        <v>15</v>
      </c>
      <c r="F729" s="20">
        <v>1728.8069439999999</v>
      </c>
      <c r="G729" s="11">
        <f>VLOOKUP(A729,'Operational Data'!$A$2:$E$201,3,FALSE)</f>
        <v>98356</v>
      </c>
      <c r="H729" s="11">
        <f>VLOOKUP(A729,'Operational Data'!$A$2:$E$201,4,FALSE)</f>
        <v>6968.69</v>
      </c>
      <c r="I729" s="11">
        <f>VLOOKUP(A729,'Operational Data'!$A$2:$E$201,5,FALSE)</f>
        <v>81.72</v>
      </c>
      <c r="J729" s="21">
        <f t="shared" si="11"/>
        <v>1.7577035910366422E-2</v>
      </c>
    </row>
    <row r="730" spans="1:10" x14ac:dyDescent="0.25">
      <c r="A730" s="20" t="s">
        <v>213</v>
      </c>
      <c r="B730" s="20" t="s">
        <v>12</v>
      </c>
      <c r="C730" s="20" t="s">
        <v>13</v>
      </c>
      <c r="D730" s="20" t="s">
        <v>14</v>
      </c>
      <c r="E730" s="20" t="s">
        <v>10</v>
      </c>
      <c r="F730" s="20">
        <v>372.7</v>
      </c>
      <c r="G730" s="11">
        <f>VLOOKUP(A730,'Operational Data'!$A$2:$E$201,3,FALSE)</f>
        <v>58622</v>
      </c>
      <c r="H730" s="11">
        <f>VLOOKUP(A730,'Operational Data'!$A$2:$E$201,4,FALSE)</f>
        <v>7795.36</v>
      </c>
      <c r="I730" s="11">
        <f>VLOOKUP(A730,'Operational Data'!$A$2:$E$201,5,FALSE)</f>
        <v>59.81</v>
      </c>
      <c r="J730" s="21">
        <f t="shared" si="11"/>
        <v>6.357681416533042E-3</v>
      </c>
    </row>
    <row r="731" spans="1:10" ht="30" x14ac:dyDescent="0.25">
      <c r="A731" s="20" t="s">
        <v>80</v>
      </c>
      <c r="B731" s="20" t="s">
        <v>17</v>
      </c>
      <c r="C731" s="20" t="s">
        <v>8</v>
      </c>
      <c r="D731" s="20" t="s">
        <v>14</v>
      </c>
      <c r="E731" s="20" t="s">
        <v>24</v>
      </c>
      <c r="F731" s="20">
        <v>3677.7</v>
      </c>
      <c r="G731" s="11">
        <f>VLOOKUP(A731,'Operational Data'!$A$2:$E$201,3,FALSE)</f>
        <v>75508</v>
      </c>
      <c r="H731" s="11">
        <f>VLOOKUP(A731,'Operational Data'!$A$2:$E$201,4,FALSE)</f>
        <v>6856.22</v>
      </c>
      <c r="I731" s="11">
        <f>VLOOKUP(A731,'Operational Data'!$A$2:$E$201,5,FALSE)</f>
        <v>18.2</v>
      </c>
      <c r="J731" s="21">
        <f t="shared" si="11"/>
        <v>4.8706097367166391E-2</v>
      </c>
    </row>
    <row r="732" spans="1:10" ht="30" x14ac:dyDescent="0.25">
      <c r="A732" s="20" t="s">
        <v>20</v>
      </c>
      <c r="B732" s="20" t="s">
        <v>17</v>
      </c>
      <c r="C732" s="20" t="s">
        <v>34</v>
      </c>
      <c r="D732" s="20" t="s">
        <v>28</v>
      </c>
      <c r="E732" s="20" t="s">
        <v>10</v>
      </c>
      <c r="F732" s="20">
        <v>2576.7800000000002</v>
      </c>
      <c r="G732" s="11">
        <f>VLOOKUP(A732,'Operational Data'!$A$2:$E$201,3,FALSE)</f>
        <v>29895</v>
      </c>
      <c r="H732" s="11">
        <f>VLOOKUP(A732,'Operational Data'!$A$2:$E$201,4,FALSE)</f>
        <v>1631.08</v>
      </c>
      <c r="I732" s="11">
        <f>VLOOKUP(A732,'Operational Data'!$A$2:$E$201,5,FALSE)</f>
        <v>39.93</v>
      </c>
      <c r="J732" s="21">
        <f t="shared" si="11"/>
        <v>8.6194346880749298E-2</v>
      </c>
    </row>
    <row r="733" spans="1:10" x14ac:dyDescent="0.25">
      <c r="A733" s="20" t="s">
        <v>111</v>
      </c>
      <c r="B733" s="20" t="s">
        <v>19</v>
      </c>
      <c r="C733" s="20" t="s">
        <v>8</v>
      </c>
      <c r="D733" s="20" t="s">
        <v>28</v>
      </c>
      <c r="E733" s="20" t="s">
        <v>10</v>
      </c>
      <c r="F733" s="20">
        <v>2972.77</v>
      </c>
      <c r="G733" s="11">
        <f>VLOOKUP(A733,'Operational Data'!$A$2:$E$201,3,FALSE)</f>
        <v>37309</v>
      </c>
      <c r="H733" s="11">
        <f>VLOOKUP(A733,'Operational Data'!$A$2:$E$201,4,FALSE)</f>
        <v>4508.54</v>
      </c>
      <c r="I733" s="11">
        <f>VLOOKUP(A733,'Operational Data'!$A$2:$E$201,5,FALSE)</f>
        <v>47.15</v>
      </c>
      <c r="J733" s="21">
        <f t="shared" si="11"/>
        <v>7.9679701948591489E-2</v>
      </c>
    </row>
    <row r="734" spans="1:10" x14ac:dyDescent="0.25">
      <c r="A734" s="20" t="s">
        <v>87</v>
      </c>
      <c r="B734" s="20" t="s">
        <v>12</v>
      </c>
      <c r="C734" s="20" t="s">
        <v>23</v>
      </c>
      <c r="D734" s="20" t="s">
        <v>28</v>
      </c>
      <c r="E734" s="20" t="s">
        <v>24</v>
      </c>
      <c r="F734" s="20">
        <v>3995.86</v>
      </c>
      <c r="G734" s="11">
        <f>VLOOKUP(A734,'Operational Data'!$A$2:$E$201,3,FALSE)</f>
        <v>15333</v>
      </c>
      <c r="H734" s="11">
        <f>VLOOKUP(A734,'Operational Data'!$A$2:$E$201,4,FALSE)</f>
        <v>2570.54</v>
      </c>
      <c r="I734" s="11">
        <f>VLOOKUP(A734,'Operational Data'!$A$2:$E$201,5,FALSE)</f>
        <v>41.07</v>
      </c>
      <c r="J734" s="21">
        <f t="shared" si="11"/>
        <v>0.26060523054849022</v>
      </c>
    </row>
    <row r="735" spans="1:10" x14ac:dyDescent="0.25">
      <c r="A735" s="20" t="s">
        <v>84</v>
      </c>
      <c r="B735" s="20" t="s">
        <v>30</v>
      </c>
      <c r="C735" s="20" t="s">
        <v>13</v>
      </c>
      <c r="D735" s="20" t="s">
        <v>14</v>
      </c>
      <c r="E735" s="20" t="s">
        <v>15</v>
      </c>
      <c r="F735" s="20">
        <v>2798.95</v>
      </c>
      <c r="G735" s="11">
        <f>VLOOKUP(A735,'Operational Data'!$A$2:$E$201,3,FALSE)</f>
        <v>85444</v>
      </c>
      <c r="H735" s="11">
        <f>VLOOKUP(A735,'Operational Data'!$A$2:$E$201,4,FALSE)</f>
        <v>852.57</v>
      </c>
      <c r="I735" s="11">
        <f>VLOOKUP(A735,'Operational Data'!$A$2:$E$201,5,FALSE)</f>
        <v>72.650000000000006</v>
      </c>
      <c r="J735" s="21">
        <f t="shared" si="11"/>
        <v>3.2757712653901969E-2</v>
      </c>
    </row>
    <row r="736" spans="1:10" x14ac:dyDescent="0.25">
      <c r="A736" s="20" t="s">
        <v>36</v>
      </c>
      <c r="B736" s="20" t="s">
        <v>12</v>
      </c>
      <c r="C736" s="20" t="s">
        <v>8</v>
      </c>
      <c r="D736" s="20" t="s">
        <v>28</v>
      </c>
      <c r="E736" s="20" t="s">
        <v>15</v>
      </c>
      <c r="F736" s="20">
        <v>204.44</v>
      </c>
      <c r="G736" s="11">
        <f>VLOOKUP(A736,'Operational Data'!$A$2:$E$201,3,FALSE)</f>
        <v>40226</v>
      </c>
      <c r="H736" s="11">
        <f>VLOOKUP(A736,'Operational Data'!$A$2:$E$201,4,FALSE)</f>
        <v>7868.86</v>
      </c>
      <c r="I736" s="11">
        <f>VLOOKUP(A736,'Operational Data'!$A$2:$E$201,5,FALSE)</f>
        <v>80.53</v>
      </c>
      <c r="J736" s="21">
        <f t="shared" si="11"/>
        <v>5.0822850892457616E-3</v>
      </c>
    </row>
    <row r="737" spans="1:10" x14ac:dyDescent="0.25">
      <c r="A737" s="20" t="s">
        <v>179</v>
      </c>
      <c r="B737" s="20" t="s">
        <v>7</v>
      </c>
      <c r="C737" s="20" t="s">
        <v>8</v>
      </c>
      <c r="D737" s="20" t="s">
        <v>14</v>
      </c>
      <c r="E737" s="20" t="s">
        <v>15</v>
      </c>
      <c r="F737" s="20">
        <v>2646.82</v>
      </c>
      <c r="G737" s="11">
        <f>VLOOKUP(A737,'Operational Data'!$A$2:$E$201,3,FALSE)</f>
        <v>94393</v>
      </c>
      <c r="H737" s="11">
        <f>VLOOKUP(A737,'Operational Data'!$A$2:$E$201,4,FALSE)</f>
        <v>6691.7</v>
      </c>
      <c r="I737" s="11">
        <f>VLOOKUP(A737,'Operational Data'!$A$2:$E$201,5,FALSE)</f>
        <v>74.790000000000006</v>
      </c>
      <c r="J737" s="21">
        <f t="shared" si="11"/>
        <v>2.8040426726558116E-2</v>
      </c>
    </row>
    <row r="738" spans="1:10" x14ac:dyDescent="0.25">
      <c r="A738" s="20" t="s">
        <v>50</v>
      </c>
      <c r="B738" s="20" t="s">
        <v>19</v>
      </c>
      <c r="C738" s="20" t="s">
        <v>13</v>
      </c>
      <c r="D738" s="20" t="s">
        <v>14</v>
      </c>
      <c r="E738" s="20" t="s">
        <v>15</v>
      </c>
      <c r="F738" s="20">
        <v>2960.39</v>
      </c>
      <c r="G738" s="11">
        <f>VLOOKUP(A738,'Operational Data'!$A$2:$E$201,3,FALSE)</f>
        <v>40577</v>
      </c>
      <c r="H738" s="11">
        <f>VLOOKUP(A738,'Operational Data'!$A$2:$E$201,4,FALSE)</f>
        <v>4280.82</v>
      </c>
      <c r="I738" s="11">
        <f>VLOOKUP(A738,'Operational Data'!$A$2:$E$201,5,FALSE)</f>
        <v>79.88</v>
      </c>
      <c r="J738" s="21">
        <f t="shared" si="11"/>
        <v>7.2957340365231535E-2</v>
      </c>
    </row>
    <row r="739" spans="1:10" x14ac:dyDescent="0.25">
      <c r="A739" s="20" t="s">
        <v>78</v>
      </c>
      <c r="B739" s="20" t="s">
        <v>7</v>
      </c>
      <c r="C739" s="20" t="s">
        <v>13</v>
      </c>
      <c r="D739" s="20" t="s">
        <v>14</v>
      </c>
      <c r="E739" s="20" t="s">
        <v>24</v>
      </c>
      <c r="F739" s="20">
        <v>1696.88</v>
      </c>
      <c r="G739" s="11">
        <f>VLOOKUP(A739,'Operational Data'!$A$2:$E$201,3,FALSE)</f>
        <v>86557</v>
      </c>
      <c r="H739" s="11">
        <f>VLOOKUP(A739,'Operational Data'!$A$2:$E$201,4,FALSE)</f>
        <v>8631.2800000000007</v>
      </c>
      <c r="I739" s="11">
        <f>VLOOKUP(A739,'Operational Data'!$A$2:$E$201,5,FALSE)</f>
        <v>69.53</v>
      </c>
      <c r="J739" s="21">
        <f t="shared" si="11"/>
        <v>1.9604191457652183E-2</v>
      </c>
    </row>
    <row r="740" spans="1:10" x14ac:dyDescent="0.25">
      <c r="A740" s="20" t="s">
        <v>214</v>
      </c>
      <c r="B740" s="20" t="s">
        <v>30</v>
      </c>
      <c r="C740" s="20" t="s">
        <v>13</v>
      </c>
      <c r="D740" s="20" t="s">
        <v>9</v>
      </c>
      <c r="E740" s="20" t="s">
        <v>24</v>
      </c>
      <c r="F740" s="20">
        <v>622.99567999999999</v>
      </c>
      <c r="G740" s="11">
        <f>VLOOKUP(A740,'Operational Data'!$A$2:$E$201,3,FALSE)</f>
        <v>79330</v>
      </c>
      <c r="H740" s="11">
        <f>VLOOKUP(A740,'Operational Data'!$A$2:$E$201,4,FALSE)</f>
        <v>6075.23</v>
      </c>
      <c r="I740" s="11">
        <f>VLOOKUP(A740,'Operational Data'!$A$2:$E$201,5,FALSE)</f>
        <v>83.97</v>
      </c>
      <c r="J740" s="21">
        <f t="shared" si="11"/>
        <v>7.8532166897768811E-3</v>
      </c>
    </row>
    <row r="741" spans="1:10" x14ac:dyDescent="0.25">
      <c r="A741" s="20" t="s">
        <v>128</v>
      </c>
      <c r="B741" s="20" t="s">
        <v>12</v>
      </c>
      <c r="C741" s="20" t="s">
        <v>23</v>
      </c>
      <c r="D741" s="20" t="s">
        <v>14</v>
      </c>
      <c r="E741" s="20" t="s">
        <v>24</v>
      </c>
      <c r="F741" s="20">
        <v>1684.41</v>
      </c>
      <c r="G741" s="11">
        <f>VLOOKUP(A741,'Operational Data'!$A$2:$E$201,3,FALSE)</f>
        <v>29406</v>
      </c>
      <c r="H741" s="11">
        <f>VLOOKUP(A741,'Operational Data'!$A$2:$E$201,4,FALSE)</f>
        <v>5281.69</v>
      </c>
      <c r="I741" s="11">
        <f>VLOOKUP(A741,'Operational Data'!$A$2:$E$201,5,FALSE)</f>
        <v>27.01</v>
      </c>
      <c r="J741" s="21">
        <f t="shared" si="11"/>
        <v>5.728116710875332E-2</v>
      </c>
    </row>
    <row r="742" spans="1:10" x14ac:dyDescent="0.25">
      <c r="A742" s="20" t="s">
        <v>68</v>
      </c>
      <c r="B742" s="20" t="s">
        <v>12</v>
      </c>
      <c r="C742" s="20" t="s">
        <v>34</v>
      </c>
      <c r="D742" s="20" t="s">
        <v>14</v>
      </c>
      <c r="E742" s="20" t="s">
        <v>24</v>
      </c>
      <c r="F742" s="20">
        <v>3307.16</v>
      </c>
      <c r="G742" s="11">
        <f>VLOOKUP(A742,'Operational Data'!$A$2:$E$201,3,FALSE)</f>
        <v>69100</v>
      </c>
      <c r="H742" s="11">
        <f>VLOOKUP(A742,'Operational Data'!$A$2:$E$201,4,FALSE)</f>
        <v>9356.02</v>
      </c>
      <c r="I742" s="11">
        <f>VLOOKUP(A742,'Operational Data'!$A$2:$E$201,5,FALSE)</f>
        <v>16.5</v>
      </c>
      <c r="J742" s="21">
        <f t="shared" si="11"/>
        <v>4.786049204052098E-2</v>
      </c>
    </row>
    <row r="743" spans="1:10" x14ac:dyDescent="0.25">
      <c r="A743" s="20" t="s">
        <v>38</v>
      </c>
      <c r="B743" s="20" t="s">
        <v>30</v>
      </c>
      <c r="C743" s="20" t="s">
        <v>34</v>
      </c>
      <c r="D743" s="20" t="s">
        <v>9</v>
      </c>
      <c r="E743" s="20" t="s">
        <v>10</v>
      </c>
      <c r="F743" s="20">
        <v>2731.1669729999999</v>
      </c>
      <c r="G743" s="11">
        <f>VLOOKUP(A743,'Operational Data'!$A$2:$E$201,3,FALSE)</f>
        <v>57215</v>
      </c>
      <c r="H743" s="11">
        <f>VLOOKUP(A743,'Operational Data'!$A$2:$E$201,4,FALSE)</f>
        <v>3227.1</v>
      </c>
      <c r="I743" s="11">
        <f>VLOOKUP(A743,'Operational Data'!$A$2:$E$201,5,FALSE)</f>
        <v>32.909999999999997</v>
      </c>
      <c r="J743" s="21">
        <f t="shared" si="11"/>
        <v>4.77351563925544E-2</v>
      </c>
    </row>
    <row r="744" spans="1:10" x14ac:dyDescent="0.25">
      <c r="A744" s="20" t="s">
        <v>29</v>
      </c>
      <c r="B744" s="20" t="s">
        <v>30</v>
      </c>
      <c r="C744" s="20" t="s">
        <v>13</v>
      </c>
      <c r="D744" s="20" t="s">
        <v>28</v>
      </c>
      <c r="E744" s="20" t="s">
        <v>24</v>
      </c>
      <c r="F744" s="20">
        <v>2861.41</v>
      </c>
      <c r="G744" s="11">
        <f>VLOOKUP(A744,'Operational Data'!$A$2:$E$201,3,FALSE)</f>
        <v>32131</v>
      </c>
      <c r="H744" s="11">
        <f>VLOOKUP(A744,'Operational Data'!$A$2:$E$201,4,FALSE)</f>
        <v>1474.23</v>
      </c>
      <c r="I744" s="11">
        <f>VLOOKUP(A744,'Operational Data'!$A$2:$E$201,5,FALSE)</f>
        <v>45.47</v>
      </c>
      <c r="J744" s="21">
        <f t="shared" si="11"/>
        <v>8.905449565839843E-2</v>
      </c>
    </row>
    <row r="745" spans="1:10" x14ac:dyDescent="0.25">
      <c r="A745" s="20" t="s">
        <v>117</v>
      </c>
      <c r="B745" s="20" t="s">
        <v>7</v>
      </c>
      <c r="C745" s="20" t="s">
        <v>34</v>
      </c>
      <c r="D745" s="20" t="s">
        <v>14</v>
      </c>
      <c r="E745" s="20" t="s">
        <v>15</v>
      </c>
      <c r="F745" s="20">
        <v>2409.39</v>
      </c>
      <c r="G745" s="11">
        <f>VLOOKUP(A745,'Operational Data'!$A$2:$E$201,3,FALSE)</f>
        <v>89321</v>
      </c>
      <c r="H745" s="11">
        <f>VLOOKUP(A745,'Operational Data'!$A$2:$E$201,4,FALSE)</f>
        <v>9836.34</v>
      </c>
      <c r="I745" s="11">
        <f>VLOOKUP(A745,'Operational Data'!$A$2:$E$201,5,FALSE)</f>
        <v>16.989999999999998</v>
      </c>
      <c r="J745" s="21">
        <f t="shared" si="11"/>
        <v>2.6974507674567008E-2</v>
      </c>
    </row>
    <row r="746" spans="1:10" x14ac:dyDescent="0.25">
      <c r="A746" s="20" t="s">
        <v>125</v>
      </c>
      <c r="B746" s="20" t="s">
        <v>7</v>
      </c>
      <c r="C746" s="20" t="s">
        <v>13</v>
      </c>
      <c r="D746" s="20" t="s">
        <v>28</v>
      </c>
      <c r="E746" s="20" t="s">
        <v>24</v>
      </c>
      <c r="F746" s="20">
        <v>1958.41</v>
      </c>
      <c r="G746" s="11">
        <f>VLOOKUP(A746,'Operational Data'!$A$2:$E$201,3,FALSE)</f>
        <v>56392</v>
      </c>
      <c r="H746" s="11">
        <f>VLOOKUP(A746,'Operational Data'!$A$2:$E$201,4,FALSE)</f>
        <v>5703.76</v>
      </c>
      <c r="I746" s="11">
        <f>VLOOKUP(A746,'Operational Data'!$A$2:$E$201,5,FALSE)</f>
        <v>23.04</v>
      </c>
      <c r="J746" s="21">
        <f t="shared" si="11"/>
        <v>3.4728507589729042E-2</v>
      </c>
    </row>
    <row r="747" spans="1:10" x14ac:dyDescent="0.25">
      <c r="A747" s="20" t="s">
        <v>87</v>
      </c>
      <c r="B747" s="20" t="s">
        <v>12</v>
      </c>
      <c r="C747" s="20" t="s">
        <v>8</v>
      </c>
      <c r="D747" s="20" t="s">
        <v>28</v>
      </c>
      <c r="E747" s="20" t="s">
        <v>10</v>
      </c>
      <c r="F747" s="20">
        <v>2816.97</v>
      </c>
      <c r="G747" s="11">
        <f>VLOOKUP(A747,'Operational Data'!$A$2:$E$201,3,FALSE)</f>
        <v>15333</v>
      </c>
      <c r="H747" s="11">
        <f>VLOOKUP(A747,'Operational Data'!$A$2:$E$201,4,FALSE)</f>
        <v>2570.54</v>
      </c>
      <c r="I747" s="11">
        <f>VLOOKUP(A747,'Operational Data'!$A$2:$E$201,5,FALSE)</f>
        <v>41.07</v>
      </c>
      <c r="J747" s="21">
        <f t="shared" si="11"/>
        <v>0.18371942868323224</v>
      </c>
    </row>
    <row r="748" spans="1:10" x14ac:dyDescent="0.25">
      <c r="A748" s="20" t="s">
        <v>164</v>
      </c>
      <c r="B748" s="20" t="s">
        <v>19</v>
      </c>
      <c r="C748" s="20" t="s">
        <v>8</v>
      </c>
      <c r="D748" s="20" t="s">
        <v>14</v>
      </c>
      <c r="E748" s="20" t="s">
        <v>24</v>
      </c>
      <c r="F748" s="20">
        <v>4263.92</v>
      </c>
      <c r="G748" s="11">
        <f>VLOOKUP(A748,'Operational Data'!$A$2:$E$201,3,FALSE)</f>
        <v>69636</v>
      </c>
      <c r="H748" s="11">
        <f>VLOOKUP(A748,'Operational Data'!$A$2:$E$201,4,FALSE)</f>
        <v>4246.55</v>
      </c>
      <c r="I748" s="11">
        <f>VLOOKUP(A748,'Operational Data'!$A$2:$E$201,5,FALSE)</f>
        <v>69.290000000000006</v>
      </c>
      <c r="J748" s="21">
        <f t="shared" si="11"/>
        <v>6.1231546901028208E-2</v>
      </c>
    </row>
    <row r="749" spans="1:10" x14ac:dyDescent="0.25">
      <c r="A749" s="20" t="s">
        <v>163</v>
      </c>
      <c r="B749" s="20" t="s">
        <v>19</v>
      </c>
      <c r="C749" s="20" t="s">
        <v>34</v>
      </c>
      <c r="D749" s="20" t="s">
        <v>14</v>
      </c>
      <c r="E749" s="20" t="s">
        <v>24</v>
      </c>
      <c r="F749" s="20">
        <v>1867.58</v>
      </c>
      <c r="G749" s="11">
        <f>VLOOKUP(A749,'Operational Data'!$A$2:$E$201,3,FALSE)</f>
        <v>87482</v>
      </c>
      <c r="H749" s="11">
        <f>VLOOKUP(A749,'Operational Data'!$A$2:$E$201,4,FALSE)</f>
        <v>2231.7399999999998</v>
      </c>
      <c r="I749" s="11">
        <f>VLOOKUP(A749,'Operational Data'!$A$2:$E$201,5,FALSE)</f>
        <v>45.43</v>
      </c>
      <c r="J749" s="21">
        <f t="shared" si="11"/>
        <v>2.134816305068471E-2</v>
      </c>
    </row>
    <row r="750" spans="1:10" x14ac:dyDescent="0.25">
      <c r="A750" s="20" t="s">
        <v>54</v>
      </c>
      <c r="B750" s="20" t="s">
        <v>12</v>
      </c>
      <c r="C750" s="20" t="s">
        <v>23</v>
      </c>
      <c r="D750" s="20" t="s">
        <v>9</v>
      </c>
      <c r="E750" s="20" t="s">
        <v>10</v>
      </c>
      <c r="F750" s="20">
        <v>3447.6118419999998</v>
      </c>
      <c r="G750" s="11">
        <f>VLOOKUP(A750,'Operational Data'!$A$2:$E$201,3,FALSE)</f>
        <v>58111</v>
      </c>
      <c r="H750" s="11">
        <f>VLOOKUP(A750,'Operational Data'!$A$2:$E$201,4,FALSE)</f>
        <v>4610.8999999999996</v>
      </c>
      <c r="I750" s="11">
        <f>VLOOKUP(A750,'Operational Data'!$A$2:$E$201,5,FALSE)</f>
        <v>21.53</v>
      </c>
      <c r="J750" s="21">
        <f t="shared" si="11"/>
        <v>5.9328041885357327E-2</v>
      </c>
    </row>
    <row r="751" spans="1:10" x14ac:dyDescent="0.25">
      <c r="A751" s="20" t="s">
        <v>75</v>
      </c>
      <c r="B751" s="20" t="s">
        <v>19</v>
      </c>
      <c r="C751" s="20" t="s">
        <v>34</v>
      </c>
      <c r="D751" s="20" t="s">
        <v>9</v>
      </c>
      <c r="E751" s="20" t="s">
        <v>15</v>
      </c>
      <c r="F751" s="20">
        <v>4785.5801659999997</v>
      </c>
      <c r="G751" s="11">
        <f>VLOOKUP(A751,'Operational Data'!$A$2:$E$201,3,FALSE)</f>
        <v>54136</v>
      </c>
      <c r="H751" s="11">
        <f>VLOOKUP(A751,'Operational Data'!$A$2:$E$201,4,FALSE)</f>
        <v>2775.38</v>
      </c>
      <c r="I751" s="11">
        <f>VLOOKUP(A751,'Operational Data'!$A$2:$E$201,5,FALSE)</f>
        <v>75.459999999999994</v>
      </c>
      <c r="J751" s="21">
        <f t="shared" si="11"/>
        <v>8.8399219853701777E-2</v>
      </c>
    </row>
    <row r="752" spans="1:10" x14ac:dyDescent="0.25">
      <c r="A752" s="20" t="s">
        <v>68</v>
      </c>
      <c r="B752" s="20" t="s">
        <v>12</v>
      </c>
      <c r="C752" s="20" t="s">
        <v>23</v>
      </c>
      <c r="D752" s="20" t="s">
        <v>14</v>
      </c>
      <c r="E752" s="20" t="s">
        <v>15</v>
      </c>
      <c r="F752" s="20">
        <v>3739.05</v>
      </c>
      <c r="G752" s="11">
        <f>VLOOKUP(A752,'Operational Data'!$A$2:$E$201,3,FALSE)</f>
        <v>69100</v>
      </c>
      <c r="H752" s="11">
        <f>VLOOKUP(A752,'Operational Data'!$A$2:$E$201,4,FALSE)</f>
        <v>9356.02</v>
      </c>
      <c r="I752" s="11">
        <f>VLOOKUP(A752,'Operational Data'!$A$2:$E$201,5,FALSE)</f>
        <v>16.5</v>
      </c>
      <c r="J752" s="21">
        <f t="shared" si="11"/>
        <v>5.411070911722142E-2</v>
      </c>
    </row>
    <row r="753" spans="1:10" x14ac:dyDescent="0.25">
      <c r="A753" s="20" t="s">
        <v>25</v>
      </c>
      <c r="B753" s="20" t="s">
        <v>19</v>
      </c>
      <c r="C753" s="20" t="s">
        <v>34</v>
      </c>
      <c r="D753" s="20" t="s">
        <v>14</v>
      </c>
      <c r="E753" s="20" t="s">
        <v>10</v>
      </c>
      <c r="F753" s="20">
        <v>4330.71</v>
      </c>
      <c r="G753" s="11">
        <f>VLOOKUP(A753,'Operational Data'!$A$2:$E$201,3,FALSE)</f>
        <v>95306</v>
      </c>
      <c r="H753" s="11">
        <f>VLOOKUP(A753,'Operational Data'!$A$2:$E$201,4,FALSE)</f>
        <v>9037.76</v>
      </c>
      <c r="I753" s="11">
        <f>VLOOKUP(A753,'Operational Data'!$A$2:$E$201,5,FALSE)</f>
        <v>13.35</v>
      </c>
      <c r="J753" s="21">
        <f t="shared" si="11"/>
        <v>4.5440056239900953E-2</v>
      </c>
    </row>
    <row r="754" spans="1:10" ht="30" x14ac:dyDescent="0.25">
      <c r="A754" s="20" t="s">
        <v>156</v>
      </c>
      <c r="B754" s="20" t="s">
        <v>17</v>
      </c>
      <c r="C754" s="20" t="s">
        <v>13</v>
      </c>
      <c r="D754" s="20" t="s">
        <v>9</v>
      </c>
      <c r="E754" s="20" t="s">
        <v>24</v>
      </c>
      <c r="F754" s="20">
        <v>1947.4241589999999</v>
      </c>
      <c r="G754" s="11">
        <f>VLOOKUP(A754,'Operational Data'!$A$2:$E$201,3,FALSE)</f>
        <v>81057</v>
      </c>
      <c r="H754" s="11">
        <f>VLOOKUP(A754,'Operational Data'!$A$2:$E$201,4,FALSE)</f>
        <v>675.41</v>
      </c>
      <c r="I754" s="11">
        <f>VLOOKUP(A754,'Operational Data'!$A$2:$E$201,5,FALSE)</f>
        <v>55.44</v>
      </c>
      <c r="J754" s="21">
        <f t="shared" si="11"/>
        <v>2.4025366828281332E-2</v>
      </c>
    </row>
    <row r="755" spans="1:10" x14ac:dyDescent="0.25">
      <c r="A755" s="20" t="s">
        <v>119</v>
      </c>
      <c r="B755" s="20" t="s">
        <v>30</v>
      </c>
      <c r="C755" s="20" t="s">
        <v>23</v>
      </c>
      <c r="D755" s="20" t="s">
        <v>14</v>
      </c>
      <c r="E755" s="20" t="s">
        <v>24</v>
      </c>
      <c r="F755" s="20">
        <v>2840.62</v>
      </c>
      <c r="G755" s="11">
        <f>VLOOKUP(A755,'Operational Data'!$A$2:$E$201,3,FALSE)</f>
        <v>80488</v>
      </c>
      <c r="H755" s="11">
        <f>VLOOKUP(A755,'Operational Data'!$A$2:$E$201,4,FALSE)</f>
        <v>7629.95</v>
      </c>
      <c r="I755" s="11">
        <f>VLOOKUP(A755,'Operational Data'!$A$2:$E$201,5,FALSE)</f>
        <v>63.83</v>
      </c>
      <c r="J755" s="21">
        <f t="shared" si="11"/>
        <v>3.5292465957658281E-2</v>
      </c>
    </row>
    <row r="756" spans="1:10" x14ac:dyDescent="0.25">
      <c r="A756" s="20" t="s">
        <v>117</v>
      </c>
      <c r="B756" s="20" t="s">
        <v>7</v>
      </c>
      <c r="C756" s="20" t="s">
        <v>8</v>
      </c>
      <c r="D756" s="20" t="s">
        <v>28</v>
      </c>
      <c r="E756" s="20" t="s">
        <v>24</v>
      </c>
      <c r="F756" s="20">
        <v>2415.5100000000002</v>
      </c>
      <c r="G756" s="11">
        <f>VLOOKUP(A756,'Operational Data'!$A$2:$E$201,3,FALSE)</f>
        <v>89321</v>
      </c>
      <c r="H756" s="11">
        <f>VLOOKUP(A756,'Operational Data'!$A$2:$E$201,4,FALSE)</f>
        <v>9836.34</v>
      </c>
      <c r="I756" s="11">
        <f>VLOOKUP(A756,'Operational Data'!$A$2:$E$201,5,FALSE)</f>
        <v>16.989999999999998</v>
      </c>
      <c r="J756" s="21">
        <f t="shared" si="11"/>
        <v>2.7043024596679396E-2</v>
      </c>
    </row>
    <row r="757" spans="1:10" ht="30" x14ac:dyDescent="0.25">
      <c r="A757" s="20" t="s">
        <v>140</v>
      </c>
      <c r="B757" s="20" t="s">
        <v>17</v>
      </c>
      <c r="C757" s="20" t="s">
        <v>34</v>
      </c>
      <c r="D757" s="20" t="s">
        <v>9</v>
      </c>
      <c r="E757" s="20" t="s">
        <v>10</v>
      </c>
      <c r="F757" s="20">
        <v>5161.459492</v>
      </c>
      <c r="G757" s="11">
        <f>VLOOKUP(A757,'Operational Data'!$A$2:$E$201,3,FALSE)</f>
        <v>88308</v>
      </c>
      <c r="H757" s="11">
        <f>VLOOKUP(A757,'Operational Data'!$A$2:$E$201,4,FALSE)</f>
        <v>7802.07</v>
      </c>
      <c r="I757" s="11">
        <f>VLOOKUP(A757,'Operational Data'!$A$2:$E$201,5,FALSE)</f>
        <v>36.130000000000003</v>
      </c>
      <c r="J757" s="21">
        <f t="shared" si="11"/>
        <v>5.8448379444670927E-2</v>
      </c>
    </row>
    <row r="758" spans="1:10" x14ac:dyDescent="0.25">
      <c r="A758" s="20" t="s">
        <v>141</v>
      </c>
      <c r="B758" s="20" t="s">
        <v>7</v>
      </c>
      <c r="C758" s="20" t="s">
        <v>23</v>
      </c>
      <c r="D758" s="20" t="s">
        <v>14</v>
      </c>
      <c r="E758" s="20" t="s">
        <v>24</v>
      </c>
      <c r="F758" s="20">
        <v>2359.52</v>
      </c>
      <c r="G758" s="11">
        <f>VLOOKUP(A758,'Operational Data'!$A$2:$E$201,3,FALSE)</f>
        <v>45644</v>
      </c>
      <c r="H758" s="11">
        <f>VLOOKUP(A758,'Operational Data'!$A$2:$E$201,4,FALSE)</f>
        <v>7724.73</v>
      </c>
      <c r="I758" s="11">
        <f>VLOOKUP(A758,'Operational Data'!$A$2:$E$201,5,FALSE)</f>
        <v>31</v>
      </c>
      <c r="J758" s="21">
        <f t="shared" si="11"/>
        <v>5.1693979493471209E-2</v>
      </c>
    </row>
    <row r="759" spans="1:10" x14ac:dyDescent="0.25">
      <c r="A759" s="20" t="s">
        <v>180</v>
      </c>
      <c r="B759" s="20" t="s">
        <v>30</v>
      </c>
      <c r="C759" s="20" t="s">
        <v>34</v>
      </c>
      <c r="D759" s="20" t="s">
        <v>14</v>
      </c>
      <c r="E759" s="20" t="s">
        <v>15</v>
      </c>
      <c r="F759" s="20">
        <v>4799.96</v>
      </c>
      <c r="G759" s="11">
        <f>VLOOKUP(A759,'Operational Data'!$A$2:$E$201,3,FALSE)</f>
        <v>72846</v>
      </c>
      <c r="H759" s="11">
        <f>VLOOKUP(A759,'Operational Data'!$A$2:$E$201,4,FALSE)</f>
        <v>5169.53</v>
      </c>
      <c r="I759" s="11">
        <f>VLOOKUP(A759,'Operational Data'!$A$2:$E$201,5,FALSE)</f>
        <v>76.709999999999994</v>
      </c>
      <c r="J759" s="21">
        <f t="shared" si="11"/>
        <v>6.5891881503445632E-2</v>
      </c>
    </row>
    <row r="760" spans="1:10" ht="30" x14ac:dyDescent="0.25">
      <c r="A760" s="20" t="s">
        <v>140</v>
      </c>
      <c r="B760" s="20" t="s">
        <v>17</v>
      </c>
      <c r="C760" s="20" t="s">
        <v>34</v>
      </c>
      <c r="D760" s="20" t="s">
        <v>28</v>
      </c>
      <c r="E760" s="20" t="s">
        <v>10</v>
      </c>
      <c r="F760" s="20">
        <v>152.66999999999999</v>
      </c>
      <c r="G760" s="11">
        <f>VLOOKUP(A760,'Operational Data'!$A$2:$E$201,3,FALSE)</f>
        <v>88308</v>
      </c>
      <c r="H760" s="11">
        <f>VLOOKUP(A760,'Operational Data'!$A$2:$E$201,4,FALSE)</f>
        <v>7802.07</v>
      </c>
      <c r="I760" s="11">
        <f>VLOOKUP(A760,'Operational Data'!$A$2:$E$201,5,FALSE)</f>
        <v>36.130000000000003</v>
      </c>
      <c r="J760" s="21">
        <f t="shared" si="11"/>
        <v>1.7288354395977713E-3</v>
      </c>
    </row>
    <row r="761" spans="1:10" ht="30" x14ac:dyDescent="0.25">
      <c r="A761" s="20" t="s">
        <v>199</v>
      </c>
      <c r="B761" s="20" t="s">
        <v>17</v>
      </c>
      <c r="C761" s="20" t="s">
        <v>13</v>
      </c>
      <c r="D761" s="20" t="s">
        <v>9</v>
      </c>
      <c r="E761" s="20" t="s">
        <v>24</v>
      </c>
      <c r="F761" s="20">
        <v>2461.8885409999998</v>
      </c>
      <c r="G761" s="11">
        <f>VLOOKUP(A761,'Operational Data'!$A$2:$E$201,3,FALSE)</f>
        <v>77317</v>
      </c>
      <c r="H761" s="11">
        <f>VLOOKUP(A761,'Operational Data'!$A$2:$E$201,4,FALSE)</f>
        <v>4862.95</v>
      </c>
      <c r="I761" s="11">
        <f>VLOOKUP(A761,'Operational Data'!$A$2:$E$201,5,FALSE)</f>
        <v>89.78</v>
      </c>
      <c r="J761" s="21">
        <f t="shared" si="11"/>
        <v>3.1841490758824059E-2</v>
      </c>
    </row>
    <row r="762" spans="1:10" x14ac:dyDescent="0.25">
      <c r="A762" s="20" t="s">
        <v>126</v>
      </c>
      <c r="B762" s="20" t="s">
        <v>30</v>
      </c>
      <c r="C762" s="20" t="s">
        <v>23</v>
      </c>
      <c r="D762" s="20" t="s">
        <v>14</v>
      </c>
      <c r="E762" s="20" t="s">
        <v>15</v>
      </c>
      <c r="F762" s="20">
        <v>3223.43</v>
      </c>
      <c r="G762" s="11">
        <f>VLOOKUP(A762,'Operational Data'!$A$2:$E$201,3,FALSE)</f>
        <v>35506</v>
      </c>
      <c r="H762" s="11">
        <f>VLOOKUP(A762,'Operational Data'!$A$2:$E$201,4,FALSE)</f>
        <v>1892.04</v>
      </c>
      <c r="I762" s="11">
        <f>VLOOKUP(A762,'Operational Data'!$A$2:$E$201,5,FALSE)</f>
        <v>61.53</v>
      </c>
      <c r="J762" s="21">
        <f t="shared" si="11"/>
        <v>9.0785501042077388E-2</v>
      </c>
    </row>
    <row r="763" spans="1:10" ht="30" x14ac:dyDescent="0.25">
      <c r="A763" s="20" t="s">
        <v>58</v>
      </c>
      <c r="B763" s="20" t="s">
        <v>17</v>
      </c>
      <c r="C763" s="20" t="s">
        <v>34</v>
      </c>
      <c r="D763" s="20" t="s">
        <v>28</v>
      </c>
      <c r="E763" s="20" t="s">
        <v>15</v>
      </c>
      <c r="F763" s="20">
        <v>3987.54</v>
      </c>
      <c r="G763" s="11">
        <f>VLOOKUP(A763,'Operational Data'!$A$2:$E$201,3,FALSE)</f>
        <v>32246</v>
      </c>
      <c r="H763" s="11">
        <f>VLOOKUP(A763,'Operational Data'!$A$2:$E$201,4,FALSE)</f>
        <v>7903.93</v>
      </c>
      <c r="I763" s="11">
        <f>VLOOKUP(A763,'Operational Data'!$A$2:$E$201,5,FALSE)</f>
        <v>42.12</v>
      </c>
      <c r="J763" s="21">
        <f t="shared" si="11"/>
        <v>0.1236599888358246</v>
      </c>
    </row>
    <row r="764" spans="1:10" x14ac:dyDescent="0.25">
      <c r="A764" s="20" t="s">
        <v>32</v>
      </c>
      <c r="B764" s="20" t="s">
        <v>7</v>
      </c>
      <c r="C764" s="20" t="s">
        <v>23</v>
      </c>
      <c r="D764" s="20" t="s">
        <v>14</v>
      </c>
      <c r="E764" s="20" t="s">
        <v>24</v>
      </c>
      <c r="F764" s="20">
        <v>2592.73</v>
      </c>
      <c r="G764" s="11">
        <f>VLOOKUP(A764,'Operational Data'!$A$2:$E$201,3,FALSE)</f>
        <v>10933</v>
      </c>
      <c r="H764" s="11">
        <f>VLOOKUP(A764,'Operational Data'!$A$2:$E$201,4,FALSE)</f>
        <v>9004.3700000000008</v>
      </c>
      <c r="I764" s="11">
        <f>VLOOKUP(A764,'Operational Data'!$A$2:$E$201,5,FALSE)</f>
        <v>26.84</v>
      </c>
      <c r="J764" s="21">
        <f t="shared" si="11"/>
        <v>0.23714716912100978</v>
      </c>
    </row>
    <row r="765" spans="1:10" x14ac:dyDescent="0.25">
      <c r="A765" s="20" t="s">
        <v>48</v>
      </c>
      <c r="B765" s="20" t="s">
        <v>19</v>
      </c>
      <c r="C765" s="20" t="s">
        <v>8</v>
      </c>
      <c r="D765" s="20" t="s">
        <v>28</v>
      </c>
      <c r="E765" s="20" t="s">
        <v>10</v>
      </c>
      <c r="F765" s="20">
        <v>3770.78</v>
      </c>
      <c r="G765" s="11">
        <f>VLOOKUP(A765,'Operational Data'!$A$2:$E$201,3,FALSE)</f>
        <v>11952</v>
      </c>
      <c r="H765" s="11">
        <f>VLOOKUP(A765,'Operational Data'!$A$2:$E$201,4,FALSE)</f>
        <v>4637.74</v>
      </c>
      <c r="I765" s="11">
        <f>VLOOKUP(A765,'Operational Data'!$A$2:$E$201,5,FALSE)</f>
        <v>63.78</v>
      </c>
      <c r="J765" s="21">
        <f t="shared" si="11"/>
        <v>0.31549364123159307</v>
      </c>
    </row>
    <row r="766" spans="1:10" x14ac:dyDescent="0.25">
      <c r="A766" s="20" t="s">
        <v>54</v>
      </c>
      <c r="B766" s="20" t="s">
        <v>12</v>
      </c>
      <c r="C766" s="20" t="s">
        <v>34</v>
      </c>
      <c r="D766" s="20" t="s">
        <v>14</v>
      </c>
      <c r="E766" s="20" t="s">
        <v>10</v>
      </c>
      <c r="F766" s="20">
        <v>348.87</v>
      </c>
      <c r="G766" s="11">
        <f>VLOOKUP(A766,'Operational Data'!$A$2:$E$201,3,FALSE)</f>
        <v>58111</v>
      </c>
      <c r="H766" s="11">
        <f>VLOOKUP(A766,'Operational Data'!$A$2:$E$201,4,FALSE)</f>
        <v>4610.8999999999996</v>
      </c>
      <c r="I766" s="11">
        <f>VLOOKUP(A766,'Operational Data'!$A$2:$E$201,5,FALSE)</f>
        <v>21.53</v>
      </c>
      <c r="J766" s="21">
        <f t="shared" si="11"/>
        <v>6.0035105229646708E-3</v>
      </c>
    </row>
    <row r="767" spans="1:10" x14ac:dyDescent="0.25">
      <c r="A767" s="20" t="s">
        <v>189</v>
      </c>
      <c r="B767" s="20" t="s">
        <v>19</v>
      </c>
      <c r="C767" s="20" t="s">
        <v>13</v>
      </c>
      <c r="D767" s="20" t="s">
        <v>14</v>
      </c>
      <c r="E767" s="20" t="s">
        <v>15</v>
      </c>
      <c r="F767" s="20">
        <v>2278.9499999999998</v>
      </c>
      <c r="G767" s="11">
        <f>VLOOKUP(A767,'Operational Data'!$A$2:$E$201,3,FALSE)</f>
        <v>27681</v>
      </c>
      <c r="H767" s="11">
        <f>VLOOKUP(A767,'Operational Data'!$A$2:$E$201,4,FALSE)</f>
        <v>928.26</v>
      </c>
      <c r="I767" s="11">
        <f>VLOOKUP(A767,'Operational Data'!$A$2:$E$201,5,FALSE)</f>
        <v>44.97</v>
      </c>
      <c r="J767" s="21">
        <f t="shared" si="11"/>
        <v>8.2329034355695233E-2</v>
      </c>
    </row>
    <row r="768" spans="1:10" x14ac:dyDescent="0.25">
      <c r="A768" s="20" t="s">
        <v>85</v>
      </c>
      <c r="B768" s="20" t="s">
        <v>30</v>
      </c>
      <c r="C768" s="20" t="s">
        <v>8</v>
      </c>
      <c r="D768" s="20" t="s">
        <v>28</v>
      </c>
      <c r="E768" s="20" t="s">
        <v>10</v>
      </c>
      <c r="F768" s="20">
        <v>2550.35</v>
      </c>
      <c r="G768" s="11">
        <f>VLOOKUP(A768,'Operational Data'!$A$2:$E$201,3,FALSE)</f>
        <v>45519</v>
      </c>
      <c r="H768" s="11">
        <f>VLOOKUP(A768,'Operational Data'!$A$2:$E$201,4,FALSE)</f>
        <v>7987.69</v>
      </c>
      <c r="I768" s="11">
        <f>VLOOKUP(A768,'Operational Data'!$A$2:$E$201,5,FALSE)</f>
        <v>10.86</v>
      </c>
      <c r="J768" s="21">
        <f t="shared" si="11"/>
        <v>5.6028251938750849E-2</v>
      </c>
    </row>
    <row r="769" spans="1:10" x14ac:dyDescent="0.25">
      <c r="A769" s="20" t="s">
        <v>107</v>
      </c>
      <c r="B769" s="20" t="s">
        <v>30</v>
      </c>
      <c r="C769" s="20" t="s">
        <v>23</v>
      </c>
      <c r="D769" s="20" t="s">
        <v>14</v>
      </c>
      <c r="E769" s="20" t="s">
        <v>15</v>
      </c>
      <c r="F769" s="20">
        <v>2694.43</v>
      </c>
      <c r="G769" s="11">
        <f>VLOOKUP(A769,'Operational Data'!$A$2:$E$201,3,FALSE)</f>
        <v>69305</v>
      </c>
      <c r="H769" s="11">
        <f>VLOOKUP(A769,'Operational Data'!$A$2:$E$201,4,FALSE)</f>
        <v>3203.67</v>
      </c>
      <c r="I769" s="11">
        <f>VLOOKUP(A769,'Operational Data'!$A$2:$E$201,5,FALSE)</f>
        <v>83.65</v>
      </c>
      <c r="J769" s="21">
        <f t="shared" si="11"/>
        <v>3.8877858740350622E-2</v>
      </c>
    </row>
    <row r="770" spans="1:10" x14ac:dyDescent="0.25">
      <c r="A770" s="20" t="s">
        <v>114</v>
      </c>
      <c r="B770" s="20" t="s">
        <v>30</v>
      </c>
      <c r="C770" s="20" t="s">
        <v>13</v>
      </c>
      <c r="D770" s="20" t="s">
        <v>28</v>
      </c>
      <c r="E770" s="20" t="s">
        <v>10</v>
      </c>
      <c r="F770" s="20">
        <v>3868.63</v>
      </c>
      <c r="G770" s="11">
        <f>VLOOKUP(A770,'Operational Data'!$A$2:$E$201,3,FALSE)</f>
        <v>29264</v>
      </c>
      <c r="H770" s="11">
        <f>VLOOKUP(A770,'Operational Data'!$A$2:$E$201,4,FALSE)</f>
        <v>8362.7199999999993</v>
      </c>
      <c r="I770" s="11">
        <f>VLOOKUP(A770,'Operational Data'!$A$2:$E$201,5,FALSE)</f>
        <v>61.93</v>
      </c>
      <c r="J770" s="21">
        <f t="shared" si="11"/>
        <v>0.13219758064516129</v>
      </c>
    </row>
    <row r="771" spans="1:10" x14ac:dyDescent="0.25">
      <c r="A771" s="20" t="s">
        <v>70</v>
      </c>
      <c r="B771" s="20" t="s">
        <v>19</v>
      </c>
      <c r="C771" s="20" t="s">
        <v>8</v>
      </c>
      <c r="D771" s="20" t="s">
        <v>9</v>
      </c>
      <c r="E771" s="20" t="s">
        <v>10</v>
      </c>
      <c r="F771" s="20">
        <v>297.68827140000002</v>
      </c>
      <c r="G771" s="11">
        <f>VLOOKUP(A771,'Operational Data'!$A$2:$E$201,3,FALSE)</f>
        <v>42485</v>
      </c>
      <c r="H771" s="11">
        <f>VLOOKUP(A771,'Operational Data'!$A$2:$E$201,4,FALSE)</f>
        <v>4755.75</v>
      </c>
      <c r="I771" s="11">
        <f>VLOOKUP(A771,'Operational Data'!$A$2:$E$201,5,FALSE)</f>
        <v>10.19</v>
      </c>
      <c r="J771" s="21">
        <f t="shared" ref="J771:J834" si="12">F771/G771</f>
        <v>7.0069029398611279E-3</v>
      </c>
    </row>
    <row r="772" spans="1:10" x14ac:dyDescent="0.25">
      <c r="A772" s="20" t="s">
        <v>119</v>
      </c>
      <c r="B772" s="20" t="s">
        <v>30</v>
      </c>
      <c r="C772" s="20" t="s">
        <v>8</v>
      </c>
      <c r="D772" s="20" t="s">
        <v>28</v>
      </c>
      <c r="E772" s="20" t="s">
        <v>24</v>
      </c>
      <c r="F772" s="20">
        <v>579.69000000000005</v>
      </c>
      <c r="G772" s="11">
        <f>VLOOKUP(A772,'Operational Data'!$A$2:$E$201,3,FALSE)</f>
        <v>80488</v>
      </c>
      <c r="H772" s="11">
        <f>VLOOKUP(A772,'Operational Data'!$A$2:$E$201,4,FALSE)</f>
        <v>7629.95</v>
      </c>
      <c r="I772" s="11">
        <f>VLOOKUP(A772,'Operational Data'!$A$2:$E$201,5,FALSE)</f>
        <v>63.83</v>
      </c>
      <c r="J772" s="21">
        <f t="shared" si="12"/>
        <v>7.2021916310505921E-3</v>
      </c>
    </row>
    <row r="773" spans="1:10" x14ac:dyDescent="0.25">
      <c r="A773" s="20" t="s">
        <v>197</v>
      </c>
      <c r="B773" s="20" t="s">
        <v>30</v>
      </c>
      <c r="C773" s="20" t="s">
        <v>8</v>
      </c>
      <c r="D773" s="20" t="s">
        <v>28</v>
      </c>
      <c r="E773" s="20" t="s">
        <v>10</v>
      </c>
      <c r="F773" s="20">
        <v>1933.86</v>
      </c>
      <c r="G773" s="11">
        <f>VLOOKUP(A773,'Operational Data'!$A$2:$E$201,3,FALSE)</f>
        <v>56752</v>
      </c>
      <c r="H773" s="11">
        <f>VLOOKUP(A773,'Operational Data'!$A$2:$E$201,4,FALSE)</f>
        <v>4177.68</v>
      </c>
      <c r="I773" s="11">
        <f>VLOOKUP(A773,'Operational Data'!$A$2:$E$201,5,FALSE)</f>
        <v>10.96</v>
      </c>
      <c r="J773" s="21">
        <f t="shared" si="12"/>
        <v>3.4075627290668167E-2</v>
      </c>
    </row>
    <row r="774" spans="1:10" x14ac:dyDescent="0.25">
      <c r="A774" s="20" t="s">
        <v>191</v>
      </c>
      <c r="B774" s="20" t="s">
        <v>12</v>
      </c>
      <c r="C774" s="20" t="s">
        <v>13</v>
      </c>
      <c r="D774" s="20" t="s">
        <v>28</v>
      </c>
      <c r="E774" s="20" t="s">
        <v>15</v>
      </c>
      <c r="F774" s="20">
        <v>2753.65</v>
      </c>
      <c r="G774" s="11">
        <f>VLOOKUP(A774,'Operational Data'!$A$2:$E$201,3,FALSE)</f>
        <v>43346</v>
      </c>
      <c r="H774" s="11">
        <f>VLOOKUP(A774,'Operational Data'!$A$2:$E$201,4,FALSE)</f>
        <v>5559.12</v>
      </c>
      <c r="I774" s="11">
        <f>VLOOKUP(A774,'Operational Data'!$A$2:$E$201,5,FALSE)</f>
        <v>39.4</v>
      </c>
      <c r="J774" s="21">
        <f t="shared" si="12"/>
        <v>6.3527199741613985E-2</v>
      </c>
    </row>
    <row r="775" spans="1:10" x14ac:dyDescent="0.25">
      <c r="A775" s="20" t="s">
        <v>122</v>
      </c>
      <c r="B775" s="20" t="s">
        <v>19</v>
      </c>
      <c r="C775" s="20" t="s">
        <v>13</v>
      </c>
      <c r="D775" s="20" t="s">
        <v>14</v>
      </c>
      <c r="E775" s="20" t="s">
        <v>15</v>
      </c>
      <c r="F775" s="20">
        <v>1643.04</v>
      </c>
      <c r="G775" s="11">
        <f>VLOOKUP(A775,'Operational Data'!$A$2:$E$201,3,FALSE)</f>
        <v>95962</v>
      </c>
      <c r="H775" s="11">
        <f>VLOOKUP(A775,'Operational Data'!$A$2:$E$201,4,FALSE)</f>
        <v>524.72</v>
      </c>
      <c r="I775" s="11">
        <f>VLOOKUP(A775,'Operational Data'!$A$2:$E$201,5,FALSE)</f>
        <v>49.55</v>
      </c>
      <c r="J775" s="21">
        <f t="shared" si="12"/>
        <v>1.7121777370209042E-2</v>
      </c>
    </row>
    <row r="776" spans="1:10" x14ac:dyDescent="0.25">
      <c r="A776" s="20" t="s">
        <v>109</v>
      </c>
      <c r="B776" s="20" t="s">
        <v>12</v>
      </c>
      <c r="C776" s="20" t="s">
        <v>13</v>
      </c>
      <c r="D776" s="20" t="s">
        <v>14</v>
      </c>
      <c r="E776" s="20" t="s">
        <v>15</v>
      </c>
      <c r="F776" s="20">
        <v>4614.76</v>
      </c>
      <c r="G776" s="11">
        <f>VLOOKUP(A776,'Operational Data'!$A$2:$E$201,3,FALSE)</f>
        <v>84721</v>
      </c>
      <c r="H776" s="11">
        <f>VLOOKUP(A776,'Operational Data'!$A$2:$E$201,4,FALSE)</f>
        <v>2278.9699999999998</v>
      </c>
      <c r="I776" s="11">
        <f>VLOOKUP(A776,'Operational Data'!$A$2:$E$201,5,FALSE)</f>
        <v>68.53</v>
      </c>
      <c r="J776" s="21">
        <f t="shared" si="12"/>
        <v>5.4470084158591142E-2</v>
      </c>
    </row>
    <row r="777" spans="1:10" x14ac:dyDescent="0.25">
      <c r="A777" s="20" t="s">
        <v>184</v>
      </c>
      <c r="B777" s="20" t="s">
        <v>30</v>
      </c>
      <c r="C777" s="20" t="s">
        <v>23</v>
      </c>
      <c r="D777" s="20" t="s">
        <v>28</v>
      </c>
      <c r="E777" s="20" t="s">
        <v>10</v>
      </c>
      <c r="F777" s="20">
        <v>1222.43</v>
      </c>
      <c r="G777" s="11">
        <f>VLOOKUP(A777,'Operational Data'!$A$2:$E$201,3,FALSE)</f>
        <v>13543</v>
      </c>
      <c r="H777" s="11">
        <f>VLOOKUP(A777,'Operational Data'!$A$2:$E$201,4,FALSE)</f>
        <v>7854.96</v>
      </c>
      <c r="I777" s="11">
        <f>VLOOKUP(A777,'Operational Data'!$A$2:$E$201,5,FALSE)</f>
        <v>85.57</v>
      </c>
      <c r="J777" s="21">
        <f t="shared" si="12"/>
        <v>9.0262866425459651E-2</v>
      </c>
    </row>
    <row r="778" spans="1:10" x14ac:dyDescent="0.25">
      <c r="A778" s="20" t="s">
        <v>213</v>
      </c>
      <c r="B778" s="20" t="s">
        <v>12</v>
      </c>
      <c r="C778" s="20" t="s">
        <v>8</v>
      </c>
      <c r="D778" s="20" t="s">
        <v>9</v>
      </c>
      <c r="E778" s="20" t="s">
        <v>24</v>
      </c>
      <c r="F778" s="20">
        <v>2583.2195620000002</v>
      </c>
      <c r="G778" s="11">
        <f>VLOOKUP(A778,'Operational Data'!$A$2:$E$201,3,FALSE)</f>
        <v>58622</v>
      </c>
      <c r="H778" s="11">
        <f>VLOOKUP(A778,'Operational Data'!$A$2:$E$201,4,FALSE)</f>
        <v>7795.36</v>
      </c>
      <c r="I778" s="11">
        <f>VLOOKUP(A778,'Operational Data'!$A$2:$E$201,5,FALSE)</f>
        <v>59.81</v>
      </c>
      <c r="J778" s="21">
        <f t="shared" si="12"/>
        <v>4.4065701647845526E-2</v>
      </c>
    </row>
    <row r="779" spans="1:10" x14ac:dyDescent="0.25">
      <c r="A779" s="20" t="s">
        <v>54</v>
      </c>
      <c r="B779" s="20" t="s">
        <v>12</v>
      </c>
      <c r="C779" s="20" t="s">
        <v>8</v>
      </c>
      <c r="D779" s="20" t="s">
        <v>28</v>
      </c>
      <c r="E779" s="20" t="s">
        <v>15</v>
      </c>
      <c r="F779" s="20">
        <v>1562.45</v>
      </c>
      <c r="G779" s="11">
        <f>VLOOKUP(A779,'Operational Data'!$A$2:$E$201,3,FALSE)</f>
        <v>58111</v>
      </c>
      <c r="H779" s="11">
        <f>VLOOKUP(A779,'Operational Data'!$A$2:$E$201,4,FALSE)</f>
        <v>4610.8999999999996</v>
      </c>
      <c r="I779" s="11">
        <f>VLOOKUP(A779,'Operational Data'!$A$2:$E$201,5,FALSE)</f>
        <v>21.53</v>
      </c>
      <c r="J779" s="21">
        <f t="shared" si="12"/>
        <v>2.6887336304658328E-2</v>
      </c>
    </row>
    <row r="780" spans="1:10" x14ac:dyDescent="0.25">
      <c r="A780" s="20" t="s">
        <v>18</v>
      </c>
      <c r="B780" s="20" t="s">
        <v>19</v>
      </c>
      <c r="C780" s="20" t="s">
        <v>34</v>
      </c>
      <c r="D780" s="20" t="s">
        <v>9</v>
      </c>
      <c r="E780" s="20" t="s">
        <v>24</v>
      </c>
      <c r="F780" s="20">
        <v>3844.335282</v>
      </c>
      <c r="G780" s="11">
        <f>VLOOKUP(A780,'Operational Data'!$A$2:$E$201,3,FALSE)</f>
        <v>98682</v>
      </c>
      <c r="H780" s="11">
        <f>VLOOKUP(A780,'Operational Data'!$A$2:$E$201,4,FALSE)</f>
        <v>6220.56</v>
      </c>
      <c r="I780" s="11">
        <f>VLOOKUP(A780,'Operational Data'!$A$2:$E$201,5,FALSE)</f>
        <v>70.099999999999994</v>
      </c>
      <c r="J780" s="21">
        <f t="shared" si="12"/>
        <v>3.8956803489998179E-2</v>
      </c>
    </row>
    <row r="781" spans="1:10" x14ac:dyDescent="0.25">
      <c r="A781" s="20" t="s">
        <v>98</v>
      </c>
      <c r="B781" s="20" t="s">
        <v>19</v>
      </c>
      <c r="C781" s="20" t="s">
        <v>23</v>
      </c>
      <c r="D781" s="20" t="s">
        <v>9</v>
      </c>
      <c r="E781" s="20" t="s">
        <v>10</v>
      </c>
      <c r="F781" s="20">
        <v>695.19</v>
      </c>
      <c r="G781" s="11">
        <f>VLOOKUP(A781,'Operational Data'!$A$2:$E$201,3,FALSE)</f>
        <v>26170</v>
      </c>
      <c r="H781" s="11">
        <f>VLOOKUP(A781,'Operational Data'!$A$2:$E$201,4,FALSE)</f>
        <v>8057.54</v>
      </c>
      <c r="I781" s="11">
        <f>VLOOKUP(A781,'Operational Data'!$A$2:$E$201,5,FALSE)</f>
        <v>63.71</v>
      </c>
      <c r="J781" s="21">
        <f t="shared" si="12"/>
        <v>2.6564386702330915E-2</v>
      </c>
    </row>
    <row r="782" spans="1:10" x14ac:dyDescent="0.25">
      <c r="A782" s="20" t="s">
        <v>214</v>
      </c>
      <c r="B782" s="20" t="s">
        <v>30</v>
      </c>
      <c r="C782" s="20" t="s">
        <v>34</v>
      </c>
      <c r="D782" s="20" t="s">
        <v>28</v>
      </c>
      <c r="E782" s="20" t="s">
        <v>15</v>
      </c>
      <c r="F782" s="20">
        <v>4607.08</v>
      </c>
      <c r="G782" s="11">
        <f>VLOOKUP(A782,'Operational Data'!$A$2:$E$201,3,FALSE)</f>
        <v>79330</v>
      </c>
      <c r="H782" s="11">
        <f>VLOOKUP(A782,'Operational Data'!$A$2:$E$201,4,FALSE)</f>
        <v>6075.23</v>
      </c>
      <c r="I782" s="11">
        <f>VLOOKUP(A782,'Operational Data'!$A$2:$E$201,5,FALSE)</f>
        <v>83.97</v>
      </c>
      <c r="J782" s="21">
        <f t="shared" si="12"/>
        <v>5.807487709567629E-2</v>
      </c>
    </row>
    <row r="783" spans="1:10" ht="30" x14ac:dyDescent="0.25">
      <c r="A783" s="20" t="s">
        <v>76</v>
      </c>
      <c r="B783" s="20" t="s">
        <v>17</v>
      </c>
      <c r="C783" s="20" t="s">
        <v>13</v>
      </c>
      <c r="D783" s="20" t="s">
        <v>9</v>
      </c>
      <c r="E783" s="20" t="s">
        <v>10</v>
      </c>
      <c r="F783" s="20">
        <v>2391.3231030000002</v>
      </c>
      <c r="G783" s="11">
        <f>VLOOKUP(A783,'Operational Data'!$A$2:$E$201,3,FALSE)</f>
        <v>59617</v>
      </c>
      <c r="H783" s="11">
        <f>VLOOKUP(A783,'Operational Data'!$A$2:$E$201,4,FALSE)</f>
        <v>5000.95</v>
      </c>
      <c r="I783" s="11">
        <f>VLOOKUP(A783,'Operational Data'!$A$2:$E$201,5,FALSE)</f>
        <v>80.36</v>
      </c>
      <c r="J783" s="21">
        <f t="shared" si="12"/>
        <v>4.0111429676099104E-2</v>
      </c>
    </row>
    <row r="784" spans="1:10" x14ac:dyDescent="0.25">
      <c r="A784" s="20" t="s">
        <v>186</v>
      </c>
      <c r="B784" s="20" t="s">
        <v>30</v>
      </c>
      <c r="C784" s="20" t="s">
        <v>13</v>
      </c>
      <c r="D784" s="20" t="s">
        <v>14</v>
      </c>
      <c r="E784" s="20" t="s">
        <v>15</v>
      </c>
      <c r="F784" s="20">
        <v>4313.43</v>
      </c>
      <c r="G784" s="11">
        <f>VLOOKUP(A784,'Operational Data'!$A$2:$E$201,3,FALSE)</f>
        <v>85868</v>
      </c>
      <c r="H784" s="11">
        <f>VLOOKUP(A784,'Operational Data'!$A$2:$E$201,4,FALSE)</f>
        <v>907.72</v>
      </c>
      <c r="I784" s="11">
        <f>VLOOKUP(A784,'Operational Data'!$A$2:$E$201,5,FALSE)</f>
        <v>90.36</v>
      </c>
      <c r="J784" s="21">
        <f t="shared" si="12"/>
        <v>5.023326501141287E-2</v>
      </c>
    </row>
    <row r="785" spans="1:10" x14ac:dyDescent="0.25">
      <c r="A785" s="20" t="s">
        <v>107</v>
      </c>
      <c r="B785" s="20" t="s">
        <v>30</v>
      </c>
      <c r="C785" s="20" t="s">
        <v>13</v>
      </c>
      <c r="D785" s="20" t="s">
        <v>14</v>
      </c>
      <c r="E785" s="20" t="s">
        <v>10</v>
      </c>
      <c r="F785" s="20">
        <v>1094.0999999999999</v>
      </c>
      <c r="G785" s="11">
        <f>VLOOKUP(A785,'Operational Data'!$A$2:$E$201,3,FALSE)</f>
        <v>69305</v>
      </c>
      <c r="H785" s="11">
        <f>VLOOKUP(A785,'Operational Data'!$A$2:$E$201,4,FALSE)</f>
        <v>3203.67</v>
      </c>
      <c r="I785" s="11">
        <f>VLOOKUP(A785,'Operational Data'!$A$2:$E$201,5,FALSE)</f>
        <v>83.65</v>
      </c>
      <c r="J785" s="21">
        <f t="shared" si="12"/>
        <v>1.5786739773465116E-2</v>
      </c>
    </row>
    <row r="786" spans="1:10" x14ac:dyDescent="0.25">
      <c r="A786" s="20" t="s">
        <v>202</v>
      </c>
      <c r="B786" s="20" t="s">
        <v>12</v>
      </c>
      <c r="C786" s="20" t="s">
        <v>13</v>
      </c>
      <c r="D786" s="20" t="s">
        <v>9</v>
      </c>
      <c r="E786" s="20" t="s">
        <v>10</v>
      </c>
      <c r="F786" s="20">
        <v>5193.7170610000003</v>
      </c>
      <c r="G786" s="11">
        <f>VLOOKUP(A786,'Operational Data'!$A$2:$E$201,3,FALSE)</f>
        <v>28400</v>
      </c>
      <c r="H786" s="11">
        <f>VLOOKUP(A786,'Operational Data'!$A$2:$E$201,4,FALSE)</f>
        <v>3056.67</v>
      </c>
      <c r="I786" s="11">
        <f>VLOOKUP(A786,'Operational Data'!$A$2:$E$201,5,FALSE)</f>
        <v>52.68</v>
      </c>
      <c r="J786" s="21">
        <f t="shared" si="12"/>
        <v>0.1828773613028169</v>
      </c>
    </row>
    <row r="787" spans="1:10" x14ac:dyDescent="0.25">
      <c r="A787" s="20" t="s">
        <v>184</v>
      </c>
      <c r="B787" s="20" t="s">
        <v>30</v>
      </c>
      <c r="C787" s="20" t="s">
        <v>13</v>
      </c>
      <c r="D787" s="20" t="s">
        <v>28</v>
      </c>
      <c r="E787" s="20" t="s">
        <v>24</v>
      </c>
      <c r="F787" s="20">
        <v>3352.59</v>
      </c>
      <c r="G787" s="11">
        <f>VLOOKUP(A787,'Operational Data'!$A$2:$E$201,3,FALSE)</f>
        <v>13543</v>
      </c>
      <c r="H787" s="11">
        <f>VLOOKUP(A787,'Operational Data'!$A$2:$E$201,4,FALSE)</f>
        <v>7854.96</v>
      </c>
      <c r="I787" s="11">
        <f>VLOOKUP(A787,'Operational Data'!$A$2:$E$201,5,FALSE)</f>
        <v>85.57</v>
      </c>
      <c r="J787" s="21">
        <f t="shared" si="12"/>
        <v>0.24755150262128037</v>
      </c>
    </row>
    <row r="788" spans="1:10" x14ac:dyDescent="0.25">
      <c r="A788" s="20" t="s">
        <v>123</v>
      </c>
      <c r="B788" s="20" t="s">
        <v>30</v>
      </c>
      <c r="C788" s="20" t="s">
        <v>23</v>
      </c>
      <c r="D788" s="20" t="s">
        <v>9</v>
      </c>
      <c r="E788" s="20" t="s">
        <v>10</v>
      </c>
      <c r="F788" s="20">
        <v>3888.52</v>
      </c>
      <c r="G788" s="11">
        <f>VLOOKUP(A788,'Operational Data'!$A$2:$E$201,3,FALSE)</f>
        <v>73977</v>
      </c>
      <c r="H788" s="11">
        <f>VLOOKUP(A788,'Operational Data'!$A$2:$E$201,4,FALSE)</f>
        <v>1646.75</v>
      </c>
      <c r="I788" s="11">
        <f>VLOOKUP(A788,'Operational Data'!$A$2:$E$201,5,FALSE)</f>
        <v>43.77</v>
      </c>
      <c r="J788" s="21">
        <f t="shared" si="12"/>
        <v>5.2563904997499224E-2</v>
      </c>
    </row>
    <row r="789" spans="1:10" x14ac:dyDescent="0.25">
      <c r="A789" s="20" t="s">
        <v>108</v>
      </c>
      <c r="B789" s="20" t="s">
        <v>7</v>
      </c>
      <c r="C789" s="20" t="s">
        <v>23</v>
      </c>
      <c r="D789" s="20" t="s">
        <v>28</v>
      </c>
      <c r="E789" s="20" t="s">
        <v>15</v>
      </c>
      <c r="F789" s="20">
        <v>3140.95</v>
      </c>
      <c r="G789" s="11">
        <f>VLOOKUP(A789,'Operational Data'!$A$2:$E$201,3,FALSE)</f>
        <v>22201</v>
      </c>
      <c r="H789" s="11">
        <f>VLOOKUP(A789,'Operational Data'!$A$2:$E$201,4,FALSE)</f>
        <v>2853.66</v>
      </c>
      <c r="I789" s="11">
        <f>VLOOKUP(A789,'Operational Data'!$A$2:$E$201,5,FALSE)</f>
        <v>71.94</v>
      </c>
      <c r="J789" s="21">
        <f t="shared" si="12"/>
        <v>0.14147786135759649</v>
      </c>
    </row>
    <row r="790" spans="1:10" x14ac:dyDescent="0.25">
      <c r="A790" s="20" t="s">
        <v>57</v>
      </c>
      <c r="B790" s="20" t="s">
        <v>19</v>
      </c>
      <c r="C790" s="20" t="s">
        <v>13</v>
      </c>
      <c r="D790" s="20" t="s">
        <v>9</v>
      </c>
      <c r="E790" s="20" t="s">
        <v>24</v>
      </c>
      <c r="F790" s="20">
        <v>1260.773817</v>
      </c>
      <c r="G790" s="11">
        <f>VLOOKUP(A790,'Operational Data'!$A$2:$E$201,3,FALSE)</f>
        <v>41027</v>
      </c>
      <c r="H790" s="11">
        <f>VLOOKUP(A790,'Operational Data'!$A$2:$E$201,4,FALSE)</f>
        <v>7285.85</v>
      </c>
      <c r="I790" s="11">
        <f>VLOOKUP(A790,'Operational Data'!$A$2:$E$201,5,FALSE)</f>
        <v>59.87</v>
      </c>
      <c r="J790" s="21">
        <f t="shared" si="12"/>
        <v>3.0730343846735078E-2</v>
      </c>
    </row>
    <row r="791" spans="1:10" ht="30" x14ac:dyDescent="0.25">
      <c r="A791" s="20" t="s">
        <v>156</v>
      </c>
      <c r="B791" s="20" t="s">
        <v>17</v>
      </c>
      <c r="C791" s="20" t="s">
        <v>23</v>
      </c>
      <c r="D791" s="20" t="s">
        <v>14</v>
      </c>
      <c r="E791" s="20" t="s">
        <v>24</v>
      </c>
      <c r="F791" s="20">
        <v>416.29</v>
      </c>
      <c r="G791" s="11">
        <f>VLOOKUP(A791,'Operational Data'!$A$2:$E$201,3,FALSE)</f>
        <v>81057</v>
      </c>
      <c r="H791" s="11">
        <f>VLOOKUP(A791,'Operational Data'!$A$2:$E$201,4,FALSE)</f>
        <v>675.41</v>
      </c>
      <c r="I791" s="11">
        <f>VLOOKUP(A791,'Operational Data'!$A$2:$E$201,5,FALSE)</f>
        <v>55.44</v>
      </c>
      <c r="J791" s="21">
        <f t="shared" si="12"/>
        <v>5.135768656624351E-3</v>
      </c>
    </row>
    <row r="792" spans="1:10" ht="30" x14ac:dyDescent="0.25">
      <c r="A792" s="20" t="s">
        <v>143</v>
      </c>
      <c r="B792" s="20" t="s">
        <v>17</v>
      </c>
      <c r="C792" s="20" t="s">
        <v>8</v>
      </c>
      <c r="D792" s="20" t="s">
        <v>14</v>
      </c>
      <c r="E792" s="20" t="s">
        <v>15</v>
      </c>
      <c r="F792" s="20">
        <v>96.09</v>
      </c>
      <c r="G792" s="11">
        <f>VLOOKUP(A792,'Operational Data'!$A$2:$E$201,3,FALSE)</f>
        <v>94704</v>
      </c>
      <c r="H792" s="11">
        <f>VLOOKUP(A792,'Operational Data'!$A$2:$E$201,4,FALSE)</f>
        <v>6632.95</v>
      </c>
      <c r="I792" s="11">
        <f>VLOOKUP(A792,'Operational Data'!$A$2:$E$201,5,FALSE)</f>
        <v>14.76</v>
      </c>
      <c r="J792" s="21">
        <f t="shared" si="12"/>
        <v>1.0146350734921441E-3</v>
      </c>
    </row>
    <row r="793" spans="1:10" x14ac:dyDescent="0.25">
      <c r="A793" s="20" t="s">
        <v>130</v>
      </c>
      <c r="B793" s="20" t="s">
        <v>12</v>
      </c>
      <c r="C793" s="20" t="s">
        <v>23</v>
      </c>
      <c r="D793" s="20" t="s">
        <v>28</v>
      </c>
      <c r="E793" s="20" t="s">
        <v>15</v>
      </c>
      <c r="F793" s="20">
        <v>1224.1099999999999</v>
      </c>
      <c r="G793" s="11">
        <f>VLOOKUP(A793,'Operational Data'!$A$2:$E$201,3,FALSE)</f>
        <v>82332</v>
      </c>
      <c r="H793" s="11">
        <f>VLOOKUP(A793,'Operational Data'!$A$2:$E$201,4,FALSE)</f>
        <v>7134.86</v>
      </c>
      <c r="I793" s="11">
        <f>VLOOKUP(A793,'Operational Data'!$A$2:$E$201,5,FALSE)</f>
        <v>22.44</v>
      </c>
      <c r="J793" s="21">
        <f t="shared" si="12"/>
        <v>1.4867973570422192E-2</v>
      </c>
    </row>
    <row r="794" spans="1:10" ht="30" x14ac:dyDescent="0.25">
      <c r="A794" s="20" t="s">
        <v>37</v>
      </c>
      <c r="B794" s="20" t="s">
        <v>17</v>
      </c>
      <c r="C794" s="20" t="s">
        <v>34</v>
      </c>
      <c r="D794" s="20" t="s">
        <v>14</v>
      </c>
      <c r="E794" s="20" t="s">
        <v>15</v>
      </c>
      <c r="F794" s="20">
        <v>3899.81</v>
      </c>
      <c r="G794" s="11">
        <f>VLOOKUP(A794,'Operational Data'!$A$2:$E$201,3,FALSE)</f>
        <v>71747</v>
      </c>
      <c r="H794" s="11">
        <f>VLOOKUP(A794,'Operational Data'!$A$2:$E$201,4,FALSE)</f>
        <v>9838.66</v>
      </c>
      <c r="I794" s="11">
        <f>VLOOKUP(A794,'Operational Data'!$A$2:$E$201,5,FALSE)</f>
        <v>7.25</v>
      </c>
      <c r="J794" s="21">
        <f t="shared" si="12"/>
        <v>5.4355025297224968E-2</v>
      </c>
    </row>
    <row r="795" spans="1:10" x14ac:dyDescent="0.25">
      <c r="A795" s="20" t="s">
        <v>117</v>
      </c>
      <c r="B795" s="20" t="s">
        <v>7</v>
      </c>
      <c r="C795" s="20" t="s">
        <v>13</v>
      </c>
      <c r="D795" s="20" t="s">
        <v>28</v>
      </c>
      <c r="E795" s="20" t="s">
        <v>15</v>
      </c>
      <c r="F795" s="20">
        <v>1065.82</v>
      </c>
      <c r="G795" s="11">
        <f>VLOOKUP(A795,'Operational Data'!$A$2:$E$201,3,FALSE)</f>
        <v>89321</v>
      </c>
      <c r="H795" s="11">
        <f>VLOOKUP(A795,'Operational Data'!$A$2:$E$201,4,FALSE)</f>
        <v>9836.34</v>
      </c>
      <c r="I795" s="11">
        <f>VLOOKUP(A795,'Operational Data'!$A$2:$E$201,5,FALSE)</f>
        <v>16.989999999999998</v>
      </c>
      <c r="J795" s="21">
        <f t="shared" si="12"/>
        <v>1.1932468288532372E-2</v>
      </c>
    </row>
    <row r="796" spans="1:10" x14ac:dyDescent="0.25">
      <c r="A796" s="20" t="s">
        <v>177</v>
      </c>
      <c r="B796" s="20" t="s">
        <v>7</v>
      </c>
      <c r="C796" s="20" t="s">
        <v>34</v>
      </c>
      <c r="D796" s="20" t="s">
        <v>28</v>
      </c>
      <c r="E796" s="20" t="s">
        <v>15</v>
      </c>
      <c r="F796" s="20">
        <v>4448.1899999999996</v>
      </c>
      <c r="G796" s="11">
        <f>VLOOKUP(A796,'Operational Data'!$A$2:$E$201,3,FALSE)</f>
        <v>17097</v>
      </c>
      <c r="H796" s="11">
        <f>VLOOKUP(A796,'Operational Data'!$A$2:$E$201,4,FALSE)</f>
        <v>9061.7800000000007</v>
      </c>
      <c r="I796" s="11">
        <f>VLOOKUP(A796,'Operational Data'!$A$2:$E$201,5,FALSE)</f>
        <v>95.92</v>
      </c>
      <c r="J796" s="21">
        <f t="shared" si="12"/>
        <v>0.26017371468678713</v>
      </c>
    </row>
    <row r="797" spans="1:10" ht="30" x14ac:dyDescent="0.25">
      <c r="A797" s="20" t="s">
        <v>43</v>
      </c>
      <c r="B797" s="20" t="s">
        <v>17</v>
      </c>
      <c r="C797" s="20" t="s">
        <v>23</v>
      </c>
      <c r="D797" s="20" t="s">
        <v>9</v>
      </c>
      <c r="E797" s="20" t="s">
        <v>24</v>
      </c>
      <c r="F797" s="20">
        <v>2211.0873019999999</v>
      </c>
      <c r="G797" s="11">
        <f>VLOOKUP(A797,'Operational Data'!$A$2:$E$201,3,FALSE)</f>
        <v>41168</v>
      </c>
      <c r="H797" s="11">
        <f>VLOOKUP(A797,'Operational Data'!$A$2:$E$201,4,FALSE)</f>
        <v>8226.77</v>
      </c>
      <c r="I797" s="11">
        <f>VLOOKUP(A797,'Operational Data'!$A$2:$E$201,5,FALSE)</f>
        <v>42.55</v>
      </c>
      <c r="J797" s="21">
        <f t="shared" si="12"/>
        <v>5.3708883161678975E-2</v>
      </c>
    </row>
    <row r="798" spans="1:10" ht="30" x14ac:dyDescent="0.25">
      <c r="A798" s="20" t="s">
        <v>140</v>
      </c>
      <c r="B798" s="20" t="s">
        <v>17</v>
      </c>
      <c r="C798" s="20" t="s">
        <v>23</v>
      </c>
      <c r="D798" s="20" t="s">
        <v>9</v>
      </c>
      <c r="E798" s="20" t="s">
        <v>24</v>
      </c>
      <c r="F798" s="20">
        <v>3199.4069009999998</v>
      </c>
      <c r="G798" s="11">
        <f>VLOOKUP(A798,'Operational Data'!$A$2:$E$201,3,FALSE)</f>
        <v>88308</v>
      </c>
      <c r="H798" s="11">
        <f>VLOOKUP(A798,'Operational Data'!$A$2:$E$201,4,FALSE)</f>
        <v>7802.07</v>
      </c>
      <c r="I798" s="11">
        <f>VLOOKUP(A798,'Operational Data'!$A$2:$E$201,5,FALSE)</f>
        <v>36.130000000000003</v>
      </c>
      <c r="J798" s="21">
        <f t="shared" si="12"/>
        <v>3.6230091282782984E-2</v>
      </c>
    </row>
    <row r="799" spans="1:10" x14ac:dyDescent="0.25">
      <c r="A799" s="20" t="s">
        <v>212</v>
      </c>
      <c r="B799" s="20" t="s">
        <v>7</v>
      </c>
      <c r="C799" s="20" t="s">
        <v>34</v>
      </c>
      <c r="D799" s="20" t="s">
        <v>14</v>
      </c>
      <c r="E799" s="20" t="s">
        <v>24</v>
      </c>
      <c r="F799" s="20">
        <v>2263.6999999999998</v>
      </c>
      <c r="G799" s="11">
        <f>VLOOKUP(A799,'Operational Data'!$A$2:$E$201,3,FALSE)</f>
        <v>67820</v>
      </c>
      <c r="H799" s="11">
        <f>VLOOKUP(A799,'Operational Data'!$A$2:$E$201,4,FALSE)</f>
        <v>8177.95</v>
      </c>
      <c r="I799" s="11">
        <f>VLOOKUP(A799,'Operational Data'!$A$2:$E$201,5,FALSE)</f>
        <v>40.69</v>
      </c>
      <c r="J799" s="21">
        <f t="shared" si="12"/>
        <v>3.3378059569448539E-2</v>
      </c>
    </row>
    <row r="800" spans="1:10" x14ac:dyDescent="0.25">
      <c r="A800" s="20" t="s">
        <v>49</v>
      </c>
      <c r="B800" s="20" t="s">
        <v>19</v>
      </c>
      <c r="C800" s="20" t="s">
        <v>13</v>
      </c>
      <c r="D800" s="20" t="s">
        <v>14</v>
      </c>
      <c r="E800" s="20" t="s">
        <v>15</v>
      </c>
      <c r="F800" s="20">
        <v>4326.03</v>
      </c>
      <c r="G800" s="11">
        <f>VLOOKUP(A800,'Operational Data'!$A$2:$E$201,3,FALSE)</f>
        <v>50306</v>
      </c>
      <c r="H800" s="11">
        <f>VLOOKUP(A800,'Operational Data'!$A$2:$E$201,4,FALSE)</f>
        <v>7031.37</v>
      </c>
      <c r="I800" s="11">
        <f>VLOOKUP(A800,'Operational Data'!$A$2:$E$201,5,FALSE)</f>
        <v>13.27</v>
      </c>
      <c r="J800" s="21">
        <f t="shared" si="12"/>
        <v>8.5994314793463991E-2</v>
      </c>
    </row>
    <row r="801" spans="1:10" x14ac:dyDescent="0.25">
      <c r="A801" s="20" t="s">
        <v>203</v>
      </c>
      <c r="B801" s="20" t="s">
        <v>12</v>
      </c>
      <c r="C801" s="20" t="s">
        <v>34</v>
      </c>
      <c r="D801" s="20" t="s">
        <v>9</v>
      </c>
      <c r="E801" s="20" t="s">
        <v>24</v>
      </c>
      <c r="F801" s="20">
        <v>4352.7373250000001</v>
      </c>
      <c r="G801" s="11">
        <f>VLOOKUP(A801,'Operational Data'!$A$2:$E$201,3,FALSE)</f>
        <v>66398</v>
      </c>
      <c r="H801" s="11">
        <f>VLOOKUP(A801,'Operational Data'!$A$2:$E$201,4,FALSE)</f>
        <v>8713.61</v>
      </c>
      <c r="I801" s="11">
        <f>VLOOKUP(A801,'Operational Data'!$A$2:$E$201,5,FALSE)</f>
        <v>83.44</v>
      </c>
      <c r="J801" s="21">
        <f t="shared" si="12"/>
        <v>6.5555247522515736E-2</v>
      </c>
    </row>
    <row r="802" spans="1:10" x14ac:dyDescent="0.25">
      <c r="A802" s="20" t="s">
        <v>32</v>
      </c>
      <c r="B802" s="20" t="s">
        <v>7</v>
      </c>
      <c r="C802" s="20" t="s">
        <v>13</v>
      </c>
      <c r="D802" s="20" t="s">
        <v>9</v>
      </c>
      <c r="E802" s="20" t="s">
        <v>15</v>
      </c>
      <c r="F802" s="20">
        <v>4294.79</v>
      </c>
      <c r="G802" s="11">
        <f>VLOOKUP(A802,'Operational Data'!$A$2:$E$201,3,FALSE)</f>
        <v>10933</v>
      </c>
      <c r="H802" s="11">
        <f>VLOOKUP(A802,'Operational Data'!$A$2:$E$201,4,FALSE)</f>
        <v>9004.3700000000008</v>
      </c>
      <c r="I802" s="11">
        <f>VLOOKUP(A802,'Operational Data'!$A$2:$E$201,5,FALSE)</f>
        <v>26.84</v>
      </c>
      <c r="J802" s="21">
        <f t="shared" si="12"/>
        <v>0.39282813500411595</v>
      </c>
    </row>
    <row r="803" spans="1:10" x14ac:dyDescent="0.25">
      <c r="A803" s="20" t="s">
        <v>132</v>
      </c>
      <c r="B803" s="20" t="s">
        <v>19</v>
      </c>
      <c r="C803" s="20" t="s">
        <v>23</v>
      </c>
      <c r="D803" s="20" t="s">
        <v>14</v>
      </c>
      <c r="E803" s="20" t="s">
        <v>15</v>
      </c>
      <c r="F803" s="20">
        <v>2678.48</v>
      </c>
      <c r="G803" s="11">
        <f>VLOOKUP(A803,'Operational Data'!$A$2:$E$201,3,FALSE)</f>
        <v>29860</v>
      </c>
      <c r="H803" s="11">
        <f>VLOOKUP(A803,'Operational Data'!$A$2:$E$201,4,FALSE)</f>
        <v>3956.23</v>
      </c>
      <c r="I803" s="11">
        <f>VLOOKUP(A803,'Operational Data'!$A$2:$E$201,5,FALSE)</f>
        <v>57.5</v>
      </c>
      <c r="J803" s="21">
        <f t="shared" si="12"/>
        <v>8.9701272605492294E-2</v>
      </c>
    </row>
    <row r="804" spans="1:10" x14ac:dyDescent="0.25">
      <c r="A804" s="20" t="s">
        <v>73</v>
      </c>
      <c r="B804" s="20" t="s">
        <v>30</v>
      </c>
      <c r="C804" s="20" t="s">
        <v>8</v>
      </c>
      <c r="D804" s="20" t="s">
        <v>14</v>
      </c>
      <c r="E804" s="20" t="s">
        <v>15</v>
      </c>
      <c r="F804" s="20">
        <v>2267.79</v>
      </c>
      <c r="G804" s="11">
        <f>VLOOKUP(A804,'Operational Data'!$A$2:$E$201,3,FALSE)</f>
        <v>55974</v>
      </c>
      <c r="H804" s="11">
        <f>VLOOKUP(A804,'Operational Data'!$A$2:$E$201,4,FALSE)</f>
        <v>7542.28</v>
      </c>
      <c r="I804" s="11">
        <f>VLOOKUP(A804,'Operational Data'!$A$2:$E$201,5,FALSE)</f>
        <v>72.430000000000007</v>
      </c>
      <c r="J804" s="21">
        <f t="shared" si="12"/>
        <v>4.0515060563833208E-2</v>
      </c>
    </row>
    <row r="805" spans="1:10" x14ac:dyDescent="0.25">
      <c r="A805" s="20" t="s">
        <v>93</v>
      </c>
      <c r="B805" s="20" t="s">
        <v>30</v>
      </c>
      <c r="C805" s="20" t="s">
        <v>8</v>
      </c>
      <c r="D805" s="20" t="s">
        <v>14</v>
      </c>
      <c r="E805" s="20" t="s">
        <v>24</v>
      </c>
      <c r="F805" s="20">
        <v>2496.0100000000002</v>
      </c>
      <c r="G805" s="11">
        <f>VLOOKUP(A805,'Operational Data'!$A$2:$E$201,3,FALSE)</f>
        <v>26378</v>
      </c>
      <c r="H805" s="11">
        <f>VLOOKUP(A805,'Operational Data'!$A$2:$E$201,4,FALSE)</f>
        <v>2915.44</v>
      </c>
      <c r="I805" s="11">
        <f>VLOOKUP(A805,'Operational Data'!$A$2:$E$201,5,FALSE)</f>
        <v>29.84</v>
      </c>
      <c r="J805" s="21">
        <f t="shared" si="12"/>
        <v>9.4624687239366151E-2</v>
      </c>
    </row>
    <row r="806" spans="1:10" ht="30" x14ac:dyDescent="0.25">
      <c r="A806" s="20" t="s">
        <v>16</v>
      </c>
      <c r="B806" s="20" t="s">
        <v>17</v>
      </c>
      <c r="C806" s="20" t="s">
        <v>13</v>
      </c>
      <c r="D806" s="20" t="s">
        <v>14</v>
      </c>
      <c r="E806" s="20" t="s">
        <v>15</v>
      </c>
      <c r="F806" s="20">
        <v>4601.71</v>
      </c>
      <c r="G806" s="11">
        <f>VLOOKUP(A806,'Operational Data'!$A$2:$E$201,3,FALSE)</f>
        <v>43512</v>
      </c>
      <c r="H806" s="11">
        <f>VLOOKUP(A806,'Operational Data'!$A$2:$E$201,4,FALSE)</f>
        <v>5352.18</v>
      </c>
      <c r="I806" s="11">
        <f>VLOOKUP(A806,'Operational Data'!$A$2:$E$201,5,FALSE)</f>
        <v>6.17</v>
      </c>
      <c r="J806" s="21">
        <f t="shared" si="12"/>
        <v>0.10575726236440522</v>
      </c>
    </row>
    <row r="807" spans="1:10" x14ac:dyDescent="0.25">
      <c r="A807" s="20" t="s">
        <v>211</v>
      </c>
      <c r="B807" s="20" t="s">
        <v>7</v>
      </c>
      <c r="C807" s="20" t="s">
        <v>34</v>
      </c>
      <c r="D807" s="20" t="s">
        <v>28</v>
      </c>
      <c r="E807" s="20" t="s">
        <v>24</v>
      </c>
      <c r="F807" s="20">
        <v>2739.77</v>
      </c>
      <c r="G807" s="11">
        <f>VLOOKUP(A807,'Operational Data'!$A$2:$E$201,3,FALSE)</f>
        <v>27028</v>
      </c>
      <c r="H807" s="11">
        <f>VLOOKUP(A807,'Operational Data'!$A$2:$E$201,4,FALSE)</f>
        <v>4617.92</v>
      </c>
      <c r="I807" s="11">
        <f>VLOOKUP(A807,'Operational Data'!$A$2:$E$201,5,FALSE)</f>
        <v>57.62</v>
      </c>
      <c r="J807" s="21">
        <f t="shared" si="12"/>
        <v>0.10136784075773272</v>
      </c>
    </row>
    <row r="808" spans="1:10" x14ac:dyDescent="0.25">
      <c r="A808" s="20" t="s">
        <v>99</v>
      </c>
      <c r="B808" s="20" t="s">
        <v>19</v>
      </c>
      <c r="C808" s="20" t="s">
        <v>23</v>
      </c>
      <c r="D808" s="20" t="s">
        <v>9</v>
      </c>
      <c r="E808" s="20" t="s">
        <v>10</v>
      </c>
      <c r="F808" s="20">
        <v>1410.4</v>
      </c>
      <c r="G808" s="11">
        <f>VLOOKUP(A808,'Operational Data'!$A$2:$E$201,3,FALSE)</f>
        <v>77400</v>
      </c>
      <c r="H808" s="11">
        <f>VLOOKUP(A808,'Operational Data'!$A$2:$E$201,4,FALSE)</f>
        <v>7504.8</v>
      </c>
      <c r="I808" s="11">
        <f>VLOOKUP(A808,'Operational Data'!$A$2:$E$201,5,FALSE)</f>
        <v>68.819999999999993</v>
      </c>
      <c r="J808" s="21">
        <f t="shared" si="12"/>
        <v>1.8222222222222223E-2</v>
      </c>
    </row>
    <row r="809" spans="1:10" ht="30" x14ac:dyDescent="0.25">
      <c r="A809" s="20" t="s">
        <v>171</v>
      </c>
      <c r="B809" s="20" t="s">
        <v>17</v>
      </c>
      <c r="C809" s="20" t="s">
        <v>8</v>
      </c>
      <c r="D809" s="20" t="s">
        <v>9</v>
      </c>
      <c r="E809" s="20" t="s">
        <v>24</v>
      </c>
      <c r="F809" s="20">
        <v>2563.0937389999999</v>
      </c>
      <c r="G809" s="11">
        <f>VLOOKUP(A809,'Operational Data'!$A$2:$E$201,3,FALSE)</f>
        <v>24502</v>
      </c>
      <c r="H809" s="11">
        <f>VLOOKUP(A809,'Operational Data'!$A$2:$E$201,4,FALSE)</f>
        <v>7466.86</v>
      </c>
      <c r="I809" s="11">
        <f>VLOOKUP(A809,'Operational Data'!$A$2:$E$201,5,FALSE)</f>
        <v>88.83</v>
      </c>
      <c r="J809" s="21">
        <f t="shared" si="12"/>
        <v>0.10460753158925802</v>
      </c>
    </row>
    <row r="810" spans="1:10" x14ac:dyDescent="0.25">
      <c r="A810" s="20" t="s">
        <v>208</v>
      </c>
      <c r="B810" s="20" t="s">
        <v>19</v>
      </c>
      <c r="C810" s="20" t="s">
        <v>23</v>
      </c>
      <c r="D810" s="20" t="s">
        <v>14</v>
      </c>
      <c r="E810" s="20" t="s">
        <v>24</v>
      </c>
      <c r="F810" s="20">
        <v>886.98</v>
      </c>
      <c r="G810" s="11">
        <f>VLOOKUP(A810,'Operational Data'!$A$2:$E$201,3,FALSE)</f>
        <v>40553</v>
      </c>
      <c r="H810" s="11">
        <f>VLOOKUP(A810,'Operational Data'!$A$2:$E$201,4,FALSE)</f>
        <v>4875.2299999999996</v>
      </c>
      <c r="I810" s="11">
        <f>VLOOKUP(A810,'Operational Data'!$A$2:$E$201,5,FALSE)</f>
        <v>23.33</v>
      </c>
      <c r="J810" s="21">
        <f t="shared" si="12"/>
        <v>2.1872117969077506E-2</v>
      </c>
    </row>
    <row r="811" spans="1:10" x14ac:dyDescent="0.25">
      <c r="A811" s="20" t="s">
        <v>73</v>
      </c>
      <c r="B811" s="20" t="s">
        <v>30</v>
      </c>
      <c r="C811" s="20" t="s">
        <v>23</v>
      </c>
      <c r="D811" s="20" t="s">
        <v>14</v>
      </c>
      <c r="E811" s="20" t="s">
        <v>15</v>
      </c>
      <c r="F811" s="20">
        <v>4317.26</v>
      </c>
      <c r="G811" s="11">
        <f>VLOOKUP(A811,'Operational Data'!$A$2:$E$201,3,FALSE)</f>
        <v>55974</v>
      </c>
      <c r="H811" s="11">
        <f>VLOOKUP(A811,'Operational Data'!$A$2:$E$201,4,FALSE)</f>
        <v>7542.28</v>
      </c>
      <c r="I811" s="11">
        <f>VLOOKUP(A811,'Operational Data'!$A$2:$E$201,5,FALSE)</f>
        <v>72.430000000000007</v>
      </c>
      <c r="J811" s="21">
        <f t="shared" si="12"/>
        <v>7.7129738807303394E-2</v>
      </c>
    </row>
    <row r="812" spans="1:10" x14ac:dyDescent="0.25">
      <c r="A812" s="20" t="s">
        <v>70</v>
      </c>
      <c r="B812" s="20" t="s">
        <v>19</v>
      </c>
      <c r="C812" s="20" t="s">
        <v>13</v>
      </c>
      <c r="D812" s="20" t="s">
        <v>28</v>
      </c>
      <c r="E812" s="20" t="s">
        <v>15</v>
      </c>
      <c r="F812" s="20">
        <v>1597.82</v>
      </c>
      <c r="G812" s="11">
        <f>VLOOKUP(A812,'Operational Data'!$A$2:$E$201,3,FALSE)</f>
        <v>42485</v>
      </c>
      <c r="H812" s="11">
        <f>VLOOKUP(A812,'Operational Data'!$A$2:$E$201,4,FALSE)</f>
        <v>4755.75</v>
      </c>
      <c r="I812" s="11">
        <f>VLOOKUP(A812,'Operational Data'!$A$2:$E$201,5,FALSE)</f>
        <v>10.19</v>
      </c>
      <c r="J812" s="21">
        <f t="shared" si="12"/>
        <v>3.7609038484170881E-2</v>
      </c>
    </row>
    <row r="813" spans="1:10" x14ac:dyDescent="0.25">
      <c r="A813" s="20" t="s">
        <v>154</v>
      </c>
      <c r="B813" s="20" t="s">
        <v>12</v>
      </c>
      <c r="C813" s="20" t="s">
        <v>8</v>
      </c>
      <c r="D813" s="20" t="s">
        <v>14</v>
      </c>
      <c r="E813" s="20" t="s">
        <v>10</v>
      </c>
      <c r="F813" s="20">
        <v>3825.5</v>
      </c>
      <c r="G813" s="11">
        <f>VLOOKUP(A813,'Operational Data'!$A$2:$E$201,3,FALSE)</f>
        <v>87012</v>
      </c>
      <c r="H813" s="11">
        <f>VLOOKUP(A813,'Operational Data'!$A$2:$E$201,4,FALSE)</f>
        <v>7478.13</v>
      </c>
      <c r="I813" s="11">
        <f>VLOOKUP(A813,'Operational Data'!$A$2:$E$201,5,FALSE)</f>
        <v>27.22</v>
      </c>
      <c r="J813" s="21">
        <f t="shared" si="12"/>
        <v>4.3965200202270953E-2</v>
      </c>
    </row>
    <row r="814" spans="1:10" x14ac:dyDescent="0.25">
      <c r="A814" s="20" t="s">
        <v>202</v>
      </c>
      <c r="B814" s="20" t="s">
        <v>12</v>
      </c>
      <c r="C814" s="20" t="s">
        <v>8</v>
      </c>
      <c r="D814" s="20" t="s">
        <v>9</v>
      </c>
      <c r="E814" s="20" t="s">
        <v>10</v>
      </c>
      <c r="F814" s="20">
        <v>3766.3401309999999</v>
      </c>
      <c r="G814" s="11">
        <f>VLOOKUP(A814,'Operational Data'!$A$2:$E$201,3,FALSE)</f>
        <v>28400</v>
      </c>
      <c r="H814" s="11">
        <f>VLOOKUP(A814,'Operational Data'!$A$2:$E$201,4,FALSE)</f>
        <v>3056.67</v>
      </c>
      <c r="I814" s="11">
        <f>VLOOKUP(A814,'Operational Data'!$A$2:$E$201,5,FALSE)</f>
        <v>52.68</v>
      </c>
      <c r="J814" s="21">
        <f t="shared" si="12"/>
        <v>0.13261761024647886</v>
      </c>
    </row>
    <row r="815" spans="1:10" x14ac:dyDescent="0.25">
      <c r="A815" s="20" t="s">
        <v>51</v>
      </c>
      <c r="B815" s="20" t="s">
        <v>30</v>
      </c>
      <c r="C815" s="20" t="s">
        <v>13</v>
      </c>
      <c r="D815" s="20" t="s">
        <v>9</v>
      </c>
      <c r="E815" s="20" t="s">
        <v>15</v>
      </c>
      <c r="F815" s="20">
        <v>4885.6576480000003</v>
      </c>
      <c r="G815" s="11">
        <f>VLOOKUP(A815,'Operational Data'!$A$2:$E$201,3,FALSE)</f>
        <v>44164</v>
      </c>
      <c r="H815" s="11">
        <f>VLOOKUP(A815,'Operational Data'!$A$2:$E$201,4,FALSE)</f>
        <v>3869.32</v>
      </c>
      <c r="I815" s="11">
        <f>VLOOKUP(A815,'Operational Data'!$A$2:$E$201,5,FALSE)</f>
        <v>13.81</v>
      </c>
      <c r="J815" s="21">
        <f t="shared" si="12"/>
        <v>0.110625342994294</v>
      </c>
    </row>
    <row r="816" spans="1:10" x14ac:dyDescent="0.25">
      <c r="A816" s="20" t="s">
        <v>39</v>
      </c>
      <c r="B816" s="20" t="s">
        <v>7</v>
      </c>
      <c r="C816" s="20" t="s">
        <v>23</v>
      </c>
      <c r="D816" s="20" t="s">
        <v>9</v>
      </c>
      <c r="E816" s="20" t="s">
        <v>24</v>
      </c>
      <c r="F816" s="20">
        <v>2013.053784</v>
      </c>
      <c r="G816" s="11">
        <f>VLOOKUP(A816,'Operational Data'!$A$2:$E$201,3,FALSE)</f>
        <v>80904</v>
      </c>
      <c r="H816" s="11">
        <f>VLOOKUP(A816,'Operational Data'!$A$2:$E$201,4,FALSE)</f>
        <v>3263.09</v>
      </c>
      <c r="I816" s="11">
        <f>VLOOKUP(A816,'Operational Data'!$A$2:$E$201,5,FALSE)</f>
        <v>58.37</v>
      </c>
      <c r="J816" s="21">
        <f t="shared" si="12"/>
        <v>2.4882005636309698E-2</v>
      </c>
    </row>
    <row r="817" spans="1:10" ht="30" x14ac:dyDescent="0.25">
      <c r="A817" s="20" t="s">
        <v>89</v>
      </c>
      <c r="B817" s="20" t="s">
        <v>17</v>
      </c>
      <c r="C817" s="20" t="s">
        <v>34</v>
      </c>
      <c r="D817" s="20" t="s">
        <v>9</v>
      </c>
      <c r="E817" s="20" t="s">
        <v>24</v>
      </c>
      <c r="F817" s="20">
        <v>2140.4226189999999</v>
      </c>
      <c r="G817" s="11">
        <f>VLOOKUP(A817,'Operational Data'!$A$2:$E$201,3,FALSE)</f>
        <v>36171</v>
      </c>
      <c r="H817" s="11">
        <f>VLOOKUP(A817,'Operational Data'!$A$2:$E$201,4,FALSE)</f>
        <v>6864.38</v>
      </c>
      <c r="I817" s="11">
        <f>VLOOKUP(A817,'Operational Data'!$A$2:$E$201,5,FALSE)</f>
        <v>37.03</v>
      </c>
      <c r="J817" s="21">
        <f t="shared" si="12"/>
        <v>5.9175102126012548E-2</v>
      </c>
    </row>
    <row r="818" spans="1:10" x14ac:dyDescent="0.25">
      <c r="A818" s="20" t="s">
        <v>182</v>
      </c>
      <c r="B818" s="20" t="s">
        <v>12</v>
      </c>
      <c r="C818" s="20" t="s">
        <v>13</v>
      </c>
      <c r="D818" s="20" t="s">
        <v>28</v>
      </c>
      <c r="E818" s="20" t="s">
        <v>10</v>
      </c>
      <c r="F818" s="20">
        <v>707.7</v>
      </c>
      <c r="G818" s="11">
        <f>VLOOKUP(A818,'Operational Data'!$A$2:$E$201,3,FALSE)</f>
        <v>21081</v>
      </c>
      <c r="H818" s="11">
        <f>VLOOKUP(A818,'Operational Data'!$A$2:$E$201,4,FALSE)</f>
        <v>9001.77</v>
      </c>
      <c r="I818" s="11">
        <f>VLOOKUP(A818,'Operational Data'!$A$2:$E$201,5,FALSE)</f>
        <v>49.27</v>
      </c>
      <c r="J818" s="21">
        <f t="shared" si="12"/>
        <v>3.3570513732745125E-2</v>
      </c>
    </row>
    <row r="819" spans="1:10" x14ac:dyDescent="0.25">
      <c r="A819" s="20" t="s">
        <v>57</v>
      </c>
      <c r="B819" s="20" t="s">
        <v>19</v>
      </c>
      <c r="C819" s="20" t="s">
        <v>23</v>
      </c>
      <c r="D819" s="20" t="s">
        <v>28</v>
      </c>
      <c r="E819" s="20" t="s">
        <v>24</v>
      </c>
      <c r="F819" s="20">
        <v>1703.95</v>
      </c>
      <c r="G819" s="11">
        <f>VLOOKUP(A819,'Operational Data'!$A$2:$E$201,3,FALSE)</f>
        <v>41027</v>
      </c>
      <c r="H819" s="11">
        <f>VLOOKUP(A819,'Operational Data'!$A$2:$E$201,4,FALSE)</f>
        <v>7285.85</v>
      </c>
      <c r="I819" s="11">
        <f>VLOOKUP(A819,'Operational Data'!$A$2:$E$201,5,FALSE)</f>
        <v>59.87</v>
      </c>
      <c r="J819" s="21">
        <f t="shared" si="12"/>
        <v>4.1532405489068176E-2</v>
      </c>
    </row>
    <row r="820" spans="1:10" ht="30" x14ac:dyDescent="0.25">
      <c r="A820" s="20" t="s">
        <v>199</v>
      </c>
      <c r="B820" s="20" t="s">
        <v>17</v>
      </c>
      <c r="C820" s="20" t="s">
        <v>8</v>
      </c>
      <c r="D820" s="20" t="s">
        <v>28</v>
      </c>
      <c r="E820" s="20" t="s">
        <v>10</v>
      </c>
      <c r="F820" s="20">
        <v>3023.57</v>
      </c>
      <c r="G820" s="11">
        <f>VLOOKUP(A820,'Operational Data'!$A$2:$E$201,3,FALSE)</f>
        <v>77317</v>
      </c>
      <c r="H820" s="11">
        <f>VLOOKUP(A820,'Operational Data'!$A$2:$E$201,4,FALSE)</f>
        <v>4862.95</v>
      </c>
      <c r="I820" s="11">
        <f>VLOOKUP(A820,'Operational Data'!$A$2:$E$201,5,FALSE)</f>
        <v>89.78</v>
      </c>
      <c r="J820" s="21">
        <f t="shared" si="12"/>
        <v>3.9106147419066963E-2</v>
      </c>
    </row>
    <row r="821" spans="1:10" x14ac:dyDescent="0.25">
      <c r="A821" s="20" t="s">
        <v>11</v>
      </c>
      <c r="B821" s="20" t="s">
        <v>12</v>
      </c>
      <c r="C821" s="20" t="s">
        <v>23</v>
      </c>
      <c r="D821" s="20" t="s">
        <v>28</v>
      </c>
      <c r="E821" s="20" t="s">
        <v>24</v>
      </c>
      <c r="F821" s="20">
        <v>2101.7199999999998</v>
      </c>
      <c r="G821" s="11">
        <f>VLOOKUP(A821,'Operational Data'!$A$2:$E$201,3,FALSE)</f>
        <v>44657</v>
      </c>
      <c r="H821" s="11">
        <f>VLOOKUP(A821,'Operational Data'!$A$2:$E$201,4,FALSE)</f>
        <v>7867.98</v>
      </c>
      <c r="I821" s="11">
        <f>VLOOKUP(A821,'Operational Data'!$A$2:$E$201,5,FALSE)</f>
        <v>96.01</v>
      </c>
      <c r="J821" s="21">
        <f t="shared" si="12"/>
        <v>4.7063618245739743E-2</v>
      </c>
    </row>
    <row r="822" spans="1:10" ht="30" x14ac:dyDescent="0.25">
      <c r="A822" s="20" t="s">
        <v>215</v>
      </c>
      <c r="B822" s="20" t="s">
        <v>17</v>
      </c>
      <c r="C822" s="20" t="s">
        <v>34</v>
      </c>
      <c r="D822" s="20" t="s">
        <v>14</v>
      </c>
      <c r="E822" s="20" t="s">
        <v>15</v>
      </c>
      <c r="F822" s="20">
        <v>72.97</v>
      </c>
      <c r="G822" s="11">
        <f>VLOOKUP(A822,'Operational Data'!$A$2:$E$201,3,FALSE)</f>
        <v>72813</v>
      </c>
      <c r="H822" s="11">
        <f>VLOOKUP(A822,'Operational Data'!$A$2:$E$201,4,FALSE)</f>
        <v>8818.16</v>
      </c>
      <c r="I822" s="11">
        <f>VLOOKUP(A822,'Operational Data'!$A$2:$E$201,5,FALSE)</f>
        <v>54.12</v>
      </c>
      <c r="J822" s="21">
        <f t="shared" si="12"/>
        <v>1.0021562083693846E-3</v>
      </c>
    </row>
    <row r="823" spans="1:10" x14ac:dyDescent="0.25">
      <c r="A823" s="20" t="s">
        <v>107</v>
      </c>
      <c r="B823" s="20" t="s">
        <v>30</v>
      </c>
      <c r="C823" s="20" t="s">
        <v>34</v>
      </c>
      <c r="D823" s="20" t="s">
        <v>28</v>
      </c>
      <c r="E823" s="20" t="s">
        <v>10</v>
      </c>
      <c r="F823" s="20">
        <v>1271.98</v>
      </c>
      <c r="G823" s="11">
        <f>VLOOKUP(A823,'Operational Data'!$A$2:$E$201,3,FALSE)</f>
        <v>69305</v>
      </c>
      <c r="H823" s="11">
        <f>VLOOKUP(A823,'Operational Data'!$A$2:$E$201,4,FALSE)</f>
        <v>3203.67</v>
      </c>
      <c r="I823" s="11">
        <f>VLOOKUP(A823,'Operational Data'!$A$2:$E$201,5,FALSE)</f>
        <v>83.65</v>
      </c>
      <c r="J823" s="21">
        <f t="shared" si="12"/>
        <v>1.8353365558040544E-2</v>
      </c>
    </row>
    <row r="824" spans="1:10" x14ac:dyDescent="0.25">
      <c r="A824" s="20" t="s">
        <v>201</v>
      </c>
      <c r="B824" s="20" t="s">
        <v>12</v>
      </c>
      <c r="C824" s="20" t="s">
        <v>8</v>
      </c>
      <c r="D824" s="20" t="s">
        <v>14</v>
      </c>
      <c r="E824" s="20" t="s">
        <v>10</v>
      </c>
      <c r="F824" s="20">
        <v>1645.13</v>
      </c>
      <c r="G824" s="11">
        <f>VLOOKUP(A824,'Operational Data'!$A$2:$E$201,3,FALSE)</f>
        <v>58439</v>
      </c>
      <c r="H824" s="11">
        <f>VLOOKUP(A824,'Operational Data'!$A$2:$E$201,4,FALSE)</f>
        <v>5817.93</v>
      </c>
      <c r="I824" s="11">
        <f>VLOOKUP(A824,'Operational Data'!$A$2:$E$201,5,FALSE)</f>
        <v>63.77</v>
      </c>
      <c r="J824" s="21">
        <f t="shared" si="12"/>
        <v>2.8151234620715618E-2</v>
      </c>
    </row>
    <row r="825" spans="1:10" x14ac:dyDescent="0.25">
      <c r="A825" s="20" t="s">
        <v>201</v>
      </c>
      <c r="B825" s="20" t="s">
        <v>12</v>
      </c>
      <c r="C825" s="20" t="s">
        <v>8</v>
      </c>
      <c r="D825" s="20" t="s">
        <v>14</v>
      </c>
      <c r="E825" s="20" t="s">
        <v>15</v>
      </c>
      <c r="F825" s="20">
        <v>1271.48</v>
      </c>
      <c r="G825" s="11">
        <f>VLOOKUP(A825,'Operational Data'!$A$2:$E$201,3,FALSE)</f>
        <v>58439</v>
      </c>
      <c r="H825" s="11">
        <f>VLOOKUP(A825,'Operational Data'!$A$2:$E$201,4,FALSE)</f>
        <v>5817.93</v>
      </c>
      <c r="I825" s="11">
        <f>VLOOKUP(A825,'Operational Data'!$A$2:$E$201,5,FALSE)</f>
        <v>63.77</v>
      </c>
      <c r="J825" s="21">
        <f t="shared" si="12"/>
        <v>2.1757388045654445E-2</v>
      </c>
    </row>
    <row r="826" spans="1:10" x14ac:dyDescent="0.25">
      <c r="A826" s="20" t="s">
        <v>134</v>
      </c>
      <c r="B826" s="20" t="s">
        <v>7</v>
      </c>
      <c r="C826" s="20" t="s">
        <v>23</v>
      </c>
      <c r="D826" s="20" t="s">
        <v>28</v>
      </c>
      <c r="E826" s="20" t="s">
        <v>15</v>
      </c>
      <c r="F826" s="20">
        <v>1183.23</v>
      </c>
      <c r="G826" s="11">
        <f>VLOOKUP(A826,'Operational Data'!$A$2:$E$201,3,FALSE)</f>
        <v>39568</v>
      </c>
      <c r="H826" s="11">
        <f>VLOOKUP(A826,'Operational Data'!$A$2:$E$201,4,FALSE)</f>
        <v>3580.54</v>
      </c>
      <c r="I826" s="11">
        <f>VLOOKUP(A826,'Operational Data'!$A$2:$E$201,5,FALSE)</f>
        <v>78.08</v>
      </c>
      <c r="J826" s="21">
        <f t="shared" si="12"/>
        <v>2.9903710068742418E-2</v>
      </c>
    </row>
    <row r="827" spans="1:10" x14ac:dyDescent="0.25">
      <c r="A827" s="20" t="s">
        <v>164</v>
      </c>
      <c r="B827" s="20" t="s">
        <v>19</v>
      </c>
      <c r="C827" s="20" t="s">
        <v>13</v>
      </c>
      <c r="D827" s="20" t="s">
        <v>9</v>
      </c>
      <c r="E827" s="20" t="s">
        <v>10</v>
      </c>
      <c r="F827" s="20">
        <v>3135.2882399999999</v>
      </c>
      <c r="G827" s="11">
        <f>VLOOKUP(A827,'Operational Data'!$A$2:$E$201,3,FALSE)</f>
        <v>69636</v>
      </c>
      <c r="H827" s="11">
        <f>VLOOKUP(A827,'Operational Data'!$A$2:$E$201,4,FALSE)</f>
        <v>4246.55</v>
      </c>
      <c r="I827" s="11">
        <f>VLOOKUP(A827,'Operational Data'!$A$2:$E$201,5,FALSE)</f>
        <v>69.290000000000006</v>
      </c>
      <c r="J827" s="21">
        <f t="shared" si="12"/>
        <v>4.5023956574185765E-2</v>
      </c>
    </row>
    <row r="828" spans="1:10" x14ac:dyDescent="0.25">
      <c r="A828" s="20" t="s">
        <v>124</v>
      </c>
      <c r="B828" s="20" t="s">
        <v>12</v>
      </c>
      <c r="C828" s="20" t="s">
        <v>23</v>
      </c>
      <c r="D828" s="20" t="s">
        <v>14</v>
      </c>
      <c r="E828" s="20" t="s">
        <v>15</v>
      </c>
      <c r="F828" s="20">
        <v>2647.47</v>
      </c>
      <c r="G828" s="11">
        <f>VLOOKUP(A828,'Operational Data'!$A$2:$E$201,3,FALSE)</f>
        <v>47491</v>
      </c>
      <c r="H828" s="11">
        <f>VLOOKUP(A828,'Operational Data'!$A$2:$E$201,4,FALSE)</f>
        <v>5781.05</v>
      </c>
      <c r="I828" s="11">
        <f>VLOOKUP(A828,'Operational Data'!$A$2:$E$201,5,FALSE)</f>
        <v>92.18</v>
      </c>
      <c r="J828" s="21">
        <f t="shared" si="12"/>
        <v>5.5746773072792737E-2</v>
      </c>
    </row>
    <row r="829" spans="1:10" x14ac:dyDescent="0.25">
      <c r="A829" s="20" t="s">
        <v>174</v>
      </c>
      <c r="B829" s="20" t="s">
        <v>19</v>
      </c>
      <c r="C829" s="20" t="s">
        <v>13</v>
      </c>
      <c r="D829" s="20" t="s">
        <v>14</v>
      </c>
      <c r="E829" s="20" t="s">
        <v>15</v>
      </c>
      <c r="F829" s="20">
        <v>1670.25</v>
      </c>
      <c r="G829" s="11">
        <f>VLOOKUP(A829,'Operational Data'!$A$2:$E$201,3,FALSE)</f>
        <v>66163</v>
      </c>
      <c r="H829" s="11">
        <f>VLOOKUP(A829,'Operational Data'!$A$2:$E$201,4,FALSE)</f>
        <v>1416.57</v>
      </c>
      <c r="I829" s="11">
        <f>VLOOKUP(A829,'Operational Data'!$A$2:$E$201,5,FALSE)</f>
        <v>68.73</v>
      </c>
      <c r="J829" s="21">
        <f t="shared" si="12"/>
        <v>2.5244471985853119E-2</v>
      </c>
    </row>
    <row r="830" spans="1:10" x14ac:dyDescent="0.25">
      <c r="A830" s="20" t="s">
        <v>105</v>
      </c>
      <c r="B830" s="20" t="s">
        <v>30</v>
      </c>
      <c r="C830" s="20" t="s">
        <v>13</v>
      </c>
      <c r="D830" s="20" t="s">
        <v>9</v>
      </c>
      <c r="E830" s="20" t="s">
        <v>15</v>
      </c>
      <c r="F830" s="20">
        <v>3796.74</v>
      </c>
      <c r="G830" s="11">
        <f>VLOOKUP(A830,'Operational Data'!$A$2:$E$201,3,FALSE)</f>
        <v>87337</v>
      </c>
      <c r="H830" s="11">
        <f>VLOOKUP(A830,'Operational Data'!$A$2:$E$201,4,FALSE)</f>
        <v>3603.06</v>
      </c>
      <c r="I830" s="11">
        <f>VLOOKUP(A830,'Operational Data'!$A$2:$E$201,5,FALSE)</f>
        <v>67.13</v>
      </c>
      <c r="J830" s="21">
        <f t="shared" si="12"/>
        <v>4.347229696463125E-2</v>
      </c>
    </row>
    <row r="831" spans="1:10" ht="30" x14ac:dyDescent="0.25">
      <c r="A831" s="20" t="s">
        <v>127</v>
      </c>
      <c r="B831" s="20" t="s">
        <v>17</v>
      </c>
      <c r="C831" s="20" t="s">
        <v>8</v>
      </c>
      <c r="D831" s="20" t="s">
        <v>14</v>
      </c>
      <c r="E831" s="20" t="s">
        <v>15</v>
      </c>
      <c r="F831" s="20">
        <v>2430.6999999999998</v>
      </c>
      <c r="G831" s="11">
        <f>VLOOKUP(A831,'Operational Data'!$A$2:$E$201,3,FALSE)</f>
        <v>17416</v>
      </c>
      <c r="H831" s="11">
        <f>VLOOKUP(A831,'Operational Data'!$A$2:$E$201,4,FALSE)</f>
        <v>812.06</v>
      </c>
      <c r="I831" s="11">
        <f>VLOOKUP(A831,'Operational Data'!$A$2:$E$201,5,FALSE)</f>
        <v>5.7</v>
      </c>
      <c r="J831" s="21">
        <f t="shared" si="12"/>
        <v>0.13956706476802938</v>
      </c>
    </row>
    <row r="832" spans="1:10" x14ac:dyDescent="0.25">
      <c r="A832" s="20" t="s">
        <v>100</v>
      </c>
      <c r="B832" s="20" t="s">
        <v>7</v>
      </c>
      <c r="C832" s="20" t="s">
        <v>8</v>
      </c>
      <c r="D832" s="20" t="s">
        <v>9</v>
      </c>
      <c r="E832" s="20" t="s">
        <v>10</v>
      </c>
      <c r="F832" s="20">
        <v>4664.5184390000004</v>
      </c>
      <c r="G832" s="11">
        <f>VLOOKUP(A832,'Operational Data'!$A$2:$E$201,3,FALSE)</f>
        <v>17468</v>
      </c>
      <c r="H832" s="11">
        <f>VLOOKUP(A832,'Operational Data'!$A$2:$E$201,4,FALSE)</f>
        <v>6359.73</v>
      </c>
      <c r="I832" s="11">
        <f>VLOOKUP(A832,'Operational Data'!$A$2:$E$201,5,FALSE)</f>
        <v>5.22</v>
      </c>
      <c r="J832" s="21">
        <f t="shared" si="12"/>
        <v>0.26703219824822533</v>
      </c>
    </row>
    <row r="833" spans="1:10" x14ac:dyDescent="0.25">
      <c r="A833" s="20" t="s">
        <v>70</v>
      </c>
      <c r="B833" s="20" t="s">
        <v>19</v>
      </c>
      <c r="C833" s="20" t="s">
        <v>8</v>
      </c>
      <c r="D833" s="20" t="s">
        <v>14</v>
      </c>
      <c r="E833" s="20" t="s">
        <v>10</v>
      </c>
      <c r="F833" s="20">
        <v>2563.5500000000002</v>
      </c>
      <c r="G833" s="11">
        <f>VLOOKUP(A833,'Operational Data'!$A$2:$E$201,3,FALSE)</f>
        <v>42485</v>
      </c>
      <c r="H833" s="11">
        <f>VLOOKUP(A833,'Operational Data'!$A$2:$E$201,4,FALSE)</f>
        <v>4755.75</v>
      </c>
      <c r="I833" s="11">
        <f>VLOOKUP(A833,'Operational Data'!$A$2:$E$201,5,FALSE)</f>
        <v>10.19</v>
      </c>
      <c r="J833" s="21">
        <f t="shared" si="12"/>
        <v>6.0340120042367898E-2</v>
      </c>
    </row>
    <row r="834" spans="1:10" x14ac:dyDescent="0.25">
      <c r="A834" s="20" t="s">
        <v>62</v>
      </c>
      <c r="B834" s="20" t="s">
        <v>30</v>
      </c>
      <c r="C834" s="20" t="s">
        <v>13</v>
      </c>
      <c r="D834" s="20" t="s">
        <v>14</v>
      </c>
      <c r="E834" s="20" t="s">
        <v>24</v>
      </c>
      <c r="F834" s="20">
        <v>2866.4</v>
      </c>
      <c r="G834" s="11">
        <f>VLOOKUP(A834,'Operational Data'!$A$2:$E$201,3,FALSE)</f>
        <v>22309</v>
      </c>
      <c r="H834" s="11">
        <f>VLOOKUP(A834,'Operational Data'!$A$2:$E$201,4,FALSE)</f>
        <v>3656.29</v>
      </c>
      <c r="I834" s="11">
        <f>VLOOKUP(A834,'Operational Data'!$A$2:$E$201,5,FALSE)</f>
        <v>75.25</v>
      </c>
      <c r="J834" s="21">
        <f t="shared" si="12"/>
        <v>0.12848626115020845</v>
      </c>
    </row>
    <row r="835" spans="1:10" x14ac:dyDescent="0.25">
      <c r="A835" s="20" t="s">
        <v>35</v>
      </c>
      <c r="B835" s="20" t="s">
        <v>19</v>
      </c>
      <c r="C835" s="20" t="s">
        <v>34</v>
      </c>
      <c r="D835" s="20" t="s">
        <v>14</v>
      </c>
      <c r="E835" s="20" t="s">
        <v>10</v>
      </c>
      <c r="F835" s="20">
        <v>4646.07</v>
      </c>
      <c r="G835" s="11">
        <f>VLOOKUP(A835,'Operational Data'!$A$2:$E$201,3,FALSE)</f>
        <v>42382</v>
      </c>
      <c r="H835" s="11">
        <f>VLOOKUP(A835,'Operational Data'!$A$2:$E$201,4,FALSE)</f>
        <v>5116.6899999999996</v>
      </c>
      <c r="I835" s="11">
        <f>VLOOKUP(A835,'Operational Data'!$A$2:$E$201,5,FALSE)</f>
        <v>80.42</v>
      </c>
      <c r="J835" s="21">
        <f t="shared" ref="J835:J898" si="13">F835/G835</f>
        <v>0.10962366098815535</v>
      </c>
    </row>
    <row r="836" spans="1:10" x14ac:dyDescent="0.25">
      <c r="A836" s="20" t="s">
        <v>73</v>
      </c>
      <c r="B836" s="20" t="s">
        <v>30</v>
      </c>
      <c r="C836" s="20" t="s">
        <v>23</v>
      </c>
      <c r="D836" s="20" t="s">
        <v>9</v>
      </c>
      <c r="E836" s="20" t="s">
        <v>10</v>
      </c>
      <c r="F836" s="20">
        <v>858.75894459999995</v>
      </c>
      <c r="G836" s="11">
        <f>VLOOKUP(A836,'Operational Data'!$A$2:$E$201,3,FALSE)</f>
        <v>55974</v>
      </c>
      <c r="H836" s="11">
        <f>VLOOKUP(A836,'Operational Data'!$A$2:$E$201,4,FALSE)</f>
        <v>7542.28</v>
      </c>
      <c r="I836" s="11">
        <f>VLOOKUP(A836,'Operational Data'!$A$2:$E$201,5,FALSE)</f>
        <v>72.430000000000007</v>
      </c>
      <c r="J836" s="21">
        <f t="shared" si="13"/>
        <v>1.5342104273412654E-2</v>
      </c>
    </row>
    <row r="837" spans="1:10" x14ac:dyDescent="0.25">
      <c r="A837" s="20" t="s">
        <v>111</v>
      </c>
      <c r="B837" s="20" t="s">
        <v>19</v>
      </c>
      <c r="C837" s="20" t="s">
        <v>34</v>
      </c>
      <c r="D837" s="20" t="s">
        <v>14</v>
      </c>
      <c r="E837" s="20" t="s">
        <v>10</v>
      </c>
      <c r="F837" s="20">
        <v>2645.6</v>
      </c>
      <c r="G837" s="11">
        <f>VLOOKUP(A837,'Operational Data'!$A$2:$E$201,3,FALSE)</f>
        <v>37309</v>
      </c>
      <c r="H837" s="11">
        <f>VLOOKUP(A837,'Operational Data'!$A$2:$E$201,4,FALSE)</f>
        <v>4508.54</v>
      </c>
      <c r="I837" s="11">
        <f>VLOOKUP(A837,'Operational Data'!$A$2:$E$201,5,FALSE)</f>
        <v>47.15</v>
      </c>
      <c r="J837" s="21">
        <f t="shared" si="13"/>
        <v>7.0910504167895141E-2</v>
      </c>
    </row>
    <row r="838" spans="1:10" x14ac:dyDescent="0.25">
      <c r="A838" s="20" t="s">
        <v>153</v>
      </c>
      <c r="B838" s="20" t="s">
        <v>7</v>
      </c>
      <c r="C838" s="20" t="s">
        <v>23</v>
      </c>
      <c r="D838" s="20" t="s">
        <v>9</v>
      </c>
      <c r="E838" s="20" t="s">
        <v>10</v>
      </c>
      <c r="F838" s="20">
        <v>4396.4497890000002</v>
      </c>
      <c r="G838" s="11">
        <f>VLOOKUP(A838,'Operational Data'!$A$2:$E$201,3,FALSE)</f>
        <v>21388</v>
      </c>
      <c r="H838" s="11">
        <f>VLOOKUP(A838,'Operational Data'!$A$2:$E$201,4,FALSE)</f>
        <v>5249.39</v>
      </c>
      <c r="I838" s="11">
        <f>VLOOKUP(A838,'Operational Data'!$A$2:$E$201,5,FALSE)</f>
        <v>64.2</v>
      </c>
      <c r="J838" s="21">
        <f t="shared" si="13"/>
        <v>0.20555684444548347</v>
      </c>
    </row>
    <row r="839" spans="1:10" x14ac:dyDescent="0.25">
      <c r="A839" s="20" t="s">
        <v>64</v>
      </c>
      <c r="B839" s="20" t="s">
        <v>30</v>
      </c>
      <c r="C839" s="20" t="s">
        <v>8</v>
      </c>
      <c r="D839" s="20" t="s">
        <v>9</v>
      </c>
      <c r="E839" s="20" t="s">
        <v>15</v>
      </c>
      <c r="F839" s="20">
        <v>2468.89</v>
      </c>
      <c r="G839" s="11">
        <f>VLOOKUP(A839,'Operational Data'!$A$2:$E$201,3,FALSE)</f>
        <v>52836</v>
      </c>
      <c r="H839" s="11">
        <f>VLOOKUP(A839,'Operational Data'!$A$2:$E$201,4,FALSE)</f>
        <v>9330.2999999999993</v>
      </c>
      <c r="I839" s="11">
        <f>VLOOKUP(A839,'Operational Data'!$A$2:$E$201,5,FALSE)</f>
        <v>87.27</v>
      </c>
      <c r="J839" s="21">
        <f t="shared" si="13"/>
        <v>4.6727420698008934E-2</v>
      </c>
    </row>
    <row r="840" spans="1:10" x14ac:dyDescent="0.25">
      <c r="A840" s="20" t="s">
        <v>108</v>
      </c>
      <c r="B840" s="20" t="s">
        <v>7</v>
      </c>
      <c r="C840" s="20" t="s">
        <v>13</v>
      </c>
      <c r="D840" s="20" t="s">
        <v>14</v>
      </c>
      <c r="E840" s="20" t="s">
        <v>24</v>
      </c>
      <c r="F840" s="20">
        <v>3901.9</v>
      </c>
      <c r="G840" s="11">
        <f>VLOOKUP(A840,'Operational Data'!$A$2:$E$201,3,FALSE)</f>
        <v>22201</v>
      </c>
      <c r="H840" s="11">
        <f>VLOOKUP(A840,'Operational Data'!$A$2:$E$201,4,FALSE)</f>
        <v>2853.66</v>
      </c>
      <c r="I840" s="11">
        <f>VLOOKUP(A840,'Operational Data'!$A$2:$E$201,5,FALSE)</f>
        <v>71.94</v>
      </c>
      <c r="J840" s="21">
        <f t="shared" si="13"/>
        <v>0.17575334444394397</v>
      </c>
    </row>
    <row r="841" spans="1:10" x14ac:dyDescent="0.25">
      <c r="A841" s="20" t="s">
        <v>193</v>
      </c>
      <c r="B841" s="20" t="s">
        <v>12</v>
      </c>
      <c r="C841" s="20" t="s">
        <v>23</v>
      </c>
      <c r="D841" s="20" t="s">
        <v>9</v>
      </c>
      <c r="E841" s="20" t="s">
        <v>24</v>
      </c>
      <c r="F841" s="20">
        <v>2711.0032080000001</v>
      </c>
      <c r="G841" s="11">
        <f>VLOOKUP(A841,'Operational Data'!$A$2:$E$201,3,FALSE)</f>
        <v>13333</v>
      </c>
      <c r="H841" s="11">
        <f>VLOOKUP(A841,'Operational Data'!$A$2:$E$201,4,FALSE)</f>
        <v>6102.15</v>
      </c>
      <c r="I841" s="11">
        <f>VLOOKUP(A841,'Operational Data'!$A$2:$E$201,5,FALSE)</f>
        <v>17.670000000000002</v>
      </c>
      <c r="J841" s="21">
        <f t="shared" si="13"/>
        <v>0.20333032385809646</v>
      </c>
    </row>
    <row r="842" spans="1:10" x14ac:dyDescent="0.25">
      <c r="A842" s="20" t="s">
        <v>110</v>
      </c>
      <c r="B842" s="20" t="s">
        <v>12</v>
      </c>
      <c r="C842" s="20" t="s">
        <v>13</v>
      </c>
      <c r="D842" s="20" t="s">
        <v>9</v>
      </c>
      <c r="E842" s="20" t="s">
        <v>24</v>
      </c>
      <c r="F842" s="20">
        <v>1971.3</v>
      </c>
      <c r="G842" s="11">
        <f>VLOOKUP(A842,'Operational Data'!$A$2:$E$201,3,FALSE)</f>
        <v>70481</v>
      </c>
      <c r="H842" s="11">
        <f>VLOOKUP(A842,'Operational Data'!$A$2:$E$201,4,FALSE)</f>
        <v>4452.83</v>
      </c>
      <c r="I842" s="11">
        <f>VLOOKUP(A842,'Operational Data'!$A$2:$E$201,5,FALSE)</f>
        <v>91.26</v>
      </c>
      <c r="J842" s="21">
        <f t="shared" si="13"/>
        <v>2.7969239937004297E-2</v>
      </c>
    </row>
    <row r="843" spans="1:10" x14ac:dyDescent="0.25">
      <c r="A843" s="20" t="s">
        <v>189</v>
      </c>
      <c r="B843" s="20" t="s">
        <v>19</v>
      </c>
      <c r="C843" s="20" t="s">
        <v>13</v>
      </c>
      <c r="D843" s="20" t="s">
        <v>14</v>
      </c>
      <c r="E843" s="20" t="s">
        <v>24</v>
      </c>
      <c r="F843" s="20">
        <v>4296.74</v>
      </c>
      <c r="G843" s="11">
        <f>VLOOKUP(A843,'Operational Data'!$A$2:$E$201,3,FALSE)</f>
        <v>27681</v>
      </c>
      <c r="H843" s="11">
        <f>VLOOKUP(A843,'Operational Data'!$A$2:$E$201,4,FALSE)</f>
        <v>928.26</v>
      </c>
      <c r="I843" s="11">
        <f>VLOOKUP(A843,'Operational Data'!$A$2:$E$201,5,FALSE)</f>
        <v>44.97</v>
      </c>
      <c r="J843" s="21">
        <f t="shared" si="13"/>
        <v>0.15522343845959322</v>
      </c>
    </row>
    <row r="844" spans="1:10" x14ac:dyDescent="0.25">
      <c r="A844" s="20" t="s">
        <v>87</v>
      </c>
      <c r="B844" s="20" t="s">
        <v>12</v>
      </c>
      <c r="C844" s="20" t="s">
        <v>23</v>
      </c>
      <c r="D844" s="20" t="s">
        <v>28</v>
      </c>
      <c r="E844" s="20" t="s">
        <v>24</v>
      </c>
      <c r="F844" s="20">
        <v>3792.89</v>
      </c>
      <c r="G844" s="11">
        <f>VLOOKUP(A844,'Operational Data'!$A$2:$E$201,3,FALSE)</f>
        <v>15333</v>
      </c>
      <c r="H844" s="11">
        <f>VLOOKUP(A844,'Operational Data'!$A$2:$E$201,4,FALSE)</f>
        <v>2570.54</v>
      </c>
      <c r="I844" s="11">
        <f>VLOOKUP(A844,'Operational Data'!$A$2:$E$201,5,FALSE)</f>
        <v>41.07</v>
      </c>
      <c r="J844" s="21">
        <f t="shared" si="13"/>
        <v>0.24736776886454054</v>
      </c>
    </row>
    <row r="845" spans="1:10" x14ac:dyDescent="0.25">
      <c r="A845" s="20" t="s">
        <v>99</v>
      </c>
      <c r="B845" s="20" t="s">
        <v>19</v>
      </c>
      <c r="C845" s="20" t="s">
        <v>34</v>
      </c>
      <c r="D845" s="20" t="s">
        <v>28</v>
      </c>
      <c r="E845" s="20" t="s">
        <v>15</v>
      </c>
      <c r="F845" s="20">
        <v>1486.21</v>
      </c>
      <c r="G845" s="11">
        <f>VLOOKUP(A845,'Operational Data'!$A$2:$E$201,3,FALSE)</f>
        <v>77400</v>
      </c>
      <c r="H845" s="11">
        <f>VLOOKUP(A845,'Operational Data'!$A$2:$E$201,4,FALSE)</f>
        <v>7504.8</v>
      </c>
      <c r="I845" s="11">
        <f>VLOOKUP(A845,'Operational Data'!$A$2:$E$201,5,FALSE)</f>
        <v>68.819999999999993</v>
      </c>
      <c r="J845" s="21">
        <f t="shared" si="13"/>
        <v>1.9201679586563308E-2</v>
      </c>
    </row>
    <row r="846" spans="1:10" ht="30" x14ac:dyDescent="0.25">
      <c r="A846" s="20" t="s">
        <v>216</v>
      </c>
      <c r="B846" s="20" t="s">
        <v>17</v>
      </c>
      <c r="C846" s="20" t="s">
        <v>34</v>
      </c>
      <c r="D846" s="20" t="s">
        <v>28</v>
      </c>
      <c r="E846" s="20" t="s">
        <v>15</v>
      </c>
      <c r="F846" s="20">
        <v>2653.12</v>
      </c>
      <c r="G846" s="11">
        <f>VLOOKUP(A846,'Operational Data'!$A$2:$E$201,3,FALSE)</f>
        <v>13302</v>
      </c>
      <c r="H846" s="11">
        <f>VLOOKUP(A846,'Operational Data'!$A$2:$E$201,4,FALSE)</f>
        <v>821.51</v>
      </c>
      <c r="I846" s="11">
        <f>VLOOKUP(A846,'Operational Data'!$A$2:$E$201,5,FALSE)</f>
        <v>69.599999999999994</v>
      </c>
      <c r="J846" s="21">
        <f t="shared" si="13"/>
        <v>0.19945271387761238</v>
      </c>
    </row>
    <row r="847" spans="1:10" x14ac:dyDescent="0.25">
      <c r="A847" s="20" t="s">
        <v>181</v>
      </c>
      <c r="B847" s="20" t="s">
        <v>30</v>
      </c>
      <c r="C847" s="20" t="s">
        <v>23</v>
      </c>
      <c r="D847" s="20" t="s">
        <v>14</v>
      </c>
      <c r="E847" s="20" t="s">
        <v>15</v>
      </c>
      <c r="F847" s="20">
        <v>4329.05</v>
      </c>
      <c r="G847" s="11">
        <f>VLOOKUP(A847,'Operational Data'!$A$2:$E$201,3,FALSE)</f>
        <v>28704</v>
      </c>
      <c r="H847" s="11">
        <f>VLOOKUP(A847,'Operational Data'!$A$2:$E$201,4,FALSE)</f>
        <v>6009.24</v>
      </c>
      <c r="I847" s="11">
        <f>VLOOKUP(A847,'Operational Data'!$A$2:$E$201,5,FALSE)</f>
        <v>39.31</v>
      </c>
      <c r="J847" s="21">
        <f t="shared" si="13"/>
        <v>0.15081695930880715</v>
      </c>
    </row>
    <row r="848" spans="1:10" x14ac:dyDescent="0.25">
      <c r="A848" s="20" t="s">
        <v>184</v>
      </c>
      <c r="B848" s="20" t="s">
        <v>30</v>
      </c>
      <c r="C848" s="20" t="s">
        <v>13</v>
      </c>
      <c r="D848" s="20" t="s">
        <v>9</v>
      </c>
      <c r="E848" s="20" t="s">
        <v>10</v>
      </c>
      <c r="F848" s="20">
        <v>3438.4822770000001</v>
      </c>
      <c r="G848" s="11">
        <f>VLOOKUP(A848,'Operational Data'!$A$2:$E$201,3,FALSE)</f>
        <v>13543</v>
      </c>
      <c r="H848" s="11">
        <f>VLOOKUP(A848,'Operational Data'!$A$2:$E$201,4,FALSE)</f>
        <v>7854.96</v>
      </c>
      <c r="I848" s="11">
        <f>VLOOKUP(A848,'Operational Data'!$A$2:$E$201,5,FALSE)</f>
        <v>85.57</v>
      </c>
      <c r="J848" s="21">
        <f t="shared" si="13"/>
        <v>0.25389369246104998</v>
      </c>
    </row>
    <row r="849" spans="1:10" x14ac:dyDescent="0.25">
      <c r="A849" s="20" t="s">
        <v>211</v>
      </c>
      <c r="B849" s="20" t="s">
        <v>7</v>
      </c>
      <c r="C849" s="20" t="s">
        <v>34</v>
      </c>
      <c r="D849" s="20" t="s">
        <v>9</v>
      </c>
      <c r="E849" s="20" t="s">
        <v>24</v>
      </c>
      <c r="F849" s="20">
        <v>4297.0303940000003</v>
      </c>
      <c r="G849" s="11">
        <f>VLOOKUP(A849,'Operational Data'!$A$2:$E$201,3,FALSE)</f>
        <v>27028</v>
      </c>
      <c r="H849" s="11">
        <f>VLOOKUP(A849,'Operational Data'!$A$2:$E$201,4,FALSE)</f>
        <v>4617.92</v>
      </c>
      <c r="I849" s="11">
        <f>VLOOKUP(A849,'Operational Data'!$A$2:$E$201,5,FALSE)</f>
        <v>57.62</v>
      </c>
      <c r="J849" s="21">
        <f t="shared" si="13"/>
        <v>0.158984401139559</v>
      </c>
    </row>
    <row r="850" spans="1:10" x14ac:dyDescent="0.25">
      <c r="A850" s="20" t="s">
        <v>200</v>
      </c>
      <c r="B850" s="20" t="s">
        <v>30</v>
      </c>
      <c r="C850" s="20" t="s">
        <v>34</v>
      </c>
      <c r="D850" s="20" t="s">
        <v>9</v>
      </c>
      <c r="E850" s="20" t="s">
        <v>10</v>
      </c>
      <c r="F850" s="20">
        <v>1748.1880329999999</v>
      </c>
      <c r="G850" s="11">
        <f>VLOOKUP(A850,'Operational Data'!$A$2:$E$201,3,FALSE)</f>
        <v>46863</v>
      </c>
      <c r="H850" s="11">
        <f>VLOOKUP(A850,'Operational Data'!$A$2:$E$201,4,FALSE)</f>
        <v>6762.98</v>
      </c>
      <c r="I850" s="11">
        <f>VLOOKUP(A850,'Operational Data'!$A$2:$E$201,5,FALSE)</f>
        <v>23.45</v>
      </c>
      <c r="J850" s="21">
        <f t="shared" si="13"/>
        <v>3.7304227919680771E-2</v>
      </c>
    </row>
    <row r="851" spans="1:10" x14ac:dyDescent="0.25">
      <c r="A851" s="20" t="s">
        <v>185</v>
      </c>
      <c r="B851" s="20" t="s">
        <v>30</v>
      </c>
      <c r="C851" s="20" t="s">
        <v>34</v>
      </c>
      <c r="D851" s="20" t="s">
        <v>9</v>
      </c>
      <c r="E851" s="20" t="s">
        <v>15</v>
      </c>
      <c r="F851" s="20">
        <v>2629.36</v>
      </c>
      <c r="G851" s="11">
        <f>VLOOKUP(A851,'Operational Data'!$A$2:$E$201,3,FALSE)</f>
        <v>24913</v>
      </c>
      <c r="H851" s="11">
        <f>VLOOKUP(A851,'Operational Data'!$A$2:$E$201,4,FALSE)</f>
        <v>5727.27</v>
      </c>
      <c r="I851" s="11">
        <f>VLOOKUP(A851,'Operational Data'!$A$2:$E$201,5,FALSE)</f>
        <v>78.849999999999994</v>
      </c>
      <c r="J851" s="21">
        <f t="shared" si="13"/>
        <v>0.10554168506402281</v>
      </c>
    </row>
    <row r="852" spans="1:10" x14ac:dyDescent="0.25">
      <c r="A852" s="20" t="s">
        <v>94</v>
      </c>
      <c r="B852" s="20" t="s">
        <v>7</v>
      </c>
      <c r="C852" s="20" t="s">
        <v>13</v>
      </c>
      <c r="D852" s="20" t="s">
        <v>9</v>
      </c>
      <c r="E852" s="20" t="s">
        <v>10</v>
      </c>
      <c r="F852" s="20">
        <v>4350.9599639999997</v>
      </c>
      <c r="G852" s="11">
        <f>VLOOKUP(A852,'Operational Data'!$A$2:$E$201,3,FALSE)</f>
        <v>26338</v>
      </c>
      <c r="H852" s="11">
        <f>VLOOKUP(A852,'Operational Data'!$A$2:$E$201,4,FALSE)</f>
        <v>578.73</v>
      </c>
      <c r="I852" s="11">
        <f>VLOOKUP(A852,'Operational Data'!$A$2:$E$201,5,FALSE)</f>
        <v>72.52</v>
      </c>
      <c r="J852" s="21">
        <f t="shared" si="13"/>
        <v>0.16519705231984205</v>
      </c>
    </row>
    <row r="853" spans="1:10" ht="30" x14ac:dyDescent="0.25">
      <c r="A853" s="20" t="s">
        <v>142</v>
      </c>
      <c r="B853" s="20" t="s">
        <v>17</v>
      </c>
      <c r="C853" s="20" t="s">
        <v>34</v>
      </c>
      <c r="D853" s="20" t="s">
        <v>14</v>
      </c>
      <c r="E853" s="20" t="s">
        <v>10</v>
      </c>
      <c r="F853" s="20">
        <v>400</v>
      </c>
      <c r="G853" s="11">
        <f>VLOOKUP(A853,'Operational Data'!$A$2:$E$201,3,FALSE)</f>
        <v>75736</v>
      </c>
      <c r="H853" s="11">
        <f>VLOOKUP(A853,'Operational Data'!$A$2:$E$201,4,FALSE)</f>
        <v>6287.07</v>
      </c>
      <c r="I853" s="11">
        <f>VLOOKUP(A853,'Operational Data'!$A$2:$E$201,5,FALSE)</f>
        <v>63.11</v>
      </c>
      <c r="J853" s="21">
        <f t="shared" si="13"/>
        <v>5.2815041723882966E-3</v>
      </c>
    </row>
    <row r="854" spans="1:10" x14ac:dyDescent="0.25">
      <c r="A854" s="20" t="s">
        <v>144</v>
      </c>
      <c r="B854" s="20" t="s">
        <v>30</v>
      </c>
      <c r="C854" s="20" t="s">
        <v>23</v>
      </c>
      <c r="D854" s="20" t="s">
        <v>28</v>
      </c>
      <c r="E854" s="20" t="s">
        <v>15</v>
      </c>
      <c r="F854" s="20">
        <v>4737.45</v>
      </c>
      <c r="G854" s="11">
        <f>VLOOKUP(A854,'Operational Data'!$A$2:$E$201,3,FALSE)</f>
        <v>11426</v>
      </c>
      <c r="H854" s="11">
        <f>VLOOKUP(A854,'Operational Data'!$A$2:$E$201,4,FALSE)</f>
        <v>4439.5600000000004</v>
      </c>
      <c r="I854" s="11">
        <f>VLOOKUP(A854,'Operational Data'!$A$2:$E$201,5,FALSE)</f>
        <v>52.71</v>
      </c>
      <c r="J854" s="21">
        <f t="shared" si="13"/>
        <v>0.41462016453702083</v>
      </c>
    </row>
    <row r="855" spans="1:10" x14ac:dyDescent="0.25">
      <c r="A855" s="20" t="s">
        <v>217</v>
      </c>
      <c r="B855" s="20" t="s">
        <v>19</v>
      </c>
      <c r="C855" s="20" t="s">
        <v>23</v>
      </c>
      <c r="D855" s="20" t="s">
        <v>28</v>
      </c>
      <c r="E855" s="20" t="s">
        <v>24</v>
      </c>
      <c r="F855" s="20">
        <v>2400.9</v>
      </c>
      <c r="G855" s="11">
        <f>VLOOKUP(A855,'Operational Data'!$A$2:$E$201,3,FALSE)</f>
        <v>80824</v>
      </c>
      <c r="H855" s="11">
        <f>VLOOKUP(A855,'Operational Data'!$A$2:$E$201,4,FALSE)</f>
        <v>2858.92</v>
      </c>
      <c r="I855" s="11">
        <f>VLOOKUP(A855,'Operational Data'!$A$2:$E$201,5,FALSE)</f>
        <v>13.97</v>
      </c>
      <c r="J855" s="21">
        <f t="shared" si="13"/>
        <v>2.9705285558744927E-2</v>
      </c>
    </row>
    <row r="856" spans="1:10" x14ac:dyDescent="0.25">
      <c r="A856" s="20" t="s">
        <v>88</v>
      </c>
      <c r="B856" s="20" t="s">
        <v>7</v>
      </c>
      <c r="C856" s="20" t="s">
        <v>34</v>
      </c>
      <c r="D856" s="20" t="s">
        <v>14</v>
      </c>
      <c r="E856" s="20" t="s">
        <v>10</v>
      </c>
      <c r="F856" s="20">
        <v>3887.35</v>
      </c>
      <c r="G856" s="11">
        <f>VLOOKUP(A856,'Operational Data'!$A$2:$E$201,3,FALSE)</f>
        <v>44825</v>
      </c>
      <c r="H856" s="11">
        <f>VLOOKUP(A856,'Operational Data'!$A$2:$E$201,4,FALSE)</f>
        <v>6023.03</v>
      </c>
      <c r="I856" s="11">
        <f>VLOOKUP(A856,'Operational Data'!$A$2:$E$201,5,FALSE)</f>
        <v>27.2</v>
      </c>
      <c r="J856" s="21">
        <f t="shared" si="13"/>
        <v>8.6722810931399885E-2</v>
      </c>
    </row>
    <row r="857" spans="1:10" x14ac:dyDescent="0.25">
      <c r="A857" s="20" t="s">
        <v>31</v>
      </c>
      <c r="B857" s="20" t="s">
        <v>30</v>
      </c>
      <c r="C857" s="20" t="s">
        <v>13</v>
      </c>
      <c r="D857" s="20" t="s">
        <v>14</v>
      </c>
      <c r="E857" s="20" t="s">
        <v>10</v>
      </c>
      <c r="F857" s="20">
        <v>3231.03</v>
      </c>
      <c r="G857" s="11">
        <f>VLOOKUP(A857,'Operational Data'!$A$2:$E$201,3,FALSE)</f>
        <v>84851</v>
      </c>
      <c r="H857" s="11">
        <f>VLOOKUP(A857,'Operational Data'!$A$2:$E$201,4,FALSE)</f>
        <v>560.75</v>
      </c>
      <c r="I857" s="11">
        <f>VLOOKUP(A857,'Operational Data'!$A$2:$E$201,5,FALSE)</f>
        <v>80.23</v>
      </c>
      <c r="J857" s="21">
        <f t="shared" si="13"/>
        <v>3.807886766213716E-2</v>
      </c>
    </row>
    <row r="858" spans="1:10" x14ac:dyDescent="0.25">
      <c r="A858" s="20" t="s">
        <v>85</v>
      </c>
      <c r="B858" s="20" t="s">
        <v>30</v>
      </c>
      <c r="C858" s="20" t="s">
        <v>34</v>
      </c>
      <c r="D858" s="20" t="s">
        <v>28</v>
      </c>
      <c r="E858" s="20" t="s">
        <v>24</v>
      </c>
      <c r="F858" s="20">
        <v>1139.33</v>
      </c>
      <c r="G858" s="11">
        <f>VLOOKUP(A858,'Operational Data'!$A$2:$E$201,3,FALSE)</f>
        <v>45519</v>
      </c>
      <c r="H858" s="11">
        <f>VLOOKUP(A858,'Operational Data'!$A$2:$E$201,4,FALSE)</f>
        <v>7987.69</v>
      </c>
      <c r="I858" s="11">
        <f>VLOOKUP(A858,'Operational Data'!$A$2:$E$201,5,FALSE)</f>
        <v>10.86</v>
      </c>
      <c r="J858" s="21">
        <f t="shared" si="13"/>
        <v>2.5029767789274807E-2</v>
      </c>
    </row>
    <row r="859" spans="1:10" ht="30" x14ac:dyDescent="0.25">
      <c r="A859" s="20" t="s">
        <v>171</v>
      </c>
      <c r="B859" s="20" t="s">
        <v>17</v>
      </c>
      <c r="C859" s="20" t="s">
        <v>34</v>
      </c>
      <c r="D859" s="20" t="s">
        <v>14</v>
      </c>
      <c r="E859" s="20" t="s">
        <v>15</v>
      </c>
      <c r="F859" s="20">
        <v>4799</v>
      </c>
      <c r="G859" s="11">
        <f>VLOOKUP(A859,'Operational Data'!$A$2:$E$201,3,FALSE)</f>
        <v>24502</v>
      </c>
      <c r="H859" s="11">
        <f>VLOOKUP(A859,'Operational Data'!$A$2:$E$201,4,FALSE)</f>
        <v>7466.86</v>
      </c>
      <c r="I859" s="11">
        <f>VLOOKUP(A859,'Operational Data'!$A$2:$E$201,5,FALSE)</f>
        <v>88.83</v>
      </c>
      <c r="J859" s="21">
        <f t="shared" si="13"/>
        <v>0.19586156232144314</v>
      </c>
    </row>
    <row r="860" spans="1:10" ht="30" x14ac:dyDescent="0.25">
      <c r="A860" s="20" t="s">
        <v>26</v>
      </c>
      <c r="B860" s="20" t="s">
        <v>17</v>
      </c>
      <c r="C860" s="20" t="s">
        <v>8</v>
      </c>
      <c r="D860" s="20" t="s">
        <v>14</v>
      </c>
      <c r="E860" s="20" t="s">
        <v>24</v>
      </c>
      <c r="F860" s="20">
        <v>3657.83</v>
      </c>
      <c r="G860" s="11">
        <f>VLOOKUP(A860,'Operational Data'!$A$2:$E$201,3,FALSE)</f>
        <v>17311</v>
      </c>
      <c r="H860" s="11">
        <f>VLOOKUP(A860,'Operational Data'!$A$2:$E$201,4,FALSE)</f>
        <v>2257.38</v>
      </c>
      <c r="I860" s="11">
        <f>VLOOKUP(A860,'Operational Data'!$A$2:$E$201,5,FALSE)</f>
        <v>91.07</v>
      </c>
      <c r="J860" s="21">
        <f t="shared" si="13"/>
        <v>0.21130090693778522</v>
      </c>
    </row>
    <row r="861" spans="1:10" x14ac:dyDescent="0.25">
      <c r="A861" s="20" t="s">
        <v>195</v>
      </c>
      <c r="B861" s="20" t="s">
        <v>7</v>
      </c>
      <c r="C861" s="20" t="s">
        <v>23</v>
      </c>
      <c r="D861" s="20" t="s">
        <v>9</v>
      </c>
      <c r="E861" s="20" t="s">
        <v>10</v>
      </c>
      <c r="F861" s="20">
        <v>2571.4593089999998</v>
      </c>
      <c r="G861" s="11">
        <f>VLOOKUP(A861,'Operational Data'!$A$2:$E$201,3,FALSE)</f>
        <v>68278</v>
      </c>
      <c r="H861" s="11">
        <f>VLOOKUP(A861,'Operational Data'!$A$2:$E$201,4,FALSE)</f>
        <v>3272.65</v>
      </c>
      <c r="I861" s="11">
        <f>VLOOKUP(A861,'Operational Data'!$A$2:$E$201,5,FALSE)</f>
        <v>30.47</v>
      </c>
      <c r="J861" s="21">
        <f t="shared" si="13"/>
        <v>3.766160855619672E-2</v>
      </c>
    </row>
    <row r="862" spans="1:10" x14ac:dyDescent="0.25">
      <c r="A862" s="20" t="s">
        <v>154</v>
      </c>
      <c r="B862" s="20" t="s">
        <v>12</v>
      </c>
      <c r="C862" s="20" t="s">
        <v>8</v>
      </c>
      <c r="D862" s="20" t="s">
        <v>14</v>
      </c>
      <c r="E862" s="20" t="s">
        <v>24</v>
      </c>
      <c r="F862" s="20">
        <v>3338</v>
      </c>
      <c r="G862" s="11">
        <f>VLOOKUP(A862,'Operational Data'!$A$2:$E$201,3,FALSE)</f>
        <v>87012</v>
      </c>
      <c r="H862" s="11">
        <f>VLOOKUP(A862,'Operational Data'!$A$2:$E$201,4,FALSE)</f>
        <v>7478.13</v>
      </c>
      <c r="I862" s="11">
        <f>VLOOKUP(A862,'Operational Data'!$A$2:$E$201,5,FALSE)</f>
        <v>27.22</v>
      </c>
      <c r="J862" s="21">
        <f t="shared" si="13"/>
        <v>3.8362524709235506E-2</v>
      </c>
    </row>
    <row r="863" spans="1:10" x14ac:dyDescent="0.25">
      <c r="A863" s="20" t="s">
        <v>115</v>
      </c>
      <c r="B863" s="20" t="s">
        <v>19</v>
      </c>
      <c r="C863" s="20" t="s">
        <v>13</v>
      </c>
      <c r="D863" s="20" t="s">
        <v>28</v>
      </c>
      <c r="E863" s="20" t="s">
        <v>24</v>
      </c>
      <c r="F863" s="20">
        <v>4623.8100000000004</v>
      </c>
      <c r="G863" s="11">
        <f>VLOOKUP(A863,'Operational Data'!$A$2:$E$201,3,FALSE)</f>
        <v>17162</v>
      </c>
      <c r="H863" s="11">
        <f>VLOOKUP(A863,'Operational Data'!$A$2:$E$201,4,FALSE)</f>
        <v>5079.95</v>
      </c>
      <c r="I863" s="11">
        <f>VLOOKUP(A863,'Operational Data'!$A$2:$E$201,5,FALSE)</f>
        <v>19.239999999999998</v>
      </c>
      <c r="J863" s="21">
        <f t="shared" si="13"/>
        <v>0.26942139610767979</v>
      </c>
    </row>
    <row r="864" spans="1:10" ht="30" x14ac:dyDescent="0.25">
      <c r="A864" s="20" t="s">
        <v>140</v>
      </c>
      <c r="B864" s="20" t="s">
        <v>17</v>
      </c>
      <c r="C864" s="20" t="s">
        <v>13</v>
      </c>
      <c r="D864" s="20" t="s">
        <v>28</v>
      </c>
      <c r="E864" s="20" t="s">
        <v>15</v>
      </c>
      <c r="F864" s="20">
        <v>3591.86</v>
      </c>
      <c r="G864" s="11">
        <f>VLOOKUP(A864,'Operational Data'!$A$2:$E$201,3,FALSE)</f>
        <v>88308</v>
      </c>
      <c r="H864" s="11">
        <f>VLOOKUP(A864,'Operational Data'!$A$2:$E$201,4,FALSE)</f>
        <v>7802.07</v>
      </c>
      <c r="I864" s="11">
        <f>VLOOKUP(A864,'Operational Data'!$A$2:$E$201,5,FALSE)</f>
        <v>36.130000000000003</v>
      </c>
      <c r="J864" s="21">
        <f t="shared" si="13"/>
        <v>4.0674231100240071E-2</v>
      </c>
    </row>
    <row r="865" spans="1:10" x14ac:dyDescent="0.25">
      <c r="A865" s="20" t="s">
        <v>128</v>
      </c>
      <c r="B865" s="20" t="s">
        <v>12</v>
      </c>
      <c r="C865" s="20" t="s">
        <v>8</v>
      </c>
      <c r="D865" s="20" t="s">
        <v>9</v>
      </c>
      <c r="E865" s="20" t="s">
        <v>15</v>
      </c>
      <c r="F865" s="20">
        <v>2370.4460279999998</v>
      </c>
      <c r="G865" s="11">
        <f>VLOOKUP(A865,'Operational Data'!$A$2:$E$201,3,FALSE)</f>
        <v>29406</v>
      </c>
      <c r="H865" s="11">
        <f>VLOOKUP(A865,'Operational Data'!$A$2:$E$201,4,FALSE)</f>
        <v>5281.69</v>
      </c>
      <c r="I865" s="11">
        <f>VLOOKUP(A865,'Operational Data'!$A$2:$E$201,5,FALSE)</f>
        <v>27.01</v>
      </c>
      <c r="J865" s="21">
        <f t="shared" si="13"/>
        <v>8.0610964701081408E-2</v>
      </c>
    </row>
    <row r="866" spans="1:10" ht="30" x14ac:dyDescent="0.25">
      <c r="A866" s="20" t="s">
        <v>76</v>
      </c>
      <c r="B866" s="20" t="s">
        <v>17</v>
      </c>
      <c r="C866" s="20" t="s">
        <v>34</v>
      </c>
      <c r="D866" s="20" t="s">
        <v>9</v>
      </c>
      <c r="E866" s="20" t="s">
        <v>10</v>
      </c>
      <c r="F866" s="20">
        <v>3703.0568629999998</v>
      </c>
      <c r="G866" s="11">
        <f>VLOOKUP(A866,'Operational Data'!$A$2:$E$201,3,FALSE)</f>
        <v>59617</v>
      </c>
      <c r="H866" s="11">
        <f>VLOOKUP(A866,'Operational Data'!$A$2:$E$201,4,FALSE)</f>
        <v>5000.95</v>
      </c>
      <c r="I866" s="11">
        <f>VLOOKUP(A866,'Operational Data'!$A$2:$E$201,5,FALSE)</f>
        <v>80.36</v>
      </c>
      <c r="J866" s="21">
        <f t="shared" si="13"/>
        <v>6.2114109448647196E-2</v>
      </c>
    </row>
    <row r="867" spans="1:10" x14ac:dyDescent="0.25">
      <c r="A867" s="20" t="s">
        <v>6</v>
      </c>
      <c r="B867" s="20" t="s">
        <v>7</v>
      </c>
      <c r="C867" s="20" t="s">
        <v>34</v>
      </c>
      <c r="D867" s="20" t="s">
        <v>14</v>
      </c>
      <c r="E867" s="20" t="s">
        <v>15</v>
      </c>
      <c r="F867" s="20">
        <v>2135.3200000000002</v>
      </c>
      <c r="G867" s="11">
        <f>VLOOKUP(A867,'Operational Data'!$A$2:$E$201,3,FALSE)</f>
        <v>77330</v>
      </c>
      <c r="H867" s="11">
        <f>VLOOKUP(A867,'Operational Data'!$A$2:$E$201,4,FALSE)</f>
        <v>6936.58</v>
      </c>
      <c r="I867" s="11">
        <f>VLOOKUP(A867,'Operational Data'!$A$2:$E$201,5,FALSE)</f>
        <v>82.3</v>
      </c>
      <c r="J867" s="21">
        <f t="shared" si="13"/>
        <v>2.761308677098151E-2</v>
      </c>
    </row>
    <row r="868" spans="1:10" x14ac:dyDescent="0.25">
      <c r="A868" s="20" t="s">
        <v>179</v>
      </c>
      <c r="B868" s="20" t="s">
        <v>7</v>
      </c>
      <c r="C868" s="20" t="s">
        <v>23</v>
      </c>
      <c r="D868" s="20" t="s">
        <v>9</v>
      </c>
      <c r="E868" s="20" t="s">
        <v>15</v>
      </c>
      <c r="F868" s="20">
        <v>4016.4773869999999</v>
      </c>
      <c r="G868" s="11">
        <f>VLOOKUP(A868,'Operational Data'!$A$2:$E$201,3,FALSE)</f>
        <v>94393</v>
      </c>
      <c r="H868" s="11">
        <f>VLOOKUP(A868,'Operational Data'!$A$2:$E$201,4,FALSE)</f>
        <v>6691.7</v>
      </c>
      <c r="I868" s="11">
        <f>VLOOKUP(A868,'Operational Data'!$A$2:$E$201,5,FALSE)</f>
        <v>74.790000000000006</v>
      </c>
      <c r="J868" s="21">
        <f t="shared" si="13"/>
        <v>4.2550585181104529E-2</v>
      </c>
    </row>
    <row r="869" spans="1:10" x14ac:dyDescent="0.25">
      <c r="A869" s="20" t="s">
        <v>210</v>
      </c>
      <c r="B869" s="20" t="s">
        <v>7</v>
      </c>
      <c r="C869" s="20" t="s">
        <v>8</v>
      </c>
      <c r="D869" s="20" t="s">
        <v>28</v>
      </c>
      <c r="E869" s="20" t="s">
        <v>24</v>
      </c>
      <c r="F869" s="20">
        <v>2536.5</v>
      </c>
      <c r="G869" s="11">
        <f>VLOOKUP(A869,'Operational Data'!$A$2:$E$201,3,FALSE)</f>
        <v>65666</v>
      </c>
      <c r="H869" s="11">
        <f>VLOOKUP(A869,'Operational Data'!$A$2:$E$201,4,FALSE)</f>
        <v>7269.98</v>
      </c>
      <c r="I869" s="11">
        <f>VLOOKUP(A869,'Operational Data'!$A$2:$E$201,5,FALSE)</f>
        <v>75.62</v>
      </c>
      <c r="J869" s="21">
        <f t="shared" si="13"/>
        <v>3.8627295708585876E-2</v>
      </c>
    </row>
    <row r="870" spans="1:10" x14ac:dyDescent="0.25">
      <c r="A870" s="20" t="s">
        <v>88</v>
      </c>
      <c r="B870" s="20" t="s">
        <v>7</v>
      </c>
      <c r="C870" s="20" t="s">
        <v>13</v>
      </c>
      <c r="D870" s="20" t="s">
        <v>14</v>
      </c>
      <c r="E870" s="20" t="s">
        <v>15</v>
      </c>
      <c r="F870" s="20">
        <v>4254.34</v>
      </c>
      <c r="G870" s="11">
        <f>VLOOKUP(A870,'Operational Data'!$A$2:$E$201,3,FALSE)</f>
        <v>44825</v>
      </c>
      <c r="H870" s="11">
        <f>VLOOKUP(A870,'Operational Data'!$A$2:$E$201,4,FALSE)</f>
        <v>6023.03</v>
      </c>
      <c r="I870" s="11">
        <f>VLOOKUP(A870,'Operational Data'!$A$2:$E$201,5,FALSE)</f>
        <v>27.2</v>
      </c>
      <c r="J870" s="21">
        <f t="shared" si="13"/>
        <v>9.4909983268265483E-2</v>
      </c>
    </row>
    <row r="871" spans="1:10" ht="30" x14ac:dyDescent="0.25">
      <c r="A871" s="20" t="s">
        <v>82</v>
      </c>
      <c r="B871" s="20" t="s">
        <v>17</v>
      </c>
      <c r="C871" s="20" t="s">
        <v>34</v>
      </c>
      <c r="D871" s="20" t="s">
        <v>14</v>
      </c>
      <c r="E871" s="20" t="s">
        <v>15</v>
      </c>
      <c r="F871" s="20">
        <v>1897.31</v>
      </c>
      <c r="G871" s="11">
        <f>VLOOKUP(A871,'Operational Data'!$A$2:$E$201,3,FALSE)</f>
        <v>93409</v>
      </c>
      <c r="H871" s="11">
        <f>VLOOKUP(A871,'Operational Data'!$A$2:$E$201,4,FALSE)</f>
        <v>2375.83</v>
      </c>
      <c r="I871" s="11">
        <f>VLOOKUP(A871,'Operational Data'!$A$2:$E$201,5,FALSE)</f>
        <v>5.83</v>
      </c>
      <c r="J871" s="21">
        <f t="shared" si="13"/>
        <v>2.0311854318106393E-2</v>
      </c>
    </row>
    <row r="872" spans="1:10" ht="30" x14ac:dyDescent="0.25">
      <c r="A872" s="20" t="s">
        <v>82</v>
      </c>
      <c r="B872" s="20" t="s">
        <v>17</v>
      </c>
      <c r="C872" s="20" t="s">
        <v>8</v>
      </c>
      <c r="D872" s="20" t="s">
        <v>14</v>
      </c>
      <c r="E872" s="20" t="s">
        <v>15</v>
      </c>
      <c r="F872" s="20">
        <v>4286.67</v>
      </c>
      <c r="G872" s="11">
        <f>VLOOKUP(A872,'Operational Data'!$A$2:$E$201,3,FALSE)</f>
        <v>93409</v>
      </c>
      <c r="H872" s="11">
        <f>VLOOKUP(A872,'Operational Data'!$A$2:$E$201,4,FALSE)</f>
        <v>2375.83</v>
      </c>
      <c r="I872" s="11">
        <f>VLOOKUP(A872,'Operational Data'!$A$2:$E$201,5,FALSE)</f>
        <v>5.83</v>
      </c>
      <c r="J872" s="21">
        <f t="shared" si="13"/>
        <v>4.5891402327398863E-2</v>
      </c>
    </row>
    <row r="873" spans="1:10" ht="30" x14ac:dyDescent="0.25">
      <c r="A873" s="20" t="s">
        <v>83</v>
      </c>
      <c r="B873" s="20" t="s">
        <v>17</v>
      </c>
      <c r="C873" s="20" t="s">
        <v>8</v>
      </c>
      <c r="D873" s="20" t="s">
        <v>28</v>
      </c>
      <c r="E873" s="20" t="s">
        <v>15</v>
      </c>
      <c r="F873" s="20">
        <v>2709.88</v>
      </c>
      <c r="G873" s="11">
        <f>VLOOKUP(A873,'Operational Data'!$A$2:$E$201,3,FALSE)</f>
        <v>30934</v>
      </c>
      <c r="H873" s="11">
        <f>VLOOKUP(A873,'Operational Data'!$A$2:$E$201,4,FALSE)</f>
        <v>4175.6499999999996</v>
      </c>
      <c r="I873" s="11">
        <f>VLOOKUP(A873,'Operational Data'!$A$2:$E$201,5,FALSE)</f>
        <v>77.290000000000006</v>
      </c>
      <c r="J873" s="21">
        <f t="shared" si="13"/>
        <v>8.7601991336393611E-2</v>
      </c>
    </row>
    <row r="874" spans="1:10" x14ac:dyDescent="0.25">
      <c r="A874" s="20" t="s">
        <v>91</v>
      </c>
      <c r="B874" s="20" t="s">
        <v>30</v>
      </c>
      <c r="C874" s="20" t="s">
        <v>13</v>
      </c>
      <c r="D874" s="20" t="s">
        <v>28</v>
      </c>
      <c r="E874" s="20" t="s">
        <v>15</v>
      </c>
      <c r="F874" s="20">
        <v>4482.51</v>
      </c>
      <c r="G874" s="11">
        <f>VLOOKUP(A874,'Operational Data'!$A$2:$E$201,3,FALSE)</f>
        <v>20207</v>
      </c>
      <c r="H874" s="11">
        <f>VLOOKUP(A874,'Operational Data'!$A$2:$E$201,4,FALSE)</f>
        <v>5369.46</v>
      </c>
      <c r="I874" s="11">
        <f>VLOOKUP(A874,'Operational Data'!$A$2:$E$201,5,FALSE)</f>
        <v>57.51</v>
      </c>
      <c r="J874" s="21">
        <f t="shared" si="13"/>
        <v>0.22182956401247095</v>
      </c>
    </row>
    <row r="875" spans="1:10" x14ac:dyDescent="0.25">
      <c r="A875" s="20" t="s">
        <v>62</v>
      </c>
      <c r="B875" s="20" t="s">
        <v>30</v>
      </c>
      <c r="C875" s="20" t="s">
        <v>34</v>
      </c>
      <c r="D875" s="20" t="s">
        <v>28</v>
      </c>
      <c r="E875" s="20" t="s">
        <v>24</v>
      </c>
      <c r="F875" s="20">
        <v>4156</v>
      </c>
      <c r="G875" s="11">
        <f>VLOOKUP(A875,'Operational Data'!$A$2:$E$201,3,FALSE)</f>
        <v>22309</v>
      </c>
      <c r="H875" s="11">
        <f>VLOOKUP(A875,'Operational Data'!$A$2:$E$201,4,FALSE)</f>
        <v>3656.29</v>
      </c>
      <c r="I875" s="11">
        <f>VLOOKUP(A875,'Operational Data'!$A$2:$E$201,5,FALSE)</f>
        <v>75.25</v>
      </c>
      <c r="J875" s="21">
        <f t="shared" si="13"/>
        <v>0.1862925276794119</v>
      </c>
    </row>
    <row r="876" spans="1:10" x14ac:dyDescent="0.25">
      <c r="A876" s="20" t="s">
        <v>41</v>
      </c>
      <c r="B876" s="20" t="s">
        <v>30</v>
      </c>
      <c r="C876" s="20" t="s">
        <v>34</v>
      </c>
      <c r="D876" s="20" t="s">
        <v>9</v>
      </c>
      <c r="E876" s="20" t="s">
        <v>10</v>
      </c>
      <c r="F876" s="20">
        <v>2731.8927560000002</v>
      </c>
      <c r="G876" s="11">
        <f>VLOOKUP(A876,'Operational Data'!$A$2:$E$201,3,FALSE)</f>
        <v>61743</v>
      </c>
      <c r="H876" s="11">
        <f>VLOOKUP(A876,'Operational Data'!$A$2:$E$201,4,FALSE)</f>
        <v>7426.75</v>
      </c>
      <c r="I876" s="11">
        <f>VLOOKUP(A876,'Operational Data'!$A$2:$E$201,5,FALSE)</f>
        <v>26.39</v>
      </c>
      <c r="J876" s="21">
        <f t="shared" si="13"/>
        <v>4.4246193997700148E-2</v>
      </c>
    </row>
    <row r="877" spans="1:10" x14ac:dyDescent="0.25">
      <c r="A877" s="20" t="s">
        <v>180</v>
      </c>
      <c r="B877" s="20" t="s">
        <v>30</v>
      </c>
      <c r="C877" s="20" t="s">
        <v>8</v>
      </c>
      <c r="D877" s="20" t="s">
        <v>9</v>
      </c>
      <c r="E877" s="20" t="s">
        <v>24</v>
      </c>
      <c r="F877" s="20">
        <v>84.4</v>
      </c>
      <c r="G877" s="11">
        <f>VLOOKUP(A877,'Operational Data'!$A$2:$E$201,3,FALSE)</f>
        <v>72846</v>
      </c>
      <c r="H877" s="11">
        <f>VLOOKUP(A877,'Operational Data'!$A$2:$E$201,4,FALSE)</f>
        <v>5169.53</v>
      </c>
      <c r="I877" s="11">
        <f>VLOOKUP(A877,'Operational Data'!$A$2:$E$201,5,FALSE)</f>
        <v>76.709999999999994</v>
      </c>
      <c r="J877" s="21">
        <f t="shared" si="13"/>
        <v>1.1586085715070149E-3</v>
      </c>
    </row>
    <row r="878" spans="1:10" x14ac:dyDescent="0.25">
      <c r="A878" s="20" t="s">
        <v>166</v>
      </c>
      <c r="B878" s="20" t="s">
        <v>7</v>
      </c>
      <c r="C878" s="20" t="s">
        <v>34</v>
      </c>
      <c r="D878" s="20" t="s">
        <v>14</v>
      </c>
      <c r="E878" s="20" t="s">
        <v>15</v>
      </c>
      <c r="F878" s="20">
        <v>84.55</v>
      </c>
      <c r="G878" s="11">
        <f>VLOOKUP(A878,'Operational Data'!$A$2:$E$201,3,FALSE)</f>
        <v>34318</v>
      </c>
      <c r="H878" s="11">
        <f>VLOOKUP(A878,'Operational Data'!$A$2:$E$201,4,FALSE)</f>
        <v>675.67</v>
      </c>
      <c r="I878" s="11">
        <f>VLOOKUP(A878,'Operational Data'!$A$2:$E$201,5,FALSE)</f>
        <v>41.05</v>
      </c>
      <c r="J878" s="21">
        <f t="shared" si="13"/>
        <v>2.4637216621015211E-3</v>
      </c>
    </row>
    <row r="879" spans="1:10" ht="30" x14ac:dyDescent="0.25">
      <c r="A879" s="20" t="s">
        <v>129</v>
      </c>
      <c r="B879" s="20" t="s">
        <v>17</v>
      </c>
      <c r="C879" s="20" t="s">
        <v>23</v>
      </c>
      <c r="D879" s="20" t="s">
        <v>14</v>
      </c>
      <c r="E879" s="20" t="s">
        <v>10</v>
      </c>
      <c r="F879" s="20">
        <v>3865.97</v>
      </c>
      <c r="G879" s="11">
        <f>VLOOKUP(A879,'Operational Data'!$A$2:$E$201,3,FALSE)</f>
        <v>95292</v>
      </c>
      <c r="H879" s="11">
        <f>VLOOKUP(A879,'Operational Data'!$A$2:$E$201,4,FALSE)</f>
        <v>697.47</v>
      </c>
      <c r="I879" s="11">
        <f>VLOOKUP(A879,'Operational Data'!$A$2:$E$201,5,FALSE)</f>
        <v>88.35</v>
      </c>
      <c r="J879" s="21">
        <f t="shared" si="13"/>
        <v>4.056972253704403E-2</v>
      </c>
    </row>
    <row r="880" spans="1:10" x14ac:dyDescent="0.25">
      <c r="A880" s="20" t="s">
        <v>70</v>
      </c>
      <c r="B880" s="20" t="s">
        <v>19</v>
      </c>
      <c r="C880" s="20" t="s">
        <v>13</v>
      </c>
      <c r="D880" s="20" t="s">
        <v>28</v>
      </c>
      <c r="E880" s="20" t="s">
        <v>24</v>
      </c>
      <c r="F880" s="20">
        <v>4994.79</v>
      </c>
      <c r="G880" s="11">
        <f>VLOOKUP(A880,'Operational Data'!$A$2:$E$201,3,FALSE)</f>
        <v>42485</v>
      </c>
      <c r="H880" s="11">
        <f>VLOOKUP(A880,'Operational Data'!$A$2:$E$201,4,FALSE)</f>
        <v>4755.75</v>
      </c>
      <c r="I880" s="11">
        <f>VLOOKUP(A880,'Operational Data'!$A$2:$E$201,5,FALSE)</f>
        <v>10.19</v>
      </c>
      <c r="J880" s="21">
        <f t="shared" si="13"/>
        <v>0.11756596445804401</v>
      </c>
    </row>
    <row r="881" spans="1:10" x14ac:dyDescent="0.25">
      <c r="A881" s="20" t="s">
        <v>65</v>
      </c>
      <c r="B881" s="20" t="s">
        <v>30</v>
      </c>
      <c r="C881" s="20" t="s">
        <v>8</v>
      </c>
      <c r="D881" s="20" t="s">
        <v>9</v>
      </c>
      <c r="E881" s="20" t="s">
        <v>24</v>
      </c>
      <c r="F881" s="20">
        <v>4341.6706560000002</v>
      </c>
      <c r="G881" s="11">
        <f>VLOOKUP(A881,'Operational Data'!$A$2:$E$201,3,FALSE)</f>
        <v>99026</v>
      </c>
      <c r="H881" s="11">
        <f>VLOOKUP(A881,'Operational Data'!$A$2:$E$201,4,FALSE)</f>
        <v>5453.2</v>
      </c>
      <c r="I881" s="11">
        <f>VLOOKUP(A881,'Operational Data'!$A$2:$E$201,5,FALSE)</f>
        <v>57.49</v>
      </c>
      <c r="J881" s="21">
        <f t="shared" si="13"/>
        <v>4.3843744632722718E-2</v>
      </c>
    </row>
    <row r="882" spans="1:10" x14ac:dyDescent="0.25">
      <c r="A882" s="20" t="s">
        <v>165</v>
      </c>
      <c r="B882" s="20" t="s">
        <v>7</v>
      </c>
      <c r="C882" s="20" t="s">
        <v>34</v>
      </c>
      <c r="D882" s="20" t="s">
        <v>28</v>
      </c>
      <c r="E882" s="20" t="s">
        <v>10</v>
      </c>
      <c r="F882" s="20">
        <v>4845.8500000000004</v>
      </c>
      <c r="G882" s="11">
        <f>VLOOKUP(A882,'Operational Data'!$A$2:$E$201,3,FALSE)</f>
        <v>32991</v>
      </c>
      <c r="H882" s="11">
        <f>VLOOKUP(A882,'Operational Data'!$A$2:$E$201,4,FALSE)</f>
        <v>8540.14</v>
      </c>
      <c r="I882" s="11">
        <f>VLOOKUP(A882,'Operational Data'!$A$2:$E$201,5,FALSE)</f>
        <v>37.75</v>
      </c>
      <c r="J882" s="21">
        <f t="shared" si="13"/>
        <v>0.14688399866630295</v>
      </c>
    </row>
    <row r="883" spans="1:10" x14ac:dyDescent="0.25">
      <c r="A883" s="20" t="s">
        <v>22</v>
      </c>
      <c r="B883" s="20" t="s">
        <v>12</v>
      </c>
      <c r="C883" s="20" t="s">
        <v>23</v>
      </c>
      <c r="D883" s="20" t="s">
        <v>14</v>
      </c>
      <c r="E883" s="20" t="s">
        <v>15</v>
      </c>
      <c r="F883" s="20">
        <v>695.8</v>
      </c>
      <c r="G883" s="11">
        <f>VLOOKUP(A883,'Operational Data'!$A$2:$E$201,3,FALSE)</f>
        <v>47484</v>
      </c>
      <c r="H883" s="11">
        <f>VLOOKUP(A883,'Operational Data'!$A$2:$E$201,4,FALSE)</f>
        <v>3396.39</v>
      </c>
      <c r="I883" s="11">
        <f>VLOOKUP(A883,'Operational Data'!$A$2:$E$201,5,FALSE)</f>
        <v>19.510000000000002</v>
      </c>
      <c r="J883" s="21">
        <f t="shared" si="13"/>
        <v>1.465335692022576E-2</v>
      </c>
    </row>
    <row r="884" spans="1:10" ht="30" x14ac:dyDescent="0.25">
      <c r="A884" s="20" t="s">
        <v>131</v>
      </c>
      <c r="B884" s="20" t="s">
        <v>17</v>
      </c>
      <c r="C884" s="20" t="s">
        <v>23</v>
      </c>
      <c r="D884" s="20" t="s">
        <v>9</v>
      </c>
      <c r="E884" s="20" t="s">
        <v>24</v>
      </c>
      <c r="F884" s="20">
        <v>2429.7024150000002</v>
      </c>
      <c r="G884" s="11">
        <f>VLOOKUP(A884,'Operational Data'!$A$2:$E$201,3,FALSE)</f>
        <v>94128</v>
      </c>
      <c r="H884" s="11">
        <f>VLOOKUP(A884,'Operational Data'!$A$2:$E$201,4,FALSE)</f>
        <v>8117.82</v>
      </c>
      <c r="I884" s="11">
        <f>VLOOKUP(A884,'Operational Data'!$A$2:$E$201,5,FALSE)</f>
        <v>73.83</v>
      </c>
      <c r="J884" s="21">
        <f t="shared" si="13"/>
        <v>2.5812748757011731E-2</v>
      </c>
    </row>
    <row r="885" spans="1:10" x14ac:dyDescent="0.25">
      <c r="A885" s="20" t="s">
        <v>84</v>
      </c>
      <c r="B885" s="20" t="s">
        <v>30</v>
      </c>
      <c r="C885" s="20" t="s">
        <v>23</v>
      </c>
      <c r="D885" s="20" t="s">
        <v>28</v>
      </c>
      <c r="E885" s="20" t="s">
        <v>10</v>
      </c>
      <c r="F885" s="20">
        <v>3517.31</v>
      </c>
      <c r="G885" s="11">
        <f>VLOOKUP(A885,'Operational Data'!$A$2:$E$201,3,FALSE)</f>
        <v>85444</v>
      </c>
      <c r="H885" s="11">
        <f>VLOOKUP(A885,'Operational Data'!$A$2:$E$201,4,FALSE)</f>
        <v>852.57</v>
      </c>
      <c r="I885" s="11">
        <f>VLOOKUP(A885,'Operational Data'!$A$2:$E$201,5,FALSE)</f>
        <v>72.650000000000006</v>
      </c>
      <c r="J885" s="21">
        <f t="shared" si="13"/>
        <v>4.1165090585646741E-2</v>
      </c>
    </row>
    <row r="886" spans="1:10" x14ac:dyDescent="0.25">
      <c r="A886" s="20" t="s">
        <v>56</v>
      </c>
      <c r="B886" s="20" t="s">
        <v>19</v>
      </c>
      <c r="C886" s="20" t="s">
        <v>23</v>
      </c>
      <c r="D886" s="20" t="s">
        <v>28</v>
      </c>
      <c r="E886" s="20" t="s">
        <v>10</v>
      </c>
      <c r="F886" s="20">
        <v>2893</v>
      </c>
      <c r="G886" s="11">
        <f>VLOOKUP(A886,'Operational Data'!$A$2:$E$201,3,FALSE)</f>
        <v>43747</v>
      </c>
      <c r="H886" s="11">
        <f>VLOOKUP(A886,'Operational Data'!$A$2:$E$201,4,FALSE)</f>
        <v>3453.48</v>
      </c>
      <c r="I886" s="11">
        <f>VLOOKUP(A886,'Operational Data'!$A$2:$E$201,5,FALSE)</f>
        <v>98.78</v>
      </c>
      <c r="J886" s="21">
        <f t="shared" si="13"/>
        <v>6.6130248931355287E-2</v>
      </c>
    </row>
    <row r="887" spans="1:10" x14ac:dyDescent="0.25">
      <c r="A887" s="20" t="s">
        <v>213</v>
      </c>
      <c r="B887" s="20" t="s">
        <v>12</v>
      </c>
      <c r="C887" s="20" t="s">
        <v>13</v>
      </c>
      <c r="D887" s="20" t="s">
        <v>14</v>
      </c>
      <c r="E887" s="20" t="s">
        <v>10</v>
      </c>
      <c r="F887" s="20">
        <v>4115.76</v>
      </c>
      <c r="G887" s="11">
        <f>VLOOKUP(A887,'Operational Data'!$A$2:$E$201,3,FALSE)</f>
        <v>58622</v>
      </c>
      <c r="H887" s="11">
        <f>VLOOKUP(A887,'Operational Data'!$A$2:$E$201,4,FALSE)</f>
        <v>7795.36</v>
      </c>
      <c r="I887" s="11">
        <f>VLOOKUP(A887,'Operational Data'!$A$2:$E$201,5,FALSE)</f>
        <v>59.81</v>
      </c>
      <c r="J887" s="21">
        <f t="shared" si="13"/>
        <v>7.0208454163965747E-2</v>
      </c>
    </row>
    <row r="888" spans="1:10" x14ac:dyDescent="0.25">
      <c r="A888" s="20" t="s">
        <v>6</v>
      </c>
      <c r="B888" s="20" t="s">
        <v>7</v>
      </c>
      <c r="C888" s="20" t="s">
        <v>34</v>
      </c>
      <c r="D888" s="20" t="s">
        <v>28</v>
      </c>
      <c r="E888" s="20" t="s">
        <v>15</v>
      </c>
      <c r="F888" s="20">
        <v>1917.42</v>
      </c>
      <c r="G888" s="11">
        <f>VLOOKUP(A888,'Operational Data'!$A$2:$E$201,3,FALSE)</f>
        <v>77330</v>
      </c>
      <c r="H888" s="11">
        <f>VLOOKUP(A888,'Operational Data'!$A$2:$E$201,4,FALSE)</f>
        <v>6936.58</v>
      </c>
      <c r="I888" s="11">
        <f>VLOOKUP(A888,'Operational Data'!$A$2:$E$201,5,FALSE)</f>
        <v>82.3</v>
      </c>
      <c r="J888" s="21">
        <f t="shared" si="13"/>
        <v>2.479529290055606E-2</v>
      </c>
    </row>
    <row r="889" spans="1:10" ht="30" x14ac:dyDescent="0.25">
      <c r="A889" s="20" t="s">
        <v>127</v>
      </c>
      <c r="B889" s="20" t="s">
        <v>17</v>
      </c>
      <c r="C889" s="20" t="s">
        <v>34</v>
      </c>
      <c r="D889" s="20" t="s">
        <v>28</v>
      </c>
      <c r="E889" s="20" t="s">
        <v>10</v>
      </c>
      <c r="F889" s="20">
        <v>1203.1300000000001</v>
      </c>
      <c r="G889" s="11">
        <f>VLOOKUP(A889,'Operational Data'!$A$2:$E$201,3,FALSE)</f>
        <v>17416</v>
      </c>
      <c r="H889" s="11">
        <f>VLOOKUP(A889,'Operational Data'!$A$2:$E$201,4,FALSE)</f>
        <v>812.06</v>
      </c>
      <c r="I889" s="11">
        <f>VLOOKUP(A889,'Operational Data'!$A$2:$E$201,5,FALSE)</f>
        <v>5.7</v>
      </c>
      <c r="J889" s="21">
        <f t="shared" si="13"/>
        <v>6.9081878732200286E-2</v>
      </c>
    </row>
    <row r="890" spans="1:10" x14ac:dyDescent="0.25">
      <c r="A890" s="20" t="s">
        <v>123</v>
      </c>
      <c r="B890" s="20" t="s">
        <v>30</v>
      </c>
      <c r="C890" s="20" t="s">
        <v>34</v>
      </c>
      <c r="D890" s="20" t="s">
        <v>14</v>
      </c>
      <c r="E890" s="20" t="s">
        <v>10</v>
      </c>
      <c r="F890" s="20">
        <v>3085.38</v>
      </c>
      <c r="G890" s="11">
        <f>VLOOKUP(A890,'Operational Data'!$A$2:$E$201,3,FALSE)</f>
        <v>73977</v>
      </c>
      <c r="H890" s="11">
        <f>VLOOKUP(A890,'Operational Data'!$A$2:$E$201,4,FALSE)</f>
        <v>1646.75</v>
      </c>
      <c r="I890" s="11">
        <f>VLOOKUP(A890,'Operational Data'!$A$2:$E$201,5,FALSE)</f>
        <v>43.77</v>
      </c>
      <c r="J890" s="21">
        <f t="shared" si="13"/>
        <v>4.1707287400137884E-2</v>
      </c>
    </row>
    <row r="891" spans="1:10" x14ac:dyDescent="0.25">
      <c r="A891" s="20" t="s">
        <v>72</v>
      </c>
      <c r="B891" s="20" t="s">
        <v>19</v>
      </c>
      <c r="C891" s="20" t="s">
        <v>34</v>
      </c>
      <c r="D891" s="20" t="s">
        <v>14</v>
      </c>
      <c r="E891" s="20" t="s">
        <v>24</v>
      </c>
      <c r="F891" s="20">
        <v>1942.8</v>
      </c>
      <c r="G891" s="11">
        <f>VLOOKUP(A891,'Operational Data'!$A$2:$E$201,3,FALSE)</f>
        <v>29318</v>
      </c>
      <c r="H891" s="11">
        <f>VLOOKUP(A891,'Operational Data'!$A$2:$E$201,4,FALSE)</f>
        <v>9860.6200000000008</v>
      </c>
      <c r="I891" s="11">
        <f>VLOOKUP(A891,'Operational Data'!$A$2:$E$201,5,FALSE)</f>
        <v>14.58</v>
      </c>
      <c r="J891" s="21">
        <f t="shared" si="13"/>
        <v>6.6266457466402889E-2</v>
      </c>
    </row>
    <row r="892" spans="1:10" x14ac:dyDescent="0.25">
      <c r="A892" s="20" t="s">
        <v>124</v>
      </c>
      <c r="B892" s="20" t="s">
        <v>12</v>
      </c>
      <c r="C892" s="20" t="s">
        <v>13</v>
      </c>
      <c r="D892" s="20" t="s">
        <v>14</v>
      </c>
      <c r="E892" s="20" t="s">
        <v>10</v>
      </c>
      <c r="F892" s="20">
        <v>3632.78</v>
      </c>
      <c r="G892" s="11">
        <f>VLOOKUP(A892,'Operational Data'!$A$2:$E$201,3,FALSE)</f>
        <v>47491</v>
      </c>
      <c r="H892" s="11">
        <f>VLOOKUP(A892,'Operational Data'!$A$2:$E$201,4,FALSE)</f>
        <v>5781.05</v>
      </c>
      <c r="I892" s="11">
        <f>VLOOKUP(A892,'Operational Data'!$A$2:$E$201,5,FALSE)</f>
        <v>92.18</v>
      </c>
      <c r="J892" s="21">
        <f t="shared" si="13"/>
        <v>7.6494072561116844E-2</v>
      </c>
    </row>
    <row r="893" spans="1:10" x14ac:dyDescent="0.25">
      <c r="A893" s="20" t="s">
        <v>54</v>
      </c>
      <c r="B893" s="20" t="s">
        <v>12</v>
      </c>
      <c r="C893" s="20" t="s">
        <v>23</v>
      </c>
      <c r="D893" s="20" t="s">
        <v>14</v>
      </c>
      <c r="E893" s="20" t="s">
        <v>15</v>
      </c>
      <c r="F893" s="20">
        <v>4435.1000000000004</v>
      </c>
      <c r="G893" s="11">
        <f>VLOOKUP(A893,'Operational Data'!$A$2:$E$201,3,FALSE)</f>
        <v>58111</v>
      </c>
      <c r="H893" s="11">
        <f>VLOOKUP(A893,'Operational Data'!$A$2:$E$201,4,FALSE)</f>
        <v>4610.8999999999996</v>
      </c>
      <c r="I893" s="11">
        <f>VLOOKUP(A893,'Operational Data'!$A$2:$E$201,5,FALSE)</f>
        <v>21.53</v>
      </c>
      <c r="J893" s="21">
        <f t="shared" si="13"/>
        <v>7.6321178434375594E-2</v>
      </c>
    </row>
    <row r="894" spans="1:10" x14ac:dyDescent="0.25">
      <c r="A894" s="20" t="s">
        <v>201</v>
      </c>
      <c r="B894" s="20" t="s">
        <v>12</v>
      </c>
      <c r="C894" s="20" t="s">
        <v>13</v>
      </c>
      <c r="D894" s="20" t="s">
        <v>14</v>
      </c>
      <c r="E894" s="20" t="s">
        <v>24</v>
      </c>
      <c r="F894" s="20">
        <v>3104.04</v>
      </c>
      <c r="G894" s="11">
        <f>VLOOKUP(A894,'Operational Data'!$A$2:$E$201,3,FALSE)</f>
        <v>58439</v>
      </c>
      <c r="H894" s="11">
        <f>VLOOKUP(A894,'Operational Data'!$A$2:$E$201,4,FALSE)</f>
        <v>5817.93</v>
      </c>
      <c r="I894" s="11">
        <f>VLOOKUP(A894,'Operational Data'!$A$2:$E$201,5,FALSE)</f>
        <v>63.77</v>
      </c>
      <c r="J894" s="21">
        <f t="shared" si="13"/>
        <v>5.3115898629339992E-2</v>
      </c>
    </row>
    <row r="895" spans="1:10" x14ac:dyDescent="0.25">
      <c r="A895" s="20" t="s">
        <v>162</v>
      </c>
      <c r="B895" s="20" t="s">
        <v>30</v>
      </c>
      <c r="C895" s="20" t="s">
        <v>13</v>
      </c>
      <c r="D895" s="20" t="s">
        <v>14</v>
      </c>
      <c r="E895" s="20" t="s">
        <v>24</v>
      </c>
      <c r="F895" s="20">
        <v>1562.42</v>
      </c>
      <c r="G895" s="11">
        <f>VLOOKUP(A895,'Operational Data'!$A$2:$E$201,3,FALSE)</f>
        <v>94347</v>
      </c>
      <c r="H895" s="11">
        <f>VLOOKUP(A895,'Operational Data'!$A$2:$E$201,4,FALSE)</f>
        <v>2272.58</v>
      </c>
      <c r="I895" s="11">
        <f>VLOOKUP(A895,'Operational Data'!$A$2:$E$201,5,FALSE)</f>
        <v>34.75</v>
      </c>
      <c r="J895" s="21">
        <f t="shared" si="13"/>
        <v>1.6560356980084158E-2</v>
      </c>
    </row>
    <row r="896" spans="1:10" ht="30" x14ac:dyDescent="0.25">
      <c r="A896" s="20" t="s">
        <v>143</v>
      </c>
      <c r="B896" s="20" t="s">
        <v>17</v>
      </c>
      <c r="C896" s="20" t="s">
        <v>23</v>
      </c>
      <c r="D896" s="20" t="s">
        <v>9</v>
      </c>
      <c r="E896" s="20" t="s">
        <v>15</v>
      </c>
      <c r="F896" s="20">
        <v>3968.0176780000002</v>
      </c>
      <c r="G896" s="11">
        <f>VLOOKUP(A896,'Operational Data'!$A$2:$E$201,3,FALSE)</f>
        <v>94704</v>
      </c>
      <c r="H896" s="11">
        <f>VLOOKUP(A896,'Operational Data'!$A$2:$E$201,4,FALSE)</f>
        <v>6632.95</v>
      </c>
      <c r="I896" s="11">
        <f>VLOOKUP(A896,'Operational Data'!$A$2:$E$201,5,FALSE)</f>
        <v>14.76</v>
      </c>
      <c r="J896" s="21">
        <f t="shared" si="13"/>
        <v>4.189915608633215E-2</v>
      </c>
    </row>
    <row r="897" spans="1:10" x14ac:dyDescent="0.25">
      <c r="A897" s="20" t="s">
        <v>98</v>
      </c>
      <c r="B897" s="20" t="s">
        <v>19</v>
      </c>
      <c r="C897" s="20" t="s">
        <v>23</v>
      </c>
      <c r="D897" s="20" t="s">
        <v>28</v>
      </c>
      <c r="E897" s="20" t="s">
        <v>10</v>
      </c>
      <c r="F897" s="20">
        <v>3813.14</v>
      </c>
      <c r="G897" s="11">
        <f>VLOOKUP(A897,'Operational Data'!$A$2:$E$201,3,FALSE)</f>
        <v>26170</v>
      </c>
      <c r="H897" s="11">
        <f>VLOOKUP(A897,'Operational Data'!$A$2:$E$201,4,FALSE)</f>
        <v>8057.54</v>
      </c>
      <c r="I897" s="11">
        <f>VLOOKUP(A897,'Operational Data'!$A$2:$E$201,5,FALSE)</f>
        <v>63.71</v>
      </c>
      <c r="J897" s="21">
        <f t="shared" si="13"/>
        <v>0.14570653419946503</v>
      </c>
    </row>
    <row r="898" spans="1:10" x14ac:dyDescent="0.25">
      <c r="A898" s="20" t="s">
        <v>189</v>
      </c>
      <c r="B898" s="20" t="s">
        <v>19</v>
      </c>
      <c r="C898" s="20" t="s">
        <v>8</v>
      </c>
      <c r="D898" s="20" t="s">
        <v>14</v>
      </c>
      <c r="E898" s="20" t="s">
        <v>10</v>
      </c>
      <c r="F898" s="20">
        <v>1512.54</v>
      </c>
      <c r="G898" s="11">
        <f>VLOOKUP(A898,'Operational Data'!$A$2:$E$201,3,FALSE)</f>
        <v>27681</v>
      </c>
      <c r="H898" s="11">
        <f>VLOOKUP(A898,'Operational Data'!$A$2:$E$201,4,FALSE)</f>
        <v>928.26</v>
      </c>
      <c r="I898" s="11">
        <f>VLOOKUP(A898,'Operational Data'!$A$2:$E$201,5,FALSE)</f>
        <v>44.97</v>
      </c>
      <c r="J898" s="21">
        <f t="shared" si="13"/>
        <v>5.4641812073263248E-2</v>
      </c>
    </row>
    <row r="899" spans="1:10" x14ac:dyDescent="0.25">
      <c r="A899" s="20" t="s">
        <v>74</v>
      </c>
      <c r="B899" s="20" t="s">
        <v>19</v>
      </c>
      <c r="C899" s="20" t="s">
        <v>13</v>
      </c>
      <c r="D899" s="20" t="s">
        <v>9</v>
      </c>
      <c r="E899" s="20" t="s">
        <v>24</v>
      </c>
      <c r="F899" s="20">
        <v>4044.946097</v>
      </c>
      <c r="G899" s="11">
        <f>VLOOKUP(A899,'Operational Data'!$A$2:$E$201,3,FALSE)</f>
        <v>18175</v>
      </c>
      <c r="H899" s="11">
        <f>VLOOKUP(A899,'Operational Data'!$A$2:$E$201,4,FALSE)</f>
        <v>8349.49</v>
      </c>
      <c r="I899" s="11">
        <f>VLOOKUP(A899,'Operational Data'!$A$2:$E$201,5,FALSE)</f>
        <v>39.97</v>
      </c>
      <c r="J899" s="21">
        <f t="shared" ref="J899:J962" si="14">F899/G899</f>
        <v>0.22255549364511693</v>
      </c>
    </row>
    <row r="900" spans="1:10" x14ac:dyDescent="0.25">
      <c r="A900" s="20" t="s">
        <v>200</v>
      </c>
      <c r="B900" s="20" t="s">
        <v>30</v>
      </c>
      <c r="C900" s="20" t="s">
        <v>34</v>
      </c>
      <c r="D900" s="20" t="s">
        <v>14</v>
      </c>
      <c r="E900" s="20" t="s">
        <v>15</v>
      </c>
      <c r="F900" s="20">
        <v>193.32</v>
      </c>
      <c r="G900" s="11">
        <f>VLOOKUP(A900,'Operational Data'!$A$2:$E$201,3,FALSE)</f>
        <v>46863</v>
      </c>
      <c r="H900" s="11">
        <f>VLOOKUP(A900,'Operational Data'!$A$2:$E$201,4,FALSE)</f>
        <v>6762.98</v>
      </c>
      <c r="I900" s="11">
        <f>VLOOKUP(A900,'Operational Data'!$A$2:$E$201,5,FALSE)</f>
        <v>23.45</v>
      </c>
      <c r="J900" s="21">
        <f t="shared" si="14"/>
        <v>4.1252160553101594E-3</v>
      </c>
    </row>
    <row r="901" spans="1:10" x14ac:dyDescent="0.25">
      <c r="A901" s="20" t="s">
        <v>178</v>
      </c>
      <c r="B901" s="20" t="s">
        <v>30</v>
      </c>
      <c r="C901" s="20" t="s">
        <v>23</v>
      </c>
      <c r="D901" s="20" t="s">
        <v>28</v>
      </c>
      <c r="E901" s="20" t="s">
        <v>24</v>
      </c>
      <c r="F901" s="20">
        <v>2881.41</v>
      </c>
      <c r="G901" s="11">
        <f>VLOOKUP(A901,'Operational Data'!$A$2:$E$201,3,FALSE)</f>
        <v>88188</v>
      </c>
      <c r="H901" s="11">
        <f>VLOOKUP(A901,'Operational Data'!$A$2:$E$201,4,FALSE)</f>
        <v>815.86</v>
      </c>
      <c r="I901" s="11">
        <f>VLOOKUP(A901,'Operational Data'!$A$2:$E$201,5,FALSE)</f>
        <v>57.53</v>
      </c>
      <c r="J901" s="21">
        <f t="shared" si="14"/>
        <v>3.2673492992243841E-2</v>
      </c>
    </row>
    <row r="902" spans="1:10" x14ac:dyDescent="0.25">
      <c r="A902" s="20" t="s">
        <v>38</v>
      </c>
      <c r="B902" s="20" t="s">
        <v>30</v>
      </c>
      <c r="C902" s="20" t="s">
        <v>13</v>
      </c>
      <c r="D902" s="20" t="s">
        <v>28</v>
      </c>
      <c r="E902" s="20" t="s">
        <v>15</v>
      </c>
      <c r="F902" s="20">
        <v>1949.55</v>
      </c>
      <c r="G902" s="11">
        <f>VLOOKUP(A902,'Operational Data'!$A$2:$E$201,3,FALSE)</f>
        <v>57215</v>
      </c>
      <c r="H902" s="11">
        <f>VLOOKUP(A902,'Operational Data'!$A$2:$E$201,4,FALSE)</f>
        <v>3227.1</v>
      </c>
      <c r="I902" s="11">
        <f>VLOOKUP(A902,'Operational Data'!$A$2:$E$201,5,FALSE)</f>
        <v>32.909999999999997</v>
      </c>
      <c r="J902" s="21">
        <f t="shared" si="14"/>
        <v>3.4074106440618715E-2</v>
      </c>
    </row>
    <row r="903" spans="1:10" ht="30" x14ac:dyDescent="0.25">
      <c r="A903" s="20" t="s">
        <v>142</v>
      </c>
      <c r="B903" s="20" t="s">
        <v>17</v>
      </c>
      <c r="C903" s="20" t="s">
        <v>8</v>
      </c>
      <c r="D903" s="20" t="s">
        <v>28</v>
      </c>
      <c r="E903" s="20" t="s">
        <v>24</v>
      </c>
      <c r="F903" s="20">
        <v>2729.42</v>
      </c>
      <c r="G903" s="11">
        <f>VLOOKUP(A903,'Operational Data'!$A$2:$E$201,3,FALSE)</f>
        <v>75736</v>
      </c>
      <c r="H903" s="11">
        <f>VLOOKUP(A903,'Operational Data'!$A$2:$E$201,4,FALSE)</f>
        <v>6287.07</v>
      </c>
      <c r="I903" s="11">
        <f>VLOOKUP(A903,'Operational Data'!$A$2:$E$201,5,FALSE)</f>
        <v>63.11</v>
      </c>
      <c r="J903" s="21">
        <f t="shared" si="14"/>
        <v>3.6038607795500159E-2</v>
      </c>
    </row>
    <row r="904" spans="1:10" x14ac:dyDescent="0.25">
      <c r="A904" s="20" t="s">
        <v>150</v>
      </c>
      <c r="B904" s="20" t="s">
        <v>30</v>
      </c>
      <c r="C904" s="20" t="s">
        <v>34</v>
      </c>
      <c r="D904" s="20" t="s">
        <v>14</v>
      </c>
      <c r="E904" s="20" t="s">
        <v>10</v>
      </c>
      <c r="F904" s="20">
        <v>4965.24</v>
      </c>
      <c r="G904" s="11">
        <f>VLOOKUP(A904,'Operational Data'!$A$2:$E$201,3,FALSE)</f>
        <v>98356</v>
      </c>
      <c r="H904" s="11">
        <f>VLOOKUP(A904,'Operational Data'!$A$2:$E$201,4,FALSE)</f>
        <v>6968.69</v>
      </c>
      <c r="I904" s="11">
        <f>VLOOKUP(A904,'Operational Data'!$A$2:$E$201,5,FALSE)</f>
        <v>81.72</v>
      </c>
      <c r="J904" s="21">
        <f t="shared" si="14"/>
        <v>5.0482329496929518E-2</v>
      </c>
    </row>
    <row r="905" spans="1:10" ht="30" x14ac:dyDescent="0.25">
      <c r="A905" s="20" t="s">
        <v>215</v>
      </c>
      <c r="B905" s="20" t="s">
        <v>17</v>
      </c>
      <c r="C905" s="20" t="s">
        <v>34</v>
      </c>
      <c r="D905" s="20" t="s">
        <v>14</v>
      </c>
      <c r="E905" s="20" t="s">
        <v>24</v>
      </c>
      <c r="F905" s="20">
        <v>968.64</v>
      </c>
      <c r="G905" s="11">
        <f>VLOOKUP(A905,'Operational Data'!$A$2:$E$201,3,FALSE)</f>
        <v>72813</v>
      </c>
      <c r="H905" s="11">
        <f>VLOOKUP(A905,'Operational Data'!$A$2:$E$201,4,FALSE)</f>
        <v>8818.16</v>
      </c>
      <c r="I905" s="11">
        <f>VLOOKUP(A905,'Operational Data'!$A$2:$E$201,5,FALSE)</f>
        <v>54.12</v>
      </c>
      <c r="J905" s="21">
        <f t="shared" si="14"/>
        <v>1.3303118948539409E-2</v>
      </c>
    </row>
    <row r="906" spans="1:10" x14ac:dyDescent="0.25">
      <c r="A906" s="20" t="s">
        <v>71</v>
      </c>
      <c r="B906" s="20" t="s">
        <v>7</v>
      </c>
      <c r="C906" s="20" t="s">
        <v>23</v>
      </c>
      <c r="D906" s="20" t="s">
        <v>28</v>
      </c>
      <c r="E906" s="20" t="s">
        <v>10</v>
      </c>
      <c r="F906" s="20">
        <v>2778.34</v>
      </c>
      <c r="G906" s="11">
        <f>VLOOKUP(A906,'Operational Data'!$A$2:$E$201,3,FALSE)</f>
        <v>68018</v>
      </c>
      <c r="H906" s="11">
        <f>VLOOKUP(A906,'Operational Data'!$A$2:$E$201,4,FALSE)</f>
        <v>3523.4</v>
      </c>
      <c r="I906" s="11">
        <f>VLOOKUP(A906,'Operational Data'!$A$2:$E$201,5,FALSE)</f>
        <v>92.26</v>
      </c>
      <c r="J906" s="21">
        <f t="shared" si="14"/>
        <v>4.084712870122615E-2</v>
      </c>
    </row>
    <row r="907" spans="1:10" x14ac:dyDescent="0.25">
      <c r="A907" s="20" t="s">
        <v>88</v>
      </c>
      <c r="B907" s="20" t="s">
        <v>7</v>
      </c>
      <c r="C907" s="20" t="s">
        <v>13</v>
      </c>
      <c r="D907" s="20" t="s">
        <v>28</v>
      </c>
      <c r="E907" s="20" t="s">
        <v>10</v>
      </c>
      <c r="F907" s="20">
        <v>901.71</v>
      </c>
      <c r="G907" s="11">
        <f>VLOOKUP(A907,'Operational Data'!$A$2:$E$201,3,FALSE)</f>
        <v>44825</v>
      </c>
      <c r="H907" s="11">
        <f>VLOOKUP(A907,'Operational Data'!$A$2:$E$201,4,FALSE)</f>
        <v>6023.03</v>
      </c>
      <c r="I907" s="11">
        <f>VLOOKUP(A907,'Operational Data'!$A$2:$E$201,5,FALSE)</f>
        <v>27.2</v>
      </c>
      <c r="J907" s="21">
        <f t="shared" si="14"/>
        <v>2.0116229782487453E-2</v>
      </c>
    </row>
    <row r="908" spans="1:10" x14ac:dyDescent="0.25">
      <c r="A908" s="20" t="s">
        <v>44</v>
      </c>
      <c r="B908" s="20" t="s">
        <v>19</v>
      </c>
      <c r="C908" s="20" t="s">
        <v>34</v>
      </c>
      <c r="D908" s="20" t="s">
        <v>14</v>
      </c>
      <c r="E908" s="20" t="s">
        <v>10</v>
      </c>
      <c r="F908" s="20">
        <v>4031.94</v>
      </c>
      <c r="G908" s="11">
        <f>VLOOKUP(A908,'Operational Data'!$A$2:$E$201,3,FALSE)</f>
        <v>16256</v>
      </c>
      <c r="H908" s="11">
        <f>VLOOKUP(A908,'Operational Data'!$A$2:$E$201,4,FALSE)</f>
        <v>2127.1799999999998</v>
      </c>
      <c r="I908" s="11">
        <f>VLOOKUP(A908,'Operational Data'!$A$2:$E$201,5,FALSE)</f>
        <v>38.94</v>
      </c>
      <c r="J908" s="21">
        <f t="shared" si="14"/>
        <v>0.24802780511811023</v>
      </c>
    </row>
    <row r="909" spans="1:10" x14ac:dyDescent="0.25">
      <c r="A909" s="20" t="s">
        <v>124</v>
      </c>
      <c r="B909" s="20" t="s">
        <v>12</v>
      </c>
      <c r="C909" s="20" t="s">
        <v>8</v>
      </c>
      <c r="D909" s="20" t="s">
        <v>28</v>
      </c>
      <c r="E909" s="20" t="s">
        <v>24</v>
      </c>
      <c r="F909" s="20">
        <v>3868.62</v>
      </c>
      <c r="G909" s="11">
        <f>VLOOKUP(A909,'Operational Data'!$A$2:$E$201,3,FALSE)</f>
        <v>47491</v>
      </c>
      <c r="H909" s="11">
        <f>VLOOKUP(A909,'Operational Data'!$A$2:$E$201,4,FALSE)</f>
        <v>5781.05</v>
      </c>
      <c r="I909" s="11">
        <f>VLOOKUP(A909,'Operational Data'!$A$2:$E$201,5,FALSE)</f>
        <v>92.18</v>
      </c>
      <c r="J909" s="21">
        <f t="shared" si="14"/>
        <v>8.1460066117790733E-2</v>
      </c>
    </row>
    <row r="910" spans="1:10" x14ac:dyDescent="0.25">
      <c r="A910" s="20" t="s">
        <v>135</v>
      </c>
      <c r="B910" s="20" t="s">
        <v>12</v>
      </c>
      <c r="C910" s="20" t="s">
        <v>34</v>
      </c>
      <c r="D910" s="20" t="s">
        <v>14</v>
      </c>
      <c r="E910" s="20" t="s">
        <v>24</v>
      </c>
      <c r="F910" s="20">
        <v>2670.34</v>
      </c>
      <c r="G910" s="11">
        <f>VLOOKUP(A910,'Operational Data'!$A$2:$E$201,3,FALSE)</f>
        <v>39560</v>
      </c>
      <c r="H910" s="11">
        <f>VLOOKUP(A910,'Operational Data'!$A$2:$E$201,4,FALSE)</f>
        <v>8380.77</v>
      </c>
      <c r="I910" s="11">
        <f>VLOOKUP(A910,'Operational Data'!$A$2:$E$201,5,FALSE)</f>
        <v>94.01</v>
      </c>
      <c r="J910" s="21">
        <f t="shared" si="14"/>
        <v>6.7501011122345814E-2</v>
      </c>
    </row>
    <row r="911" spans="1:10" x14ac:dyDescent="0.25">
      <c r="A911" s="20" t="s">
        <v>57</v>
      </c>
      <c r="B911" s="20" t="s">
        <v>19</v>
      </c>
      <c r="C911" s="20" t="s">
        <v>13</v>
      </c>
      <c r="D911" s="20" t="s">
        <v>28</v>
      </c>
      <c r="E911" s="20" t="s">
        <v>10</v>
      </c>
      <c r="F911" s="20">
        <v>4061.97</v>
      </c>
      <c r="G911" s="11">
        <f>VLOOKUP(A911,'Operational Data'!$A$2:$E$201,3,FALSE)</f>
        <v>41027</v>
      </c>
      <c r="H911" s="11">
        <f>VLOOKUP(A911,'Operational Data'!$A$2:$E$201,4,FALSE)</f>
        <v>7285.85</v>
      </c>
      <c r="I911" s="11">
        <f>VLOOKUP(A911,'Operational Data'!$A$2:$E$201,5,FALSE)</f>
        <v>59.87</v>
      </c>
      <c r="J911" s="21">
        <f t="shared" si="14"/>
        <v>9.9007239135203637E-2</v>
      </c>
    </row>
    <row r="912" spans="1:10" x14ac:dyDescent="0.25">
      <c r="A912" s="20" t="s">
        <v>61</v>
      </c>
      <c r="B912" s="20" t="s">
        <v>30</v>
      </c>
      <c r="C912" s="20" t="s">
        <v>23</v>
      </c>
      <c r="D912" s="20" t="s">
        <v>14</v>
      </c>
      <c r="E912" s="20" t="s">
        <v>15</v>
      </c>
      <c r="F912" s="20">
        <v>279.14</v>
      </c>
      <c r="G912" s="11">
        <f>VLOOKUP(A912,'Operational Data'!$A$2:$E$201,3,FALSE)</f>
        <v>95718</v>
      </c>
      <c r="H912" s="11">
        <f>VLOOKUP(A912,'Operational Data'!$A$2:$E$201,4,FALSE)</f>
        <v>2443.12</v>
      </c>
      <c r="I912" s="11">
        <f>VLOOKUP(A912,'Operational Data'!$A$2:$E$201,5,FALSE)</f>
        <v>35.49</v>
      </c>
      <c r="J912" s="21">
        <f t="shared" si="14"/>
        <v>2.9162748908251319E-3</v>
      </c>
    </row>
    <row r="913" spans="1:10" ht="30" x14ac:dyDescent="0.25">
      <c r="A913" s="20" t="s">
        <v>168</v>
      </c>
      <c r="B913" s="20" t="s">
        <v>17</v>
      </c>
      <c r="C913" s="20" t="s">
        <v>23</v>
      </c>
      <c r="D913" s="20" t="s">
        <v>9</v>
      </c>
      <c r="E913" s="20" t="s">
        <v>24</v>
      </c>
      <c r="F913" s="20">
        <v>936.92034809999996</v>
      </c>
      <c r="G913" s="11">
        <f>VLOOKUP(A913,'Operational Data'!$A$2:$E$201,3,FALSE)</f>
        <v>41050</v>
      </c>
      <c r="H913" s="11">
        <f>VLOOKUP(A913,'Operational Data'!$A$2:$E$201,4,FALSE)</f>
        <v>6025.84</v>
      </c>
      <c r="I913" s="11">
        <f>VLOOKUP(A913,'Operational Data'!$A$2:$E$201,5,FALSE)</f>
        <v>53.53</v>
      </c>
      <c r="J913" s="21">
        <f t="shared" si="14"/>
        <v>2.2823881805115711E-2</v>
      </c>
    </row>
    <row r="914" spans="1:10" x14ac:dyDescent="0.25">
      <c r="A914" s="20" t="s">
        <v>65</v>
      </c>
      <c r="B914" s="20" t="s">
        <v>30</v>
      </c>
      <c r="C914" s="20" t="s">
        <v>8</v>
      </c>
      <c r="D914" s="20" t="s">
        <v>9</v>
      </c>
      <c r="E914" s="20" t="s">
        <v>24</v>
      </c>
      <c r="F914" s="20">
        <v>1890.569927</v>
      </c>
      <c r="G914" s="11">
        <f>VLOOKUP(A914,'Operational Data'!$A$2:$E$201,3,FALSE)</f>
        <v>99026</v>
      </c>
      <c r="H914" s="11">
        <f>VLOOKUP(A914,'Operational Data'!$A$2:$E$201,4,FALSE)</f>
        <v>5453.2</v>
      </c>
      <c r="I914" s="11">
        <f>VLOOKUP(A914,'Operational Data'!$A$2:$E$201,5,FALSE)</f>
        <v>57.49</v>
      </c>
      <c r="J914" s="21">
        <f t="shared" si="14"/>
        <v>1.9091651960091289E-2</v>
      </c>
    </row>
    <row r="915" spans="1:10" x14ac:dyDescent="0.25">
      <c r="A915" s="20" t="s">
        <v>78</v>
      </c>
      <c r="B915" s="20" t="s">
        <v>7</v>
      </c>
      <c r="C915" s="20" t="s">
        <v>13</v>
      </c>
      <c r="D915" s="20" t="s">
        <v>9</v>
      </c>
      <c r="E915" s="20" t="s">
        <v>10</v>
      </c>
      <c r="F915" s="20">
        <v>4697.92</v>
      </c>
      <c r="G915" s="11">
        <f>VLOOKUP(A915,'Operational Data'!$A$2:$E$201,3,FALSE)</f>
        <v>86557</v>
      </c>
      <c r="H915" s="11">
        <f>VLOOKUP(A915,'Operational Data'!$A$2:$E$201,4,FALSE)</f>
        <v>8631.2800000000007</v>
      </c>
      <c r="I915" s="11">
        <f>VLOOKUP(A915,'Operational Data'!$A$2:$E$201,5,FALSE)</f>
        <v>69.53</v>
      </c>
      <c r="J915" s="21">
        <f t="shared" si="14"/>
        <v>5.4275448548355421E-2</v>
      </c>
    </row>
    <row r="916" spans="1:10" x14ac:dyDescent="0.25">
      <c r="A916" s="20" t="s">
        <v>52</v>
      </c>
      <c r="B916" s="20" t="s">
        <v>19</v>
      </c>
      <c r="C916" s="20" t="s">
        <v>34</v>
      </c>
      <c r="D916" s="20" t="s">
        <v>28</v>
      </c>
      <c r="E916" s="20" t="s">
        <v>24</v>
      </c>
      <c r="F916" s="20">
        <v>3192.85</v>
      </c>
      <c r="G916" s="11">
        <f>VLOOKUP(A916,'Operational Data'!$A$2:$E$201,3,FALSE)</f>
        <v>94949</v>
      </c>
      <c r="H916" s="11">
        <f>VLOOKUP(A916,'Operational Data'!$A$2:$E$201,4,FALSE)</f>
        <v>9714.76</v>
      </c>
      <c r="I916" s="11">
        <f>VLOOKUP(A916,'Operational Data'!$A$2:$E$201,5,FALSE)</f>
        <v>64.900000000000006</v>
      </c>
      <c r="J916" s="21">
        <f t="shared" si="14"/>
        <v>3.3626999757764696E-2</v>
      </c>
    </row>
    <row r="917" spans="1:10" x14ac:dyDescent="0.25">
      <c r="A917" s="20" t="s">
        <v>160</v>
      </c>
      <c r="B917" s="20" t="s">
        <v>30</v>
      </c>
      <c r="C917" s="20" t="s">
        <v>13</v>
      </c>
      <c r="D917" s="20" t="s">
        <v>9</v>
      </c>
      <c r="E917" s="20" t="s">
        <v>10</v>
      </c>
      <c r="F917" s="20">
        <v>3010.17</v>
      </c>
      <c r="G917" s="11">
        <f>VLOOKUP(A917,'Operational Data'!$A$2:$E$201,3,FALSE)</f>
        <v>18341</v>
      </c>
      <c r="H917" s="11">
        <f>VLOOKUP(A917,'Operational Data'!$A$2:$E$201,4,FALSE)</f>
        <v>8465.57</v>
      </c>
      <c r="I917" s="11">
        <f>VLOOKUP(A917,'Operational Data'!$A$2:$E$201,5,FALSE)</f>
        <v>38.39</v>
      </c>
      <c r="J917" s="21">
        <f t="shared" si="14"/>
        <v>0.16412245788124966</v>
      </c>
    </row>
    <row r="918" spans="1:10" x14ac:dyDescent="0.25">
      <c r="A918" s="20" t="s">
        <v>188</v>
      </c>
      <c r="B918" s="20" t="s">
        <v>19</v>
      </c>
      <c r="C918" s="20" t="s">
        <v>23</v>
      </c>
      <c r="D918" s="20" t="s">
        <v>9</v>
      </c>
      <c r="E918" s="20" t="s">
        <v>24</v>
      </c>
      <c r="F918" s="20">
        <v>4348.8599999999997</v>
      </c>
      <c r="G918" s="11">
        <f>VLOOKUP(A918,'Operational Data'!$A$2:$E$201,3,FALSE)</f>
        <v>60513</v>
      </c>
      <c r="H918" s="11">
        <f>VLOOKUP(A918,'Operational Data'!$A$2:$E$201,4,FALSE)</f>
        <v>4578.16</v>
      </c>
      <c r="I918" s="11">
        <f>VLOOKUP(A918,'Operational Data'!$A$2:$E$201,5,FALSE)</f>
        <v>65.53</v>
      </c>
      <c r="J918" s="21">
        <f t="shared" si="14"/>
        <v>7.1866541073818846E-2</v>
      </c>
    </row>
    <row r="919" spans="1:10" x14ac:dyDescent="0.25">
      <c r="A919" s="20" t="s">
        <v>22</v>
      </c>
      <c r="B919" s="20" t="s">
        <v>12</v>
      </c>
      <c r="C919" s="20" t="s">
        <v>8</v>
      </c>
      <c r="D919" s="20" t="s">
        <v>9</v>
      </c>
      <c r="E919" s="20" t="s">
        <v>10</v>
      </c>
      <c r="F919" s="20">
        <v>4115.1509260000003</v>
      </c>
      <c r="G919" s="11">
        <f>VLOOKUP(A919,'Operational Data'!$A$2:$E$201,3,FALSE)</f>
        <v>47484</v>
      </c>
      <c r="H919" s="11">
        <f>VLOOKUP(A919,'Operational Data'!$A$2:$E$201,4,FALSE)</f>
        <v>3396.39</v>
      </c>
      <c r="I919" s="11">
        <f>VLOOKUP(A919,'Operational Data'!$A$2:$E$201,5,FALSE)</f>
        <v>19.510000000000002</v>
      </c>
      <c r="J919" s="21">
        <f t="shared" si="14"/>
        <v>8.6663948403672822E-2</v>
      </c>
    </row>
    <row r="920" spans="1:10" x14ac:dyDescent="0.25">
      <c r="A920" s="20" t="s">
        <v>195</v>
      </c>
      <c r="B920" s="20" t="s">
        <v>7</v>
      </c>
      <c r="C920" s="20" t="s">
        <v>8</v>
      </c>
      <c r="D920" s="20" t="s">
        <v>28</v>
      </c>
      <c r="E920" s="20" t="s">
        <v>15</v>
      </c>
      <c r="F920" s="20">
        <v>4352.3</v>
      </c>
      <c r="G920" s="11">
        <f>VLOOKUP(A920,'Operational Data'!$A$2:$E$201,3,FALSE)</f>
        <v>68278</v>
      </c>
      <c r="H920" s="11">
        <f>VLOOKUP(A920,'Operational Data'!$A$2:$E$201,4,FALSE)</f>
        <v>3272.65</v>
      </c>
      <c r="I920" s="11">
        <f>VLOOKUP(A920,'Operational Data'!$A$2:$E$201,5,FALSE)</f>
        <v>30.47</v>
      </c>
      <c r="J920" s="21">
        <f t="shared" si="14"/>
        <v>6.3743812062450569E-2</v>
      </c>
    </row>
    <row r="921" spans="1:10" x14ac:dyDescent="0.25">
      <c r="A921" s="20" t="s">
        <v>56</v>
      </c>
      <c r="B921" s="20" t="s">
        <v>19</v>
      </c>
      <c r="C921" s="20" t="s">
        <v>13</v>
      </c>
      <c r="D921" s="20" t="s">
        <v>9</v>
      </c>
      <c r="E921" s="20" t="s">
        <v>15</v>
      </c>
      <c r="F921" s="20">
        <v>3591.3304600000001</v>
      </c>
      <c r="G921" s="11">
        <f>VLOOKUP(A921,'Operational Data'!$A$2:$E$201,3,FALSE)</f>
        <v>43747</v>
      </c>
      <c r="H921" s="11">
        <f>VLOOKUP(A921,'Operational Data'!$A$2:$E$201,4,FALSE)</f>
        <v>3453.48</v>
      </c>
      <c r="I921" s="11">
        <f>VLOOKUP(A921,'Operational Data'!$A$2:$E$201,5,FALSE)</f>
        <v>98.78</v>
      </c>
      <c r="J921" s="21">
        <f t="shared" si="14"/>
        <v>8.2093182618236685E-2</v>
      </c>
    </row>
    <row r="922" spans="1:10" x14ac:dyDescent="0.25">
      <c r="A922" s="20" t="s">
        <v>87</v>
      </c>
      <c r="B922" s="20" t="s">
        <v>12</v>
      </c>
      <c r="C922" s="20" t="s">
        <v>8</v>
      </c>
      <c r="D922" s="20" t="s">
        <v>28</v>
      </c>
      <c r="E922" s="20" t="s">
        <v>15</v>
      </c>
      <c r="F922" s="20">
        <v>3260.39</v>
      </c>
      <c r="G922" s="11">
        <f>VLOOKUP(A922,'Operational Data'!$A$2:$E$201,3,FALSE)</f>
        <v>15333</v>
      </c>
      <c r="H922" s="11">
        <f>VLOOKUP(A922,'Operational Data'!$A$2:$E$201,4,FALSE)</f>
        <v>2570.54</v>
      </c>
      <c r="I922" s="11">
        <f>VLOOKUP(A922,'Operational Data'!$A$2:$E$201,5,FALSE)</f>
        <v>41.07</v>
      </c>
      <c r="J922" s="21">
        <f t="shared" si="14"/>
        <v>0.21263875301636992</v>
      </c>
    </row>
    <row r="923" spans="1:10" x14ac:dyDescent="0.25">
      <c r="A923" s="20" t="s">
        <v>91</v>
      </c>
      <c r="B923" s="20" t="s">
        <v>30</v>
      </c>
      <c r="C923" s="20" t="s">
        <v>23</v>
      </c>
      <c r="D923" s="20" t="s">
        <v>14</v>
      </c>
      <c r="E923" s="20" t="s">
        <v>24</v>
      </c>
      <c r="F923" s="20">
        <v>1083.03</v>
      </c>
      <c r="G923" s="11">
        <f>VLOOKUP(A923,'Operational Data'!$A$2:$E$201,3,FALSE)</f>
        <v>20207</v>
      </c>
      <c r="H923" s="11">
        <f>VLOOKUP(A923,'Operational Data'!$A$2:$E$201,4,FALSE)</f>
        <v>5369.46</v>
      </c>
      <c r="I923" s="11">
        <f>VLOOKUP(A923,'Operational Data'!$A$2:$E$201,5,FALSE)</f>
        <v>57.51</v>
      </c>
      <c r="J923" s="21">
        <f t="shared" si="14"/>
        <v>5.3596773395358045E-2</v>
      </c>
    </row>
    <row r="924" spans="1:10" ht="30" x14ac:dyDescent="0.25">
      <c r="A924" s="20" t="s">
        <v>215</v>
      </c>
      <c r="B924" s="20" t="s">
        <v>17</v>
      </c>
      <c r="C924" s="20" t="s">
        <v>13</v>
      </c>
      <c r="D924" s="20" t="s">
        <v>28</v>
      </c>
      <c r="E924" s="20" t="s">
        <v>10</v>
      </c>
      <c r="F924" s="20">
        <v>2051.69</v>
      </c>
      <c r="G924" s="11">
        <f>VLOOKUP(A924,'Operational Data'!$A$2:$E$201,3,FALSE)</f>
        <v>72813</v>
      </c>
      <c r="H924" s="11">
        <f>VLOOKUP(A924,'Operational Data'!$A$2:$E$201,4,FALSE)</f>
        <v>8818.16</v>
      </c>
      <c r="I924" s="11">
        <f>VLOOKUP(A924,'Operational Data'!$A$2:$E$201,5,FALSE)</f>
        <v>54.12</v>
      </c>
      <c r="J924" s="21">
        <f t="shared" si="14"/>
        <v>2.8177523244475575E-2</v>
      </c>
    </row>
    <row r="925" spans="1:10" x14ac:dyDescent="0.25">
      <c r="A925" s="20" t="s">
        <v>33</v>
      </c>
      <c r="B925" s="20" t="s">
        <v>19</v>
      </c>
      <c r="C925" s="20" t="s">
        <v>23</v>
      </c>
      <c r="D925" s="20" t="s">
        <v>28</v>
      </c>
      <c r="E925" s="20" t="s">
        <v>10</v>
      </c>
      <c r="F925" s="20">
        <v>2402.8200000000002</v>
      </c>
      <c r="G925" s="11">
        <f>VLOOKUP(A925,'Operational Data'!$A$2:$E$201,3,FALSE)</f>
        <v>65719</v>
      </c>
      <c r="H925" s="11">
        <f>VLOOKUP(A925,'Operational Data'!$A$2:$E$201,4,FALSE)</f>
        <v>9362.41</v>
      </c>
      <c r="I925" s="11">
        <f>VLOOKUP(A925,'Operational Data'!$A$2:$E$201,5,FALSE)</f>
        <v>86.55</v>
      </c>
      <c r="J925" s="21">
        <f t="shared" si="14"/>
        <v>3.6562029245728024E-2</v>
      </c>
    </row>
    <row r="926" spans="1:10" ht="30" x14ac:dyDescent="0.25">
      <c r="A926" s="20" t="s">
        <v>168</v>
      </c>
      <c r="B926" s="20" t="s">
        <v>17</v>
      </c>
      <c r="C926" s="20" t="s">
        <v>13</v>
      </c>
      <c r="D926" s="20" t="s">
        <v>9</v>
      </c>
      <c r="E926" s="20" t="s">
        <v>10</v>
      </c>
      <c r="F926" s="20">
        <v>1465.512424</v>
      </c>
      <c r="G926" s="11">
        <f>VLOOKUP(A926,'Operational Data'!$A$2:$E$201,3,FALSE)</f>
        <v>41050</v>
      </c>
      <c r="H926" s="11">
        <f>VLOOKUP(A926,'Operational Data'!$A$2:$E$201,4,FALSE)</f>
        <v>6025.84</v>
      </c>
      <c r="I926" s="11">
        <f>VLOOKUP(A926,'Operational Data'!$A$2:$E$201,5,FALSE)</f>
        <v>53.53</v>
      </c>
      <c r="J926" s="21">
        <f t="shared" si="14"/>
        <v>3.5700668063337396E-2</v>
      </c>
    </row>
    <row r="927" spans="1:10" ht="30" x14ac:dyDescent="0.25">
      <c r="A927" s="20" t="s">
        <v>129</v>
      </c>
      <c r="B927" s="20" t="s">
        <v>17</v>
      </c>
      <c r="C927" s="20" t="s">
        <v>8</v>
      </c>
      <c r="D927" s="20" t="s">
        <v>9</v>
      </c>
      <c r="E927" s="20" t="s">
        <v>10</v>
      </c>
      <c r="F927" s="20">
        <v>4841.5442560000001</v>
      </c>
      <c r="G927" s="11">
        <f>VLOOKUP(A927,'Operational Data'!$A$2:$E$201,3,FALSE)</f>
        <v>95292</v>
      </c>
      <c r="H927" s="11">
        <f>VLOOKUP(A927,'Operational Data'!$A$2:$E$201,4,FALSE)</f>
        <v>697.47</v>
      </c>
      <c r="I927" s="11">
        <f>VLOOKUP(A927,'Operational Data'!$A$2:$E$201,5,FALSE)</f>
        <v>88.35</v>
      </c>
      <c r="J927" s="21">
        <f t="shared" si="14"/>
        <v>5.0807457666960501E-2</v>
      </c>
    </row>
    <row r="928" spans="1:10" x14ac:dyDescent="0.25">
      <c r="A928" s="20" t="s">
        <v>206</v>
      </c>
      <c r="B928" s="20" t="s">
        <v>19</v>
      </c>
      <c r="C928" s="20" t="s">
        <v>34</v>
      </c>
      <c r="D928" s="20" t="s">
        <v>28</v>
      </c>
      <c r="E928" s="20" t="s">
        <v>10</v>
      </c>
      <c r="F928" s="20">
        <v>3187.8</v>
      </c>
      <c r="G928" s="11">
        <f>VLOOKUP(A928,'Operational Data'!$A$2:$E$201,3,FALSE)</f>
        <v>10250</v>
      </c>
      <c r="H928" s="11">
        <f>VLOOKUP(A928,'Operational Data'!$A$2:$E$201,4,FALSE)</f>
        <v>4717</v>
      </c>
      <c r="I928" s="11">
        <f>VLOOKUP(A928,'Operational Data'!$A$2:$E$201,5,FALSE)</f>
        <v>16.600000000000001</v>
      </c>
      <c r="J928" s="21">
        <f t="shared" si="14"/>
        <v>0.31100487804878052</v>
      </c>
    </row>
    <row r="929" spans="1:10" ht="30" x14ac:dyDescent="0.25">
      <c r="A929" s="20" t="s">
        <v>129</v>
      </c>
      <c r="B929" s="20" t="s">
        <v>17</v>
      </c>
      <c r="C929" s="20" t="s">
        <v>34</v>
      </c>
      <c r="D929" s="20" t="s">
        <v>28</v>
      </c>
      <c r="E929" s="20" t="s">
        <v>24</v>
      </c>
      <c r="F929" s="20">
        <v>4547.92</v>
      </c>
      <c r="G929" s="11">
        <f>VLOOKUP(A929,'Operational Data'!$A$2:$E$201,3,FALSE)</f>
        <v>95292</v>
      </c>
      <c r="H929" s="11">
        <f>VLOOKUP(A929,'Operational Data'!$A$2:$E$201,4,FALSE)</f>
        <v>697.47</v>
      </c>
      <c r="I929" s="11">
        <f>VLOOKUP(A929,'Operational Data'!$A$2:$E$201,5,FALSE)</f>
        <v>88.35</v>
      </c>
      <c r="J929" s="21">
        <f t="shared" si="14"/>
        <v>4.7726147000797546E-2</v>
      </c>
    </row>
    <row r="930" spans="1:10" x14ac:dyDescent="0.25">
      <c r="A930" s="20" t="s">
        <v>135</v>
      </c>
      <c r="B930" s="20" t="s">
        <v>12</v>
      </c>
      <c r="C930" s="20" t="s">
        <v>13</v>
      </c>
      <c r="D930" s="20" t="s">
        <v>9</v>
      </c>
      <c r="E930" s="20" t="s">
        <v>10</v>
      </c>
      <c r="F930" s="20">
        <v>4751.75</v>
      </c>
      <c r="G930" s="11">
        <f>VLOOKUP(A930,'Operational Data'!$A$2:$E$201,3,FALSE)</f>
        <v>39560</v>
      </c>
      <c r="H930" s="11">
        <f>VLOOKUP(A930,'Operational Data'!$A$2:$E$201,4,FALSE)</f>
        <v>8380.77</v>
      </c>
      <c r="I930" s="11">
        <f>VLOOKUP(A930,'Operational Data'!$A$2:$E$201,5,FALSE)</f>
        <v>94.01</v>
      </c>
      <c r="J930" s="21">
        <f t="shared" si="14"/>
        <v>0.12011501516683519</v>
      </c>
    </row>
    <row r="931" spans="1:10" x14ac:dyDescent="0.25">
      <c r="A931" s="20" t="s">
        <v>49</v>
      </c>
      <c r="B931" s="20" t="s">
        <v>19</v>
      </c>
      <c r="C931" s="20" t="s">
        <v>13</v>
      </c>
      <c r="D931" s="20" t="s">
        <v>28</v>
      </c>
      <c r="E931" s="20" t="s">
        <v>10</v>
      </c>
      <c r="F931" s="20">
        <v>3218.33</v>
      </c>
      <c r="G931" s="11">
        <f>VLOOKUP(A931,'Operational Data'!$A$2:$E$201,3,FALSE)</f>
        <v>50306</v>
      </c>
      <c r="H931" s="11">
        <f>VLOOKUP(A931,'Operational Data'!$A$2:$E$201,4,FALSE)</f>
        <v>7031.37</v>
      </c>
      <c r="I931" s="11">
        <f>VLOOKUP(A931,'Operational Data'!$A$2:$E$201,5,FALSE)</f>
        <v>13.27</v>
      </c>
      <c r="J931" s="21">
        <f t="shared" si="14"/>
        <v>6.3975072555957538E-2</v>
      </c>
    </row>
    <row r="932" spans="1:10" x14ac:dyDescent="0.25">
      <c r="A932" s="20" t="s">
        <v>177</v>
      </c>
      <c r="B932" s="20" t="s">
        <v>7</v>
      </c>
      <c r="C932" s="20" t="s">
        <v>23</v>
      </c>
      <c r="D932" s="20" t="s">
        <v>14</v>
      </c>
      <c r="E932" s="20" t="s">
        <v>24</v>
      </c>
      <c r="F932" s="20">
        <v>107.49</v>
      </c>
      <c r="G932" s="11">
        <f>VLOOKUP(A932,'Operational Data'!$A$2:$E$201,3,FALSE)</f>
        <v>17097</v>
      </c>
      <c r="H932" s="11">
        <f>VLOOKUP(A932,'Operational Data'!$A$2:$E$201,4,FALSE)</f>
        <v>9061.7800000000007</v>
      </c>
      <c r="I932" s="11">
        <f>VLOOKUP(A932,'Operational Data'!$A$2:$E$201,5,FALSE)</f>
        <v>95.92</v>
      </c>
      <c r="J932" s="21">
        <f t="shared" si="14"/>
        <v>6.287067906650289E-3</v>
      </c>
    </row>
    <row r="933" spans="1:10" x14ac:dyDescent="0.25">
      <c r="A933" s="20" t="s">
        <v>159</v>
      </c>
      <c r="B933" s="20" t="s">
        <v>7</v>
      </c>
      <c r="C933" s="20" t="s">
        <v>8</v>
      </c>
      <c r="D933" s="20" t="s">
        <v>28</v>
      </c>
      <c r="E933" s="20" t="s">
        <v>15</v>
      </c>
      <c r="F933" s="20">
        <v>4162.1899999999996</v>
      </c>
      <c r="G933" s="11">
        <f>VLOOKUP(A933,'Operational Data'!$A$2:$E$201,3,FALSE)</f>
        <v>47727</v>
      </c>
      <c r="H933" s="11">
        <f>VLOOKUP(A933,'Operational Data'!$A$2:$E$201,4,FALSE)</f>
        <v>8907.33</v>
      </c>
      <c r="I933" s="11">
        <f>VLOOKUP(A933,'Operational Data'!$A$2:$E$201,5,FALSE)</f>
        <v>47.4</v>
      </c>
      <c r="J933" s="21">
        <f t="shared" si="14"/>
        <v>8.7208288809269383E-2</v>
      </c>
    </row>
    <row r="934" spans="1:10" x14ac:dyDescent="0.25">
      <c r="A934" s="20" t="s">
        <v>172</v>
      </c>
      <c r="B934" s="20" t="s">
        <v>7</v>
      </c>
      <c r="C934" s="20" t="s">
        <v>13</v>
      </c>
      <c r="D934" s="20" t="s">
        <v>14</v>
      </c>
      <c r="E934" s="20" t="s">
        <v>10</v>
      </c>
      <c r="F934" s="20">
        <v>1795.35</v>
      </c>
      <c r="G934" s="11">
        <f>VLOOKUP(A934,'Operational Data'!$A$2:$E$201,3,FALSE)</f>
        <v>68820</v>
      </c>
      <c r="H934" s="11">
        <f>VLOOKUP(A934,'Operational Data'!$A$2:$E$201,4,FALSE)</f>
        <v>9612.25</v>
      </c>
      <c r="I934" s="11">
        <f>VLOOKUP(A934,'Operational Data'!$A$2:$E$201,5,FALSE)</f>
        <v>83.51</v>
      </c>
      <c r="J934" s="21">
        <f t="shared" si="14"/>
        <v>2.6087619877942458E-2</v>
      </c>
    </row>
    <row r="935" spans="1:10" x14ac:dyDescent="0.25">
      <c r="A935" s="20" t="s">
        <v>163</v>
      </c>
      <c r="B935" s="20" t="s">
        <v>19</v>
      </c>
      <c r="C935" s="20" t="s">
        <v>13</v>
      </c>
      <c r="D935" s="20" t="s">
        <v>14</v>
      </c>
      <c r="E935" s="20" t="s">
        <v>24</v>
      </c>
      <c r="F935" s="20">
        <v>930.97</v>
      </c>
      <c r="G935" s="11">
        <f>VLOOKUP(A935,'Operational Data'!$A$2:$E$201,3,FALSE)</f>
        <v>87482</v>
      </c>
      <c r="H935" s="11">
        <f>VLOOKUP(A935,'Operational Data'!$A$2:$E$201,4,FALSE)</f>
        <v>2231.7399999999998</v>
      </c>
      <c r="I935" s="11">
        <f>VLOOKUP(A935,'Operational Data'!$A$2:$E$201,5,FALSE)</f>
        <v>45.43</v>
      </c>
      <c r="J935" s="21">
        <f t="shared" si="14"/>
        <v>1.0641846322672092E-2</v>
      </c>
    </row>
    <row r="936" spans="1:10" ht="30" x14ac:dyDescent="0.25">
      <c r="A936" s="20" t="s">
        <v>143</v>
      </c>
      <c r="B936" s="20" t="s">
        <v>17</v>
      </c>
      <c r="C936" s="20" t="s">
        <v>23</v>
      </c>
      <c r="D936" s="20" t="s">
        <v>9</v>
      </c>
      <c r="E936" s="20" t="s">
        <v>10</v>
      </c>
      <c r="F936" s="20">
        <v>1962.973495</v>
      </c>
      <c r="G936" s="11">
        <f>VLOOKUP(A936,'Operational Data'!$A$2:$E$201,3,FALSE)</f>
        <v>94704</v>
      </c>
      <c r="H936" s="11">
        <f>VLOOKUP(A936,'Operational Data'!$A$2:$E$201,4,FALSE)</f>
        <v>6632.95</v>
      </c>
      <c r="I936" s="11">
        <f>VLOOKUP(A936,'Operational Data'!$A$2:$E$201,5,FALSE)</f>
        <v>14.76</v>
      </c>
      <c r="J936" s="21">
        <f t="shared" si="14"/>
        <v>2.0727461300473052E-2</v>
      </c>
    </row>
    <row r="937" spans="1:10" x14ac:dyDescent="0.25">
      <c r="A937" s="20" t="s">
        <v>181</v>
      </c>
      <c r="B937" s="20" t="s">
        <v>30</v>
      </c>
      <c r="C937" s="20" t="s">
        <v>23</v>
      </c>
      <c r="D937" s="20" t="s">
        <v>14</v>
      </c>
      <c r="E937" s="20" t="s">
        <v>10</v>
      </c>
      <c r="F937" s="20">
        <v>4615.88</v>
      </c>
      <c r="G937" s="11">
        <f>VLOOKUP(A937,'Operational Data'!$A$2:$E$201,3,FALSE)</f>
        <v>28704</v>
      </c>
      <c r="H937" s="11">
        <f>VLOOKUP(A937,'Operational Data'!$A$2:$E$201,4,FALSE)</f>
        <v>6009.24</v>
      </c>
      <c r="I937" s="11">
        <f>VLOOKUP(A937,'Operational Data'!$A$2:$E$201,5,FALSE)</f>
        <v>39.31</v>
      </c>
      <c r="J937" s="21">
        <f t="shared" si="14"/>
        <v>0.16080964325529543</v>
      </c>
    </row>
    <row r="938" spans="1:10" x14ac:dyDescent="0.25">
      <c r="A938" s="20" t="s">
        <v>146</v>
      </c>
      <c r="B938" s="20" t="s">
        <v>7</v>
      </c>
      <c r="C938" s="20" t="s">
        <v>34</v>
      </c>
      <c r="D938" s="20" t="s">
        <v>28</v>
      </c>
      <c r="E938" s="20" t="s">
        <v>15</v>
      </c>
      <c r="F938" s="20">
        <v>1530.83</v>
      </c>
      <c r="G938" s="11">
        <f>VLOOKUP(A938,'Operational Data'!$A$2:$E$201,3,FALSE)</f>
        <v>14170</v>
      </c>
      <c r="H938" s="11">
        <f>VLOOKUP(A938,'Operational Data'!$A$2:$E$201,4,FALSE)</f>
        <v>5455.23</v>
      </c>
      <c r="I938" s="11">
        <f>VLOOKUP(A938,'Operational Data'!$A$2:$E$201,5,FALSE)</f>
        <v>25.46</v>
      </c>
      <c r="J938" s="21">
        <f t="shared" si="14"/>
        <v>0.10803316866619618</v>
      </c>
    </row>
    <row r="939" spans="1:10" x14ac:dyDescent="0.25">
      <c r="A939" s="20" t="s">
        <v>173</v>
      </c>
      <c r="B939" s="20" t="s">
        <v>30</v>
      </c>
      <c r="C939" s="20" t="s">
        <v>23</v>
      </c>
      <c r="D939" s="20" t="s">
        <v>9</v>
      </c>
      <c r="E939" s="20" t="s">
        <v>10</v>
      </c>
      <c r="F939" s="20">
        <v>2440.987615</v>
      </c>
      <c r="G939" s="11">
        <f>VLOOKUP(A939,'Operational Data'!$A$2:$E$201,3,FALSE)</f>
        <v>49620</v>
      </c>
      <c r="H939" s="11">
        <f>VLOOKUP(A939,'Operational Data'!$A$2:$E$201,4,FALSE)</f>
        <v>2424.31</v>
      </c>
      <c r="I939" s="11">
        <f>VLOOKUP(A939,'Operational Data'!$A$2:$E$201,5,FALSE)</f>
        <v>62.09</v>
      </c>
      <c r="J939" s="21">
        <f t="shared" si="14"/>
        <v>4.9193623841193065E-2</v>
      </c>
    </row>
    <row r="940" spans="1:10" x14ac:dyDescent="0.25">
      <c r="A940" s="20" t="s">
        <v>121</v>
      </c>
      <c r="B940" s="20" t="s">
        <v>30</v>
      </c>
      <c r="C940" s="20" t="s">
        <v>8</v>
      </c>
      <c r="D940" s="20" t="s">
        <v>28</v>
      </c>
      <c r="E940" s="20" t="s">
        <v>24</v>
      </c>
      <c r="F940" s="20">
        <v>1674.72</v>
      </c>
      <c r="G940" s="11">
        <f>VLOOKUP(A940,'Operational Data'!$A$2:$E$201,3,FALSE)</f>
        <v>58895</v>
      </c>
      <c r="H940" s="11">
        <f>VLOOKUP(A940,'Operational Data'!$A$2:$E$201,4,FALSE)</f>
        <v>3039.17</v>
      </c>
      <c r="I940" s="11">
        <f>VLOOKUP(A940,'Operational Data'!$A$2:$E$201,5,FALSE)</f>
        <v>59.82</v>
      </c>
      <c r="J940" s="21">
        <f t="shared" si="14"/>
        <v>2.8435690635877409E-2</v>
      </c>
    </row>
    <row r="941" spans="1:10" x14ac:dyDescent="0.25">
      <c r="A941" s="20" t="s">
        <v>50</v>
      </c>
      <c r="B941" s="20" t="s">
        <v>19</v>
      </c>
      <c r="C941" s="20" t="s">
        <v>13</v>
      </c>
      <c r="D941" s="20" t="s">
        <v>28</v>
      </c>
      <c r="E941" s="20" t="s">
        <v>15</v>
      </c>
      <c r="F941" s="20">
        <v>3245.74</v>
      </c>
      <c r="G941" s="11">
        <f>VLOOKUP(A941,'Operational Data'!$A$2:$E$201,3,FALSE)</f>
        <v>40577</v>
      </c>
      <c r="H941" s="11">
        <f>VLOOKUP(A941,'Operational Data'!$A$2:$E$201,4,FALSE)</f>
        <v>4280.82</v>
      </c>
      <c r="I941" s="11">
        <f>VLOOKUP(A941,'Operational Data'!$A$2:$E$201,5,FALSE)</f>
        <v>79.88</v>
      </c>
      <c r="J941" s="21">
        <f t="shared" si="14"/>
        <v>7.9989649308721683E-2</v>
      </c>
    </row>
    <row r="942" spans="1:10" x14ac:dyDescent="0.25">
      <c r="A942" s="20" t="s">
        <v>214</v>
      </c>
      <c r="B942" s="20" t="s">
        <v>30</v>
      </c>
      <c r="C942" s="20" t="s">
        <v>8</v>
      </c>
      <c r="D942" s="20" t="s">
        <v>28</v>
      </c>
      <c r="E942" s="20" t="s">
        <v>15</v>
      </c>
      <c r="F942" s="20">
        <v>3114.72</v>
      </c>
      <c r="G942" s="11">
        <f>VLOOKUP(A942,'Operational Data'!$A$2:$E$201,3,FALSE)</f>
        <v>79330</v>
      </c>
      <c r="H942" s="11">
        <f>VLOOKUP(A942,'Operational Data'!$A$2:$E$201,4,FALSE)</f>
        <v>6075.23</v>
      </c>
      <c r="I942" s="11">
        <f>VLOOKUP(A942,'Operational Data'!$A$2:$E$201,5,FALSE)</f>
        <v>83.97</v>
      </c>
      <c r="J942" s="21">
        <f t="shared" si="14"/>
        <v>3.9262826169166772E-2</v>
      </c>
    </row>
    <row r="943" spans="1:10" x14ac:dyDescent="0.25">
      <c r="A943" s="20" t="s">
        <v>101</v>
      </c>
      <c r="B943" s="20" t="s">
        <v>19</v>
      </c>
      <c r="C943" s="20" t="s">
        <v>13</v>
      </c>
      <c r="D943" s="20" t="s">
        <v>14</v>
      </c>
      <c r="E943" s="20" t="s">
        <v>15</v>
      </c>
      <c r="F943" s="20">
        <v>2078.6799999999998</v>
      </c>
      <c r="G943" s="11">
        <f>VLOOKUP(A943,'Operational Data'!$A$2:$E$201,3,FALSE)</f>
        <v>39050</v>
      </c>
      <c r="H943" s="11">
        <f>VLOOKUP(A943,'Operational Data'!$A$2:$E$201,4,FALSE)</f>
        <v>5885.73</v>
      </c>
      <c r="I943" s="11">
        <f>VLOOKUP(A943,'Operational Data'!$A$2:$E$201,5,FALSE)</f>
        <v>93.04</v>
      </c>
      <c r="J943" s="21">
        <f t="shared" si="14"/>
        <v>5.3231241997439178E-2</v>
      </c>
    </row>
    <row r="944" spans="1:10" ht="30" x14ac:dyDescent="0.25">
      <c r="A944" s="20" t="s">
        <v>137</v>
      </c>
      <c r="B944" s="20" t="s">
        <v>17</v>
      </c>
      <c r="C944" s="20" t="s">
        <v>8</v>
      </c>
      <c r="D944" s="20" t="s">
        <v>28</v>
      </c>
      <c r="E944" s="20" t="s">
        <v>15</v>
      </c>
      <c r="F944" s="20">
        <v>2458.83</v>
      </c>
      <c r="G944" s="11">
        <f>VLOOKUP(A944,'Operational Data'!$A$2:$E$201,3,FALSE)</f>
        <v>19265</v>
      </c>
      <c r="H944" s="11">
        <f>VLOOKUP(A944,'Operational Data'!$A$2:$E$201,4,FALSE)</f>
        <v>776.6</v>
      </c>
      <c r="I944" s="11">
        <f>VLOOKUP(A944,'Operational Data'!$A$2:$E$201,5,FALSE)</f>
        <v>39.75</v>
      </c>
      <c r="J944" s="21">
        <f t="shared" si="14"/>
        <v>0.12763197508434984</v>
      </c>
    </row>
    <row r="945" spans="1:10" x14ac:dyDescent="0.25">
      <c r="A945" s="20" t="s">
        <v>126</v>
      </c>
      <c r="B945" s="20" t="s">
        <v>30</v>
      </c>
      <c r="C945" s="20" t="s">
        <v>23</v>
      </c>
      <c r="D945" s="20" t="s">
        <v>14</v>
      </c>
      <c r="E945" s="20" t="s">
        <v>15</v>
      </c>
      <c r="F945" s="20">
        <v>3902.33</v>
      </c>
      <c r="G945" s="11">
        <f>VLOOKUP(A945,'Operational Data'!$A$2:$E$201,3,FALSE)</f>
        <v>35506</v>
      </c>
      <c r="H945" s="11">
        <f>VLOOKUP(A945,'Operational Data'!$A$2:$E$201,4,FALSE)</f>
        <v>1892.04</v>
      </c>
      <c r="I945" s="11">
        <f>VLOOKUP(A945,'Operational Data'!$A$2:$E$201,5,FALSE)</f>
        <v>61.53</v>
      </c>
      <c r="J945" s="21">
        <f t="shared" si="14"/>
        <v>0.10990621303441672</v>
      </c>
    </row>
    <row r="946" spans="1:10" x14ac:dyDescent="0.25">
      <c r="A946" s="20" t="s">
        <v>22</v>
      </c>
      <c r="B946" s="20" t="s">
        <v>12</v>
      </c>
      <c r="C946" s="20" t="s">
        <v>23</v>
      </c>
      <c r="D946" s="20" t="s">
        <v>9</v>
      </c>
      <c r="E946" s="20" t="s">
        <v>10</v>
      </c>
      <c r="F946" s="20">
        <v>3436.6858299999999</v>
      </c>
      <c r="G946" s="11">
        <f>VLOOKUP(A946,'Operational Data'!$A$2:$E$201,3,FALSE)</f>
        <v>47484</v>
      </c>
      <c r="H946" s="11">
        <f>VLOOKUP(A946,'Operational Data'!$A$2:$E$201,4,FALSE)</f>
        <v>3396.39</v>
      </c>
      <c r="I946" s="11">
        <f>VLOOKUP(A946,'Operational Data'!$A$2:$E$201,5,FALSE)</f>
        <v>19.510000000000002</v>
      </c>
      <c r="J946" s="21">
        <f t="shared" si="14"/>
        <v>7.2375659801196188E-2</v>
      </c>
    </row>
    <row r="947" spans="1:10" ht="30" x14ac:dyDescent="0.25">
      <c r="A947" s="20" t="s">
        <v>133</v>
      </c>
      <c r="B947" s="20" t="s">
        <v>17</v>
      </c>
      <c r="C947" s="20" t="s">
        <v>23</v>
      </c>
      <c r="D947" s="20" t="s">
        <v>28</v>
      </c>
      <c r="E947" s="20" t="s">
        <v>24</v>
      </c>
      <c r="F947" s="20">
        <v>3373.97</v>
      </c>
      <c r="G947" s="11">
        <f>VLOOKUP(A947,'Operational Data'!$A$2:$E$201,3,FALSE)</f>
        <v>48501</v>
      </c>
      <c r="H947" s="11">
        <f>VLOOKUP(A947,'Operational Data'!$A$2:$E$201,4,FALSE)</f>
        <v>7209.77</v>
      </c>
      <c r="I947" s="11">
        <f>VLOOKUP(A947,'Operational Data'!$A$2:$E$201,5,FALSE)</f>
        <v>92.51</v>
      </c>
      <c r="J947" s="21">
        <f t="shared" si="14"/>
        <v>6.9564957423558269E-2</v>
      </c>
    </row>
    <row r="948" spans="1:10" x14ac:dyDescent="0.25">
      <c r="A948" s="20" t="s">
        <v>202</v>
      </c>
      <c r="B948" s="20" t="s">
        <v>12</v>
      </c>
      <c r="C948" s="20" t="s">
        <v>8</v>
      </c>
      <c r="D948" s="20" t="s">
        <v>14</v>
      </c>
      <c r="E948" s="20" t="s">
        <v>15</v>
      </c>
      <c r="F948" s="20">
        <v>2524.3200000000002</v>
      </c>
      <c r="G948" s="11">
        <f>VLOOKUP(A948,'Operational Data'!$A$2:$E$201,3,FALSE)</f>
        <v>28400</v>
      </c>
      <c r="H948" s="11">
        <f>VLOOKUP(A948,'Operational Data'!$A$2:$E$201,4,FALSE)</f>
        <v>3056.67</v>
      </c>
      <c r="I948" s="11">
        <f>VLOOKUP(A948,'Operational Data'!$A$2:$E$201,5,FALSE)</f>
        <v>52.68</v>
      </c>
      <c r="J948" s="21">
        <f t="shared" si="14"/>
        <v>8.8884507042253522E-2</v>
      </c>
    </row>
    <row r="949" spans="1:10" x14ac:dyDescent="0.25">
      <c r="A949" s="20" t="s">
        <v>67</v>
      </c>
      <c r="B949" s="20" t="s">
        <v>7</v>
      </c>
      <c r="C949" s="20" t="s">
        <v>13</v>
      </c>
      <c r="D949" s="20" t="s">
        <v>28</v>
      </c>
      <c r="E949" s="20" t="s">
        <v>24</v>
      </c>
      <c r="F949" s="20">
        <v>4152.62</v>
      </c>
      <c r="G949" s="11">
        <f>VLOOKUP(A949,'Operational Data'!$A$2:$E$201,3,FALSE)</f>
        <v>70582</v>
      </c>
      <c r="H949" s="11">
        <f>VLOOKUP(A949,'Operational Data'!$A$2:$E$201,4,FALSE)</f>
        <v>7517.59</v>
      </c>
      <c r="I949" s="11">
        <f>VLOOKUP(A949,'Operational Data'!$A$2:$E$201,5,FALSE)</f>
        <v>95.71</v>
      </c>
      <c r="J949" s="21">
        <f t="shared" si="14"/>
        <v>5.8833980334929585E-2</v>
      </c>
    </row>
    <row r="950" spans="1:10" x14ac:dyDescent="0.25">
      <c r="A950" s="20" t="s">
        <v>159</v>
      </c>
      <c r="B950" s="20" t="s">
        <v>7</v>
      </c>
      <c r="C950" s="20" t="s">
        <v>13</v>
      </c>
      <c r="D950" s="20" t="s">
        <v>9</v>
      </c>
      <c r="E950" s="20" t="s">
        <v>15</v>
      </c>
      <c r="F950" s="20">
        <v>5429.1162919999997</v>
      </c>
      <c r="G950" s="11">
        <f>VLOOKUP(A950,'Operational Data'!$A$2:$E$201,3,FALSE)</f>
        <v>47727</v>
      </c>
      <c r="H950" s="11">
        <f>VLOOKUP(A950,'Operational Data'!$A$2:$E$201,4,FALSE)</f>
        <v>8907.33</v>
      </c>
      <c r="I950" s="11">
        <f>VLOOKUP(A950,'Operational Data'!$A$2:$E$201,5,FALSE)</f>
        <v>47.4</v>
      </c>
      <c r="J950" s="21">
        <f t="shared" si="14"/>
        <v>0.11375356280512078</v>
      </c>
    </row>
    <row r="951" spans="1:10" x14ac:dyDescent="0.25">
      <c r="A951" s="20" t="s">
        <v>193</v>
      </c>
      <c r="B951" s="20" t="s">
        <v>12</v>
      </c>
      <c r="C951" s="20" t="s">
        <v>23</v>
      </c>
      <c r="D951" s="20" t="s">
        <v>9</v>
      </c>
      <c r="E951" s="20" t="s">
        <v>24</v>
      </c>
      <c r="F951" s="20">
        <v>4835.4238480000004</v>
      </c>
      <c r="G951" s="11">
        <f>VLOOKUP(A951,'Operational Data'!$A$2:$E$201,3,FALSE)</f>
        <v>13333</v>
      </c>
      <c r="H951" s="11">
        <f>VLOOKUP(A951,'Operational Data'!$A$2:$E$201,4,FALSE)</f>
        <v>6102.15</v>
      </c>
      <c r="I951" s="11">
        <f>VLOOKUP(A951,'Operational Data'!$A$2:$E$201,5,FALSE)</f>
        <v>17.670000000000002</v>
      </c>
      <c r="J951" s="21">
        <f t="shared" si="14"/>
        <v>0.36266585524638117</v>
      </c>
    </row>
    <row r="952" spans="1:10" x14ac:dyDescent="0.25">
      <c r="A952" s="20" t="s">
        <v>101</v>
      </c>
      <c r="B952" s="20" t="s">
        <v>19</v>
      </c>
      <c r="C952" s="20" t="s">
        <v>23</v>
      </c>
      <c r="D952" s="20" t="s">
        <v>28</v>
      </c>
      <c r="E952" s="20" t="s">
        <v>15</v>
      </c>
      <c r="F952" s="20">
        <v>783.3</v>
      </c>
      <c r="G952" s="11">
        <f>VLOOKUP(A952,'Operational Data'!$A$2:$E$201,3,FALSE)</f>
        <v>39050</v>
      </c>
      <c r="H952" s="11">
        <f>VLOOKUP(A952,'Operational Data'!$A$2:$E$201,4,FALSE)</f>
        <v>5885.73</v>
      </c>
      <c r="I952" s="11">
        <f>VLOOKUP(A952,'Operational Data'!$A$2:$E$201,5,FALSE)</f>
        <v>93.04</v>
      </c>
      <c r="J952" s="21">
        <f t="shared" si="14"/>
        <v>2.0058898847631242E-2</v>
      </c>
    </row>
    <row r="953" spans="1:10" x14ac:dyDescent="0.25">
      <c r="A953" s="20" t="s">
        <v>112</v>
      </c>
      <c r="B953" s="20" t="s">
        <v>30</v>
      </c>
      <c r="C953" s="20" t="s">
        <v>8</v>
      </c>
      <c r="D953" s="20" t="s">
        <v>28</v>
      </c>
      <c r="E953" s="20" t="s">
        <v>24</v>
      </c>
      <c r="F953" s="20">
        <v>4038.18</v>
      </c>
      <c r="G953" s="11">
        <f>VLOOKUP(A953,'Operational Data'!$A$2:$E$201,3,FALSE)</f>
        <v>43294</v>
      </c>
      <c r="H953" s="11">
        <f>VLOOKUP(A953,'Operational Data'!$A$2:$E$201,4,FALSE)</f>
        <v>3802.13</v>
      </c>
      <c r="I953" s="11">
        <f>VLOOKUP(A953,'Operational Data'!$A$2:$E$201,5,FALSE)</f>
        <v>45.84</v>
      </c>
      <c r="J953" s="21">
        <f t="shared" si="14"/>
        <v>9.3273432808241324E-2</v>
      </c>
    </row>
    <row r="954" spans="1:10" ht="30" x14ac:dyDescent="0.25">
      <c r="A954" s="20" t="s">
        <v>140</v>
      </c>
      <c r="B954" s="20" t="s">
        <v>17</v>
      </c>
      <c r="C954" s="20" t="s">
        <v>13</v>
      </c>
      <c r="D954" s="20" t="s">
        <v>9</v>
      </c>
      <c r="E954" s="20" t="s">
        <v>10</v>
      </c>
      <c r="F954" s="20">
        <v>4925.5299789999999</v>
      </c>
      <c r="G954" s="11">
        <f>VLOOKUP(A954,'Operational Data'!$A$2:$E$201,3,FALSE)</f>
        <v>88308</v>
      </c>
      <c r="H954" s="11">
        <f>VLOOKUP(A954,'Operational Data'!$A$2:$E$201,4,FALSE)</f>
        <v>7802.07</v>
      </c>
      <c r="I954" s="11">
        <f>VLOOKUP(A954,'Operational Data'!$A$2:$E$201,5,FALSE)</f>
        <v>36.130000000000003</v>
      </c>
      <c r="J954" s="21">
        <f t="shared" si="14"/>
        <v>5.5776713083752323E-2</v>
      </c>
    </row>
    <row r="955" spans="1:10" ht="30" x14ac:dyDescent="0.25">
      <c r="A955" s="20" t="s">
        <v>20</v>
      </c>
      <c r="B955" s="20" t="s">
        <v>17</v>
      </c>
      <c r="C955" s="20" t="s">
        <v>23</v>
      </c>
      <c r="D955" s="20" t="s">
        <v>9</v>
      </c>
      <c r="E955" s="20" t="s">
        <v>10</v>
      </c>
      <c r="F955" s="20">
        <v>2926.74557</v>
      </c>
      <c r="G955" s="11">
        <f>VLOOKUP(A955,'Operational Data'!$A$2:$E$201,3,FALSE)</f>
        <v>29895</v>
      </c>
      <c r="H955" s="11">
        <f>VLOOKUP(A955,'Operational Data'!$A$2:$E$201,4,FALSE)</f>
        <v>1631.08</v>
      </c>
      <c r="I955" s="11">
        <f>VLOOKUP(A955,'Operational Data'!$A$2:$E$201,5,FALSE)</f>
        <v>39.93</v>
      </c>
      <c r="J955" s="21">
        <f t="shared" si="14"/>
        <v>9.7900838601772872E-2</v>
      </c>
    </row>
    <row r="956" spans="1:10" x14ac:dyDescent="0.25">
      <c r="A956" s="20" t="s">
        <v>170</v>
      </c>
      <c r="B956" s="20" t="s">
        <v>12</v>
      </c>
      <c r="C956" s="20" t="s">
        <v>8</v>
      </c>
      <c r="D956" s="20" t="s">
        <v>28</v>
      </c>
      <c r="E956" s="20" t="s">
        <v>15</v>
      </c>
      <c r="F956" s="20">
        <v>1931.14</v>
      </c>
      <c r="G956" s="11">
        <f>VLOOKUP(A956,'Operational Data'!$A$2:$E$201,3,FALSE)</f>
        <v>54133</v>
      </c>
      <c r="H956" s="11">
        <f>VLOOKUP(A956,'Operational Data'!$A$2:$E$201,4,FALSE)</f>
        <v>8543.68</v>
      </c>
      <c r="I956" s="11">
        <f>VLOOKUP(A956,'Operational Data'!$A$2:$E$201,5,FALSE)</f>
        <v>24</v>
      </c>
      <c r="J956" s="21">
        <f t="shared" si="14"/>
        <v>3.5673988140321064E-2</v>
      </c>
    </row>
    <row r="957" spans="1:10" ht="30" x14ac:dyDescent="0.25">
      <c r="A957" s="20" t="s">
        <v>80</v>
      </c>
      <c r="B957" s="20" t="s">
        <v>17</v>
      </c>
      <c r="C957" s="20" t="s">
        <v>13</v>
      </c>
      <c r="D957" s="20" t="s">
        <v>9</v>
      </c>
      <c r="E957" s="20" t="s">
        <v>24</v>
      </c>
      <c r="F957" s="20">
        <v>3586.9128329999999</v>
      </c>
      <c r="G957" s="11">
        <f>VLOOKUP(A957,'Operational Data'!$A$2:$E$201,3,FALSE)</f>
        <v>75508</v>
      </c>
      <c r="H957" s="11">
        <f>VLOOKUP(A957,'Operational Data'!$A$2:$E$201,4,FALSE)</f>
        <v>6856.22</v>
      </c>
      <c r="I957" s="11">
        <f>VLOOKUP(A957,'Operational Data'!$A$2:$E$201,5,FALSE)</f>
        <v>18.2</v>
      </c>
      <c r="J957" s="21">
        <f t="shared" si="14"/>
        <v>4.7503745735551196E-2</v>
      </c>
    </row>
    <row r="958" spans="1:10" x14ac:dyDescent="0.25">
      <c r="A958" s="20" t="s">
        <v>217</v>
      </c>
      <c r="B958" s="20" t="s">
        <v>19</v>
      </c>
      <c r="C958" s="20" t="s">
        <v>34</v>
      </c>
      <c r="D958" s="20" t="s">
        <v>14</v>
      </c>
      <c r="E958" s="20" t="s">
        <v>15</v>
      </c>
      <c r="F958" s="20">
        <v>2192.19</v>
      </c>
      <c r="G958" s="11">
        <f>VLOOKUP(A958,'Operational Data'!$A$2:$E$201,3,FALSE)</f>
        <v>80824</v>
      </c>
      <c r="H958" s="11">
        <f>VLOOKUP(A958,'Operational Data'!$A$2:$E$201,4,FALSE)</f>
        <v>2858.92</v>
      </c>
      <c r="I958" s="11">
        <f>VLOOKUP(A958,'Operational Data'!$A$2:$E$201,5,FALSE)</f>
        <v>13.97</v>
      </c>
      <c r="J958" s="21">
        <f t="shared" si="14"/>
        <v>2.7123008017420569E-2</v>
      </c>
    </row>
    <row r="959" spans="1:10" x14ac:dyDescent="0.25">
      <c r="A959" s="20" t="s">
        <v>55</v>
      </c>
      <c r="B959" s="20" t="s">
        <v>12</v>
      </c>
      <c r="C959" s="20" t="s">
        <v>34</v>
      </c>
      <c r="D959" s="20" t="s">
        <v>28</v>
      </c>
      <c r="E959" s="20" t="s">
        <v>15</v>
      </c>
      <c r="F959" s="20">
        <v>3113.98</v>
      </c>
      <c r="G959" s="11">
        <f>VLOOKUP(A959,'Operational Data'!$A$2:$E$201,3,FALSE)</f>
        <v>38181</v>
      </c>
      <c r="H959" s="11">
        <f>VLOOKUP(A959,'Operational Data'!$A$2:$E$201,4,FALSE)</f>
        <v>691.84</v>
      </c>
      <c r="I959" s="11">
        <f>VLOOKUP(A959,'Operational Data'!$A$2:$E$201,5,FALSE)</f>
        <v>33.53</v>
      </c>
      <c r="J959" s="21">
        <f t="shared" si="14"/>
        <v>8.1558366726906056E-2</v>
      </c>
    </row>
    <row r="960" spans="1:10" ht="30" x14ac:dyDescent="0.25">
      <c r="A960" s="20" t="s">
        <v>142</v>
      </c>
      <c r="B960" s="20" t="s">
        <v>17</v>
      </c>
      <c r="C960" s="20" t="s">
        <v>34</v>
      </c>
      <c r="D960" s="20" t="s">
        <v>9</v>
      </c>
      <c r="E960" s="20" t="s">
        <v>10</v>
      </c>
      <c r="F960" s="20">
        <v>4943.0830340000002</v>
      </c>
      <c r="G960" s="11">
        <f>VLOOKUP(A960,'Operational Data'!$A$2:$E$201,3,FALSE)</f>
        <v>75736</v>
      </c>
      <c r="H960" s="11">
        <f>VLOOKUP(A960,'Operational Data'!$A$2:$E$201,4,FALSE)</f>
        <v>6287.07</v>
      </c>
      <c r="I960" s="11">
        <f>VLOOKUP(A960,'Operational Data'!$A$2:$E$201,5,FALSE)</f>
        <v>63.11</v>
      </c>
      <c r="J960" s="21">
        <f t="shared" si="14"/>
        <v>6.5267284171331999E-2</v>
      </c>
    </row>
    <row r="961" spans="1:10" x14ac:dyDescent="0.25">
      <c r="A961" s="20" t="s">
        <v>214</v>
      </c>
      <c r="B961" s="20" t="s">
        <v>30</v>
      </c>
      <c r="C961" s="20" t="s">
        <v>8</v>
      </c>
      <c r="D961" s="20" t="s">
        <v>14</v>
      </c>
      <c r="E961" s="20" t="s">
        <v>15</v>
      </c>
      <c r="F961" s="20">
        <v>4608.99</v>
      </c>
      <c r="G961" s="11">
        <f>VLOOKUP(A961,'Operational Data'!$A$2:$E$201,3,FALSE)</f>
        <v>79330</v>
      </c>
      <c r="H961" s="11">
        <f>VLOOKUP(A961,'Operational Data'!$A$2:$E$201,4,FALSE)</f>
        <v>6075.23</v>
      </c>
      <c r="I961" s="11">
        <f>VLOOKUP(A961,'Operational Data'!$A$2:$E$201,5,FALSE)</f>
        <v>83.97</v>
      </c>
      <c r="J961" s="21">
        <f t="shared" si="14"/>
        <v>5.8098953737551993E-2</v>
      </c>
    </row>
    <row r="962" spans="1:10" x14ac:dyDescent="0.25">
      <c r="A962" s="20" t="s">
        <v>56</v>
      </c>
      <c r="B962" s="20" t="s">
        <v>19</v>
      </c>
      <c r="C962" s="20" t="s">
        <v>13</v>
      </c>
      <c r="D962" s="20" t="s">
        <v>28</v>
      </c>
      <c r="E962" s="20" t="s">
        <v>15</v>
      </c>
      <c r="F962" s="20">
        <v>548.27</v>
      </c>
      <c r="G962" s="11">
        <f>VLOOKUP(A962,'Operational Data'!$A$2:$E$201,3,FALSE)</f>
        <v>43747</v>
      </c>
      <c r="H962" s="11">
        <f>VLOOKUP(A962,'Operational Data'!$A$2:$E$201,4,FALSE)</f>
        <v>3453.48</v>
      </c>
      <c r="I962" s="11">
        <f>VLOOKUP(A962,'Operational Data'!$A$2:$E$201,5,FALSE)</f>
        <v>98.78</v>
      </c>
      <c r="J962" s="21">
        <f t="shared" si="14"/>
        <v>1.2532745102521316E-2</v>
      </c>
    </row>
    <row r="963" spans="1:10" x14ac:dyDescent="0.25">
      <c r="A963" s="20" t="s">
        <v>61</v>
      </c>
      <c r="B963" s="20" t="s">
        <v>30</v>
      </c>
      <c r="C963" s="20" t="s">
        <v>8</v>
      </c>
      <c r="D963" s="20" t="s">
        <v>9</v>
      </c>
      <c r="E963" s="20" t="s">
        <v>10</v>
      </c>
      <c r="F963" s="20">
        <v>2949.1193939999998</v>
      </c>
      <c r="G963" s="11">
        <f>VLOOKUP(A963,'Operational Data'!$A$2:$E$201,3,FALSE)</f>
        <v>95718</v>
      </c>
      <c r="H963" s="11">
        <f>VLOOKUP(A963,'Operational Data'!$A$2:$E$201,4,FALSE)</f>
        <v>2443.12</v>
      </c>
      <c r="I963" s="11">
        <f>VLOOKUP(A963,'Operational Data'!$A$2:$E$201,5,FALSE)</f>
        <v>35.49</v>
      </c>
      <c r="J963" s="21">
        <f t="shared" ref="J963:J1026" si="15">F963/G963</f>
        <v>3.0810499529868987E-2</v>
      </c>
    </row>
    <row r="964" spans="1:10" x14ac:dyDescent="0.25">
      <c r="A964" s="20" t="s">
        <v>41</v>
      </c>
      <c r="B964" s="20" t="s">
        <v>30</v>
      </c>
      <c r="C964" s="20" t="s">
        <v>34</v>
      </c>
      <c r="D964" s="20" t="s">
        <v>9</v>
      </c>
      <c r="E964" s="20" t="s">
        <v>24</v>
      </c>
      <c r="F964" s="20">
        <v>2617.0703119999998</v>
      </c>
      <c r="G964" s="11">
        <f>VLOOKUP(A964,'Operational Data'!$A$2:$E$201,3,FALSE)</f>
        <v>61743</v>
      </c>
      <c r="H964" s="11">
        <f>VLOOKUP(A964,'Operational Data'!$A$2:$E$201,4,FALSE)</f>
        <v>7426.75</v>
      </c>
      <c r="I964" s="11">
        <f>VLOOKUP(A964,'Operational Data'!$A$2:$E$201,5,FALSE)</f>
        <v>26.39</v>
      </c>
      <c r="J964" s="21">
        <f t="shared" si="15"/>
        <v>4.2386510406037928E-2</v>
      </c>
    </row>
    <row r="965" spans="1:10" x14ac:dyDescent="0.25">
      <c r="A965" s="20" t="s">
        <v>92</v>
      </c>
      <c r="B965" s="20" t="s">
        <v>30</v>
      </c>
      <c r="C965" s="20" t="s">
        <v>34</v>
      </c>
      <c r="D965" s="20" t="s">
        <v>14</v>
      </c>
      <c r="E965" s="20" t="s">
        <v>15</v>
      </c>
      <c r="F965" s="20">
        <v>4990.76</v>
      </c>
      <c r="G965" s="11">
        <f>VLOOKUP(A965,'Operational Data'!$A$2:$E$201,3,FALSE)</f>
        <v>18726</v>
      </c>
      <c r="H965" s="11">
        <f>VLOOKUP(A965,'Operational Data'!$A$2:$E$201,4,FALSE)</f>
        <v>5099.54</v>
      </c>
      <c r="I965" s="11">
        <f>VLOOKUP(A965,'Operational Data'!$A$2:$E$201,5,FALSE)</f>
        <v>71.05</v>
      </c>
      <c r="J965" s="21">
        <f t="shared" si="15"/>
        <v>0.26651500587418564</v>
      </c>
    </row>
    <row r="966" spans="1:10" x14ac:dyDescent="0.25">
      <c r="A966" s="20" t="s">
        <v>182</v>
      </c>
      <c r="B966" s="20" t="s">
        <v>12</v>
      </c>
      <c r="C966" s="20" t="s">
        <v>34</v>
      </c>
      <c r="D966" s="20" t="s">
        <v>28</v>
      </c>
      <c r="E966" s="20" t="s">
        <v>15</v>
      </c>
      <c r="F966" s="20">
        <v>922.25</v>
      </c>
      <c r="G966" s="11">
        <f>VLOOKUP(A966,'Operational Data'!$A$2:$E$201,3,FALSE)</f>
        <v>21081</v>
      </c>
      <c r="H966" s="11">
        <f>VLOOKUP(A966,'Operational Data'!$A$2:$E$201,4,FALSE)</f>
        <v>9001.77</v>
      </c>
      <c r="I966" s="11">
        <f>VLOOKUP(A966,'Operational Data'!$A$2:$E$201,5,FALSE)</f>
        <v>49.27</v>
      </c>
      <c r="J966" s="21">
        <f t="shared" si="15"/>
        <v>4.3747924671505144E-2</v>
      </c>
    </row>
    <row r="967" spans="1:10" x14ac:dyDescent="0.25">
      <c r="A967" s="20" t="s">
        <v>68</v>
      </c>
      <c r="B967" s="20" t="s">
        <v>12</v>
      </c>
      <c r="C967" s="20" t="s">
        <v>23</v>
      </c>
      <c r="D967" s="20" t="s">
        <v>14</v>
      </c>
      <c r="E967" s="20" t="s">
        <v>15</v>
      </c>
      <c r="F967" s="20">
        <v>1919.35</v>
      </c>
      <c r="G967" s="11">
        <f>VLOOKUP(A967,'Operational Data'!$A$2:$E$201,3,FALSE)</f>
        <v>69100</v>
      </c>
      <c r="H967" s="11">
        <f>VLOOKUP(A967,'Operational Data'!$A$2:$E$201,4,FALSE)</f>
        <v>9356.02</v>
      </c>
      <c r="I967" s="11">
        <f>VLOOKUP(A967,'Operational Data'!$A$2:$E$201,5,FALSE)</f>
        <v>16.5</v>
      </c>
      <c r="J967" s="21">
        <f t="shared" si="15"/>
        <v>2.7776410998552822E-2</v>
      </c>
    </row>
    <row r="968" spans="1:10" x14ac:dyDescent="0.25">
      <c r="A968" s="20" t="s">
        <v>192</v>
      </c>
      <c r="B968" s="20" t="s">
        <v>19</v>
      </c>
      <c r="C968" s="20" t="s">
        <v>34</v>
      </c>
      <c r="D968" s="20" t="s">
        <v>9</v>
      </c>
      <c r="E968" s="20" t="s">
        <v>24</v>
      </c>
      <c r="F968" s="20">
        <v>3296.9829679999998</v>
      </c>
      <c r="G968" s="11">
        <f>VLOOKUP(A968,'Operational Data'!$A$2:$E$201,3,FALSE)</f>
        <v>43227</v>
      </c>
      <c r="H968" s="11">
        <f>VLOOKUP(A968,'Operational Data'!$A$2:$E$201,4,FALSE)</f>
        <v>5199.53</v>
      </c>
      <c r="I968" s="11">
        <f>VLOOKUP(A968,'Operational Data'!$A$2:$E$201,5,FALSE)</f>
        <v>44.09</v>
      </c>
      <c r="J968" s="21">
        <f t="shared" si="15"/>
        <v>7.6271380572327477E-2</v>
      </c>
    </row>
    <row r="969" spans="1:10" x14ac:dyDescent="0.25">
      <c r="A969" s="20" t="s">
        <v>102</v>
      </c>
      <c r="B969" s="20" t="s">
        <v>19</v>
      </c>
      <c r="C969" s="20" t="s">
        <v>13</v>
      </c>
      <c r="D969" s="20" t="s">
        <v>28</v>
      </c>
      <c r="E969" s="20" t="s">
        <v>24</v>
      </c>
      <c r="F969" s="20">
        <v>3879.07</v>
      </c>
      <c r="G969" s="11">
        <f>VLOOKUP(A969,'Operational Data'!$A$2:$E$201,3,FALSE)</f>
        <v>86263</v>
      </c>
      <c r="H969" s="11">
        <f>VLOOKUP(A969,'Operational Data'!$A$2:$E$201,4,FALSE)</f>
        <v>3213.71</v>
      </c>
      <c r="I969" s="11">
        <f>VLOOKUP(A969,'Operational Data'!$A$2:$E$201,5,FALSE)</f>
        <v>98.39</v>
      </c>
      <c r="J969" s="21">
        <f t="shared" si="15"/>
        <v>4.4967946860183391E-2</v>
      </c>
    </row>
    <row r="970" spans="1:10" x14ac:dyDescent="0.25">
      <c r="A970" s="20" t="s">
        <v>177</v>
      </c>
      <c r="B970" s="20" t="s">
        <v>7</v>
      </c>
      <c r="C970" s="20" t="s">
        <v>23</v>
      </c>
      <c r="D970" s="20" t="s">
        <v>9</v>
      </c>
      <c r="E970" s="20" t="s">
        <v>15</v>
      </c>
      <c r="F970" s="20">
        <v>3326.9593620000001</v>
      </c>
      <c r="G970" s="11">
        <f>VLOOKUP(A970,'Operational Data'!$A$2:$E$201,3,FALSE)</f>
        <v>17097</v>
      </c>
      <c r="H970" s="11">
        <f>VLOOKUP(A970,'Operational Data'!$A$2:$E$201,4,FALSE)</f>
        <v>9061.7800000000007</v>
      </c>
      <c r="I970" s="11">
        <f>VLOOKUP(A970,'Operational Data'!$A$2:$E$201,5,FALSE)</f>
        <v>95.92</v>
      </c>
      <c r="J970" s="21">
        <f t="shared" si="15"/>
        <v>0.19459316616950342</v>
      </c>
    </row>
    <row r="971" spans="1:10" x14ac:dyDescent="0.25">
      <c r="A971" s="20" t="s">
        <v>113</v>
      </c>
      <c r="B971" s="20" t="s">
        <v>30</v>
      </c>
      <c r="C971" s="20" t="s">
        <v>13</v>
      </c>
      <c r="D971" s="20" t="s">
        <v>9</v>
      </c>
      <c r="E971" s="20" t="s">
        <v>15</v>
      </c>
      <c r="F971" s="20">
        <v>2620.3764460000002</v>
      </c>
      <c r="G971" s="11">
        <f>VLOOKUP(A971,'Operational Data'!$A$2:$E$201,3,FALSE)</f>
        <v>90679</v>
      </c>
      <c r="H971" s="11">
        <f>VLOOKUP(A971,'Operational Data'!$A$2:$E$201,4,FALSE)</f>
        <v>7266.82</v>
      </c>
      <c r="I971" s="11">
        <f>VLOOKUP(A971,'Operational Data'!$A$2:$E$201,5,FALSE)</f>
        <v>23.3</v>
      </c>
      <c r="J971" s="21">
        <f t="shared" si="15"/>
        <v>2.8897279921481271E-2</v>
      </c>
    </row>
    <row r="972" spans="1:10" x14ac:dyDescent="0.25">
      <c r="A972" s="20" t="s">
        <v>100</v>
      </c>
      <c r="B972" s="20" t="s">
        <v>7</v>
      </c>
      <c r="C972" s="20" t="s">
        <v>23</v>
      </c>
      <c r="D972" s="20" t="s">
        <v>28</v>
      </c>
      <c r="E972" s="20" t="s">
        <v>10</v>
      </c>
      <c r="F972" s="20">
        <v>3511.53</v>
      </c>
      <c r="G972" s="11">
        <f>VLOOKUP(A972,'Operational Data'!$A$2:$E$201,3,FALSE)</f>
        <v>17468</v>
      </c>
      <c r="H972" s="11">
        <f>VLOOKUP(A972,'Operational Data'!$A$2:$E$201,4,FALSE)</f>
        <v>6359.73</v>
      </c>
      <c r="I972" s="11">
        <f>VLOOKUP(A972,'Operational Data'!$A$2:$E$201,5,FALSE)</f>
        <v>5.22</v>
      </c>
      <c r="J972" s="21">
        <f t="shared" si="15"/>
        <v>0.20102644836272041</v>
      </c>
    </row>
    <row r="973" spans="1:10" x14ac:dyDescent="0.25">
      <c r="A973" s="20" t="s">
        <v>200</v>
      </c>
      <c r="B973" s="20" t="s">
        <v>30</v>
      </c>
      <c r="C973" s="20" t="s">
        <v>8</v>
      </c>
      <c r="D973" s="20" t="s">
        <v>28</v>
      </c>
      <c r="E973" s="20" t="s">
        <v>15</v>
      </c>
      <c r="F973" s="20">
        <v>402.68</v>
      </c>
      <c r="G973" s="11">
        <f>VLOOKUP(A973,'Operational Data'!$A$2:$E$201,3,FALSE)</f>
        <v>46863</v>
      </c>
      <c r="H973" s="11">
        <f>VLOOKUP(A973,'Operational Data'!$A$2:$E$201,4,FALSE)</f>
        <v>6762.98</v>
      </c>
      <c r="I973" s="11">
        <f>VLOOKUP(A973,'Operational Data'!$A$2:$E$201,5,FALSE)</f>
        <v>23.45</v>
      </c>
      <c r="J973" s="21">
        <f t="shared" si="15"/>
        <v>8.5927063995049398E-3</v>
      </c>
    </row>
    <row r="974" spans="1:10" ht="30" x14ac:dyDescent="0.25">
      <c r="A974" s="20" t="s">
        <v>147</v>
      </c>
      <c r="B974" s="20" t="s">
        <v>17</v>
      </c>
      <c r="C974" s="20" t="s">
        <v>34</v>
      </c>
      <c r="D974" s="20" t="s">
        <v>14</v>
      </c>
      <c r="E974" s="20" t="s">
        <v>10</v>
      </c>
      <c r="F974" s="20">
        <v>3834.83</v>
      </c>
      <c r="G974" s="11">
        <f>VLOOKUP(A974,'Operational Data'!$A$2:$E$201,3,FALSE)</f>
        <v>24095</v>
      </c>
      <c r="H974" s="11">
        <f>VLOOKUP(A974,'Operational Data'!$A$2:$E$201,4,FALSE)</f>
        <v>3167.52</v>
      </c>
      <c r="I974" s="11">
        <f>VLOOKUP(A974,'Operational Data'!$A$2:$E$201,5,FALSE)</f>
        <v>31.02</v>
      </c>
      <c r="J974" s="21">
        <f t="shared" si="15"/>
        <v>0.15915459638929239</v>
      </c>
    </row>
    <row r="975" spans="1:10" x14ac:dyDescent="0.25">
      <c r="A975" s="20" t="s">
        <v>123</v>
      </c>
      <c r="B975" s="20" t="s">
        <v>30</v>
      </c>
      <c r="C975" s="20" t="s">
        <v>13</v>
      </c>
      <c r="D975" s="20" t="s">
        <v>14</v>
      </c>
      <c r="E975" s="20" t="s">
        <v>15</v>
      </c>
      <c r="F975" s="20">
        <v>2705.01</v>
      </c>
      <c r="G975" s="11">
        <f>VLOOKUP(A975,'Operational Data'!$A$2:$E$201,3,FALSE)</f>
        <v>73977</v>
      </c>
      <c r="H975" s="11">
        <f>VLOOKUP(A975,'Operational Data'!$A$2:$E$201,4,FALSE)</f>
        <v>1646.75</v>
      </c>
      <c r="I975" s="11">
        <f>VLOOKUP(A975,'Operational Data'!$A$2:$E$201,5,FALSE)</f>
        <v>43.77</v>
      </c>
      <c r="J975" s="21">
        <f t="shared" si="15"/>
        <v>3.6565554158725012E-2</v>
      </c>
    </row>
    <row r="976" spans="1:10" x14ac:dyDescent="0.25">
      <c r="A976" s="20" t="s">
        <v>151</v>
      </c>
      <c r="B976" s="20" t="s">
        <v>12</v>
      </c>
      <c r="C976" s="20" t="s">
        <v>13</v>
      </c>
      <c r="D976" s="20" t="s">
        <v>14</v>
      </c>
      <c r="E976" s="20" t="s">
        <v>15</v>
      </c>
      <c r="F976" s="20">
        <v>2242.38</v>
      </c>
      <c r="G976" s="11">
        <f>VLOOKUP(A976,'Operational Data'!$A$2:$E$201,3,FALSE)</f>
        <v>61207</v>
      </c>
      <c r="H976" s="11">
        <f>VLOOKUP(A976,'Operational Data'!$A$2:$E$201,4,FALSE)</f>
        <v>6922.33</v>
      </c>
      <c r="I976" s="11">
        <f>VLOOKUP(A976,'Operational Data'!$A$2:$E$201,5,FALSE)</f>
        <v>9.1999999999999993</v>
      </c>
      <c r="J976" s="21">
        <f t="shared" si="15"/>
        <v>3.6636005685624196E-2</v>
      </c>
    </row>
    <row r="977" spans="1:10" ht="30" x14ac:dyDescent="0.25">
      <c r="A977" s="20" t="s">
        <v>58</v>
      </c>
      <c r="B977" s="20" t="s">
        <v>17</v>
      </c>
      <c r="C977" s="20" t="s">
        <v>34</v>
      </c>
      <c r="D977" s="20" t="s">
        <v>9</v>
      </c>
      <c r="E977" s="20" t="s">
        <v>15</v>
      </c>
      <c r="F977" s="20">
        <v>1860.7437640000001</v>
      </c>
      <c r="G977" s="11">
        <f>VLOOKUP(A977,'Operational Data'!$A$2:$E$201,3,FALSE)</f>
        <v>32246</v>
      </c>
      <c r="H977" s="11">
        <f>VLOOKUP(A977,'Operational Data'!$A$2:$E$201,4,FALSE)</f>
        <v>7903.93</v>
      </c>
      <c r="I977" s="11">
        <f>VLOOKUP(A977,'Operational Data'!$A$2:$E$201,5,FALSE)</f>
        <v>42.12</v>
      </c>
      <c r="J977" s="21">
        <f t="shared" si="15"/>
        <v>5.7704638218693795E-2</v>
      </c>
    </row>
    <row r="978" spans="1:10" x14ac:dyDescent="0.25">
      <c r="A978" s="20" t="s">
        <v>66</v>
      </c>
      <c r="B978" s="20" t="s">
        <v>30</v>
      </c>
      <c r="C978" s="20" t="s">
        <v>8</v>
      </c>
      <c r="D978" s="20" t="s">
        <v>28</v>
      </c>
      <c r="E978" s="20" t="s">
        <v>24</v>
      </c>
      <c r="F978" s="20">
        <v>2978.15</v>
      </c>
      <c r="G978" s="11">
        <f>VLOOKUP(A978,'Operational Data'!$A$2:$E$201,3,FALSE)</f>
        <v>98396</v>
      </c>
      <c r="H978" s="11">
        <f>VLOOKUP(A978,'Operational Data'!$A$2:$E$201,4,FALSE)</f>
        <v>5174.07</v>
      </c>
      <c r="I978" s="11">
        <f>VLOOKUP(A978,'Operational Data'!$A$2:$E$201,5,FALSE)</f>
        <v>63.38</v>
      </c>
      <c r="J978" s="21">
        <f t="shared" si="15"/>
        <v>3.0266982397658442E-2</v>
      </c>
    </row>
    <row r="979" spans="1:10" x14ac:dyDescent="0.25">
      <c r="A979" s="20" t="s">
        <v>197</v>
      </c>
      <c r="B979" s="20" t="s">
        <v>30</v>
      </c>
      <c r="C979" s="20" t="s">
        <v>23</v>
      </c>
      <c r="D979" s="20" t="s">
        <v>28</v>
      </c>
      <c r="E979" s="20" t="s">
        <v>10</v>
      </c>
      <c r="F979" s="20">
        <v>1338.04</v>
      </c>
      <c r="G979" s="11">
        <f>VLOOKUP(A979,'Operational Data'!$A$2:$E$201,3,FALSE)</f>
        <v>56752</v>
      </c>
      <c r="H979" s="11">
        <f>VLOOKUP(A979,'Operational Data'!$A$2:$E$201,4,FALSE)</f>
        <v>4177.68</v>
      </c>
      <c r="I979" s="11">
        <f>VLOOKUP(A979,'Operational Data'!$A$2:$E$201,5,FALSE)</f>
        <v>10.96</v>
      </c>
      <c r="J979" s="21">
        <f t="shared" si="15"/>
        <v>2.3576966450521566E-2</v>
      </c>
    </row>
    <row r="980" spans="1:10" x14ac:dyDescent="0.25">
      <c r="A980" s="20" t="s">
        <v>65</v>
      </c>
      <c r="B980" s="20" t="s">
        <v>30</v>
      </c>
      <c r="C980" s="20" t="s">
        <v>34</v>
      </c>
      <c r="D980" s="20" t="s">
        <v>28</v>
      </c>
      <c r="E980" s="20" t="s">
        <v>24</v>
      </c>
      <c r="F980" s="20">
        <v>2538.44</v>
      </c>
      <c r="G980" s="11">
        <f>VLOOKUP(A980,'Operational Data'!$A$2:$E$201,3,FALSE)</f>
        <v>99026</v>
      </c>
      <c r="H980" s="11">
        <f>VLOOKUP(A980,'Operational Data'!$A$2:$E$201,4,FALSE)</f>
        <v>5453.2</v>
      </c>
      <c r="I980" s="11">
        <f>VLOOKUP(A980,'Operational Data'!$A$2:$E$201,5,FALSE)</f>
        <v>57.49</v>
      </c>
      <c r="J980" s="21">
        <f t="shared" si="15"/>
        <v>2.5634075899258781E-2</v>
      </c>
    </row>
    <row r="981" spans="1:10" x14ac:dyDescent="0.25">
      <c r="A981" s="20" t="s">
        <v>210</v>
      </c>
      <c r="B981" s="20" t="s">
        <v>7</v>
      </c>
      <c r="C981" s="20" t="s">
        <v>13</v>
      </c>
      <c r="D981" s="20" t="s">
        <v>28</v>
      </c>
      <c r="E981" s="20" t="s">
        <v>24</v>
      </c>
      <c r="F981" s="20">
        <v>1644.11</v>
      </c>
      <c r="G981" s="11">
        <f>VLOOKUP(A981,'Operational Data'!$A$2:$E$201,3,FALSE)</f>
        <v>65666</v>
      </c>
      <c r="H981" s="11">
        <f>VLOOKUP(A981,'Operational Data'!$A$2:$E$201,4,FALSE)</f>
        <v>7269.98</v>
      </c>
      <c r="I981" s="11">
        <f>VLOOKUP(A981,'Operational Data'!$A$2:$E$201,5,FALSE)</f>
        <v>75.62</v>
      </c>
      <c r="J981" s="21">
        <f t="shared" si="15"/>
        <v>2.5037462309262022E-2</v>
      </c>
    </row>
    <row r="982" spans="1:10" x14ac:dyDescent="0.25">
      <c r="A982" s="20" t="s">
        <v>166</v>
      </c>
      <c r="B982" s="20" t="s">
        <v>7</v>
      </c>
      <c r="C982" s="20" t="s">
        <v>13</v>
      </c>
      <c r="D982" s="20" t="s">
        <v>14</v>
      </c>
      <c r="E982" s="20" t="s">
        <v>15</v>
      </c>
      <c r="F982" s="20">
        <v>3858.7</v>
      </c>
      <c r="G982" s="11">
        <f>VLOOKUP(A982,'Operational Data'!$A$2:$E$201,3,FALSE)</f>
        <v>34318</v>
      </c>
      <c r="H982" s="11">
        <f>VLOOKUP(A982,'Operational Data'!$A$2:$E$201,4,FALSE)</f>
        <v>675.67</v>
      </c>
      <c r="I982" s="11">
        <f>VLOOKUP(A982,'Operational Data'!$A$2:$E$201,5,FALSE)</f>
        <v>41.05</v>
      </c>
      <c r="J982" s="21">
        <f t="shared" si="15"/>
        <v>0.11243953610350253</v>
      </c>
    </row>
    <row r="983" spans="1:10" x14ac:dyDescent="0.25">
      <c r="A983" s="20" t="s">
        <v>112</v>
      </c>
      <c r="B983" s="20" t="s">
        <v>30</v>
      </c>
      <c r="C983" s="20" t="s">
        <v>34</v>
      </c>
      <c r="D983" s="20" t="s">
        <v>28</v>
      </c>
      <c r="E983" s="20" t="s">
        <v>24</v>
      </c>
      <c r="F983" s="20">
        <v>2079.69</v>
      </c>
      <c r="G983" s="11">
        <f>VLOOKUP(A983,'Operational Data'!$A$2:$E$201,3,FALSE)</f>
        <v>43294</v>
      </c>
      <c r="H983" s="11">
        <f>VLOOKUP(A983,'Operational Data'!$A$2:$E$201,4,FALSE)</f>
        <v>3802.13</v>
      </c>
      <c r="I983" s="11">
        <f>VLOOKUP(A983,'Operational Data'!$A$2:$E$201,5,FALSE)</f>
        <v>45.84</v>
      </c>
      <c r="J983" s="21">
        <f t="shared" si="15"/>
        <v>4.8036448468609973E-2</v>
      </c>
    </row>
    <row r="984" spans="1:10" x14ac:dyDescent="0.25">
      <c r="A984" s="20" t="s">
        <v>77</v>
      </c>
      <c r="B984" s="20" t="s">
        <v>30</v>
      </c>
      <c r="C984" s="20" t="s">
        <v>8</v>
      </c>
      <c r="D984" s="20" t="s">
        <v>28</v>
      </c>
      <c r="E984" s="20" t="s">
        <v>15</v>
      </c>
      <c r="F984" s="20">
        <v>439.97</v>
      </c>
      <c r="G984" s="11">
        <f>VLOOKUP(A984,'Operational Data'!$A$2:$E$201,3,FALSE)</f>
        <v>61942</v>
      </c>
      <c r="H984" s="11">
        <f>VLOOKUP(A984,'Operational Data'!$A$2:$E$201,4,FALSE)</f>
        <v>4891.32</v>
      </c>
      <c r="I984" s="11">
        <f>VLOOKUP(A984,'Operational Data'!$A$2:$E$201,5,FALSE)</f>
        <v>91.59</v>
      </c>
      <c r="J984" s="21">
        <f t="shared" si="15"/>
        <v>7.1029350037131516E-3</v>
      </c>
    </row>
    <row r="985" spans="1:10" x14ac:dyDescent="0.25">
      <c r="A985" s="20" t="s">
        <v>176</v>
      </c>
      <c r="B985" s="20" t="s">
        <v>19</v>
      </c>
      <c r="C985" s="20" t="s">
        <v>23</v>
      </c>
      <c r="D985" s="20" t="s">
        <v>28</v>
      </c>
      <c r="E985" s="20" t="s">
        <v>10</v>
      </c>
      <c r="F985" s="20">
        <v>1486</v>
      </c>
      <c r="G985" s="11">
        <f>VLOOKUP(A985,'Operational Data'!$A$2:$E$201,3,FALSE)</f>
        <v>10907</v>
      </c>
      <c r="H985" s="11">
        <f>VLOOKUP(A985,'Operational Data'!$A$2:$E$201,4,FALSE)</f>
        <v>4748.66</v>
      </c>
      <c r="I985" s="11">
        <f>VLOOKUP(A985,'Operational Data'!$A$2:$E$201,5,FALSE)</f>
        <v>39.36</v>
      </c>
      <c r="J985" s="21">
        <f t="shared" si="15"/>
        <v>0.136242779866141</v>
      </c>
    </row>
    <row r="986" spans="1:10" x14ac:dyDescent="0.25">
      <c r="A986" s="20" t="s">
        <v>179</v>
      </c>
      <c r="B986" s="20" t="s">
        <v>7</v>
      </c>
      <c r="C986" s="20" t="s">
        <v>23</v>
      </c>
      <c r="D986" s="20" t="s">
        <v>9</v>
      </c>
      <c r="E986" s="20" t="s">
        <v>24</v>
      </c>
      <c r="F986" s="20">
        <v>396.69632039999999</v>
      </c>
      <c r="G986" s="11">
        <f>VLOOKUP(A986,'Operational Data'!$A$2:$E$201,3,FALSE)</f>
        <v>94393</v>
      </c>
      <c r="H986" s="11">
        <f>VLOOKUP(A986,'Operational Data'!$A$2:$E$201,4,FALSE)</f>
        <v>6691.7</v>
      </c>
      <c r="I986" s="11">
        <f>VLOOKUP(A986,'Operational Data'!$A$2:$E$201,5,FALSE)</f>
        <v>74.790000000000006</v>
      </c>
      <c r="J986" s="21">
        <f t="shared" si="15"/>
        <v>4.2026031633701647E-3</v>
      </c>
    </row>
    <row r="987" spans="1:10" x14ac:dyDescent="0.25">
      <c r="A987" s="20" t="s">
        <v>135</v>
      </c>
      <c r="B987" s="20" t="s">
        <v>12</v>
      </c>
      <c r="C987" s="20" t="s">
        <v>13</v>
      </c>
      <c r="D987" s="20" t="s">
        <v>9</v>
      </c>
      <c r="E987" s="20" t="s">
        <v>15</v>
      </c>
      <c r="F987" s="20">
        <v>1724.46</v>
      </c>
      <c r="G987" s="11">
        <f>VLOOKUP(A987,'Operational Data'!$A$2:$E$201,3,FALSE)</f>
        <v>39560</v>
      </c>
      <c r="H987" s="11">
        <f>VLOOKUP(A987,'Operational Data'!$A$2:$E$201,4,FALSE)</f>
        <v>8380.77</v>
      </c>
      <c r="I987" s="11">
        <f>VLOOKUP(A987,'Operational Data'!$A$2:$E$201,5,FALSE)</f>
        <v>94.01</v>
      </c>
      <c r="J987" s="21">
        <f t="shared" si="15"/>
        <v>4.3591001011122343E-2</v>
      </c>
    </row>
    <row r="988" spans="1:10" x14ac:dyDescent="0.25">
      <c r="A988" s="20" t="s">
        <v>77</v>
      </c>
      <c r="B988" s="20" t="s">
        <v>30</v>
      </c>
      <c r="C988" s="20" t="s">
        <v>23</v>
      </c>
      <c r="D988" s="20" t="s">
        <v>28</v>
      </c>
      <c r="E988" s="20" t="s">
        <v>15</v>
      </c>
      <c r="F988" s="20">
        <v>3569.77</v>
      </c>
      <c r="G988" s="11">
        <f>VLOOKUP(A988,'Operational Data'!$A$2:$E$201,3,FALSE)</f>
        <v>61942</v>
      </c>
      <c r="H988" s="11">
        <f>VLOOKUP(A988,'Operational Data'!$A$2:$E$201,4,FALSE)</f>
        <v>4891.32</v>
      </c>
      <c r="I988" s="11">
        <f>VLOOKUP(A988,'Operational Data'!$A$2:$E$201,5,FALSE)</f>
        <v>91.59</v>
      </c>
      <c r="J988" s="21">
        <f t="shared" si="15"/>
        <v>5.7630848212844275E-2</v>
      </c>
    </row>
    <row r="989" spans="1:10" x14ac:dyDescent="0.25">
      <c r="A989" s="20" t="s">
        <v>151</v>
      </c>
      <c r="B989" s="20" t="s">
        <v>12</v>
      </c>
      <c r="C989" s="20" t="s">
        <v>8</v>
      </c>
      <c r="D989" s="20" t="s">
        <v>14</v>
      </c>
      <c r="E989" s="20" t="s">
        <v>10</v>
      </c>
      <c r="F989" s="20">
        <v>1244.99</v>
      </c>
      <c r="G989" s="11">
        <f>VLOOKUP(A989,'Operational Data'!$A$2:$E$201,3,FALSE)</f>
        <v>61207</v>
      </c>
      <c r="H989" s="11">
        <f>VLOOKUP(A989,'Operational Data'!$A$2:$E$201,4,FALSE)</f>
        <v>6922.33</v>
      </c>
      <c r="I989" s="11">
        <f>VLOOKUP(A989,'Operational Data'!$A$2:$E$201,5,FALSE)</f>
        <v>9.1999999999999993</v>
      </c>
      <c r="J989" s="21">
        <f t="shared" si="15"/>
        <v>2.034064731158201E-2</v>
      </c>
    </row>
    <row r="990" spans="1:10" ht="30" x14ac:dyDescent="0.25">
      <c r="A990" s="20" t="s">
        <v>218</v>
      </c>
      <c r="B990" s="20" t="s">
        <v>17</v>
      </c>
      <c r="C990" s="20" t="s">
        <v>13</v>
      </c>
      <c r="D990" s="20" t="s">
        <v>9</v>
      </c>
      <c r="E990" s="20" t="s">
        <v>10</v>
      </c>
      <c r="F990" s="20">
        <v>4645.6365770000002</v>
      </c>
      <c r="G990" s="11">
        <f>VLOOKUP(A990,'Operational Data'!$A$2:$E$201,3,FALSE)</f>
        <v>22525</v>
      </c>
      <c r="H990" s="11">
        <f>VLOOKUP(A990,'Operational Data'!$A$2:$E$201,4,FALSE)</f>
        <v>9465.65</v>
      </c>
      <c r="I990" s="11">
        <f>VLOOKUP(A990,'Operational Data'!$A$2:$E$201,5,FALSE)</f>
        <v>37.79</v>
      </c>
      <c r="J990" s="21">
        <f t="shared" si="15"/>
        <v>0.20624357722530523</v>
      </c>
    </row>
    <row r="991" spans="1:10" x14ac:dyDescent="0.25">
      <c r="A991" s="20" t="s">
        <v>106</v>
      </c>
      <c r="B991" s="20" t="s">
        <v>12</v>
      </c>
      <c r="C991" s="20" t="s">
        <v>8</v>
      </c>
      <c r="D991" s="20" t="s">
        <v>9</v>
      </c>
      <c r="E991" s="20" t="s">
        <v>24</v>
      </c>
      <c r="F991" s="20">
        <v>3635.37</v>
      </c>
      <c r="G991" s="11">
        <f>VLOOKUP(A991,'Operational Data'!$A$2:$E$201,3,FALSE)</f>
        <v>21386</v>
      </c>
      <c r="H991" s="11">
        <f>VLOOKUP(A991,'Operational Data'!$A$2:$E$201,4,FALSE)</f>
        <v>2271.92</v>
      </c>
      <c r="I991" s="11">
        <f>VLOOKUP(A991,'Operational Data'!$A$2:$E$201,5,FALSE)</f>
        <v>49.67</v>
      </c>
      <c r="J991" s="21">
        <f t="shared" si="15"/>
        <v>0.16998831010941737</v>
      </c>
    </row>
    <row r="992" spans="1:10" x14ac:dyDescent="0.25">
      <c r="A992" s="20" t="s">
        <v>87</v>
      </c>
      <c r="B992" s="20" t="s">
        <v>12</v>
      </c>
      <c r="C992" s="20" t="s">
        <v>13</v>
      </c>
      <c r="D992" s="20" t="s">
        <v>9</v>
      </c>
      <c r="E992" s="20" t="s">
        <v>24</v>
      </c>
      <c r="F992" s="20">
        <v>4563.1180219999997</v>
      </c>
      <c r="G992" s="11">
        <f>VLOOKUP(A992,'Operational Data'!$A$2:$E$201,3,FALSE)</f>
        <v>15333</v>
      </c>
      <c r="H992" s="11">
        <f>VLOOKUP(A992,'Operational Data'!$A$2:$E$201,4,FALSE)</f>
        <v>2570.54</v>
      </c>
      <c r="I992" s="11">
        <f>VLOOKUP(A992,'Operational Data'!$A$2:$E$201,5,FALSE)</f>
        <v>41.07</v>
      </c>
      <c r="J992" s="21">
        <f t="shared" si="15"/>
        <v>0.29760112319833038</v>
      </c>
    </row>
    <row r="993" spans="1:10" ht="30" x14ac:dyDescent="0.25">
      <c r="A993" s="20" t="s">
        <v>20</v>
      </c>
      <c r="B993" s="20" t="s">
        <v>17</v>
      </c>
      <c r="C993" s="20" t="s">
        <v>8</v>
      </c>
      <c r="D993" s="20" t="s">
        <v>9</v>
      </c>
      <c r="E993" s="20" t="s">
        <v>15</v>
      </c>
      <c r="F993" s="20">
        <v>1337.435551</v>
      </c>
      <c r="G993" s="11">
        <f>VLOOKUP(A993,'Operational Data'!$A$2:$E$201,3,FALSE)</f>
        <v>29895</v>
      </c>
      <c r="H993" s="11">
        <f>VLOOKUP(A993,'Operational Data'!$A$2:$E$201,4,FALSE)</f>
        <v>1631.08</v>
      </c>
      <c r="I993" s="11">
        <f>VLOOKUP(A993,'Operational Data'!$A$2:$E$201,5,FALSE)</f>
        <v>39.93</v>
      </c>
      <c r="J993" s="21">
        <f t="shared" si="15"/>
        <v>4.4737767218598429E-2</v>
      </c>
    </row>
    <row r="994" spans="1:10" ht="30" x14ac:dyDescent="0.25">
      <c r="A994" s="20" t="s">
        <v>136</v>
      </c>
      <c r="B994" s="20" t="s">
        <v>17</v>
      </c>
      <c r="C994" s="20" t="s">
        <v>23</v>
      </c>
      <c r="D994" s="20" t="s">
        <v>9</v>
      </c>
      <c r="E994" s="20" t="s">
        <v>24</v>
      </c>
      <c r="F994" s="20">
        <v>527.43320610000001</v>
      </c>
      <c r="G994" s="11">
        <f>VLOOKUP(A994,'Operational Data'!$A$2:$E$201,3,FALSE)</f>
        <v>15128</v>
      </c>
      <c r="H994" s="11">
        <f>VLOOKUP(A994,'Operational Data'!$A$2:$E$201,4,FALSE)</f>
        <v>8847.09</v>
      </c>
      <c r="I994" s="11">
        <f>VLOOKUP(A994,'Operational Data'!$A$2:$E$201,5,FALSE)</f>
        <v>5.25</v>
      </c>
      <c r="J994" s="21">
        <f t="shared" si="15"/>
        <v>3.4864701619513487E-2</v>
      </c>
    </row>
    <row r="995" spans="1:10" ht="30" x14ac:dyDescent="0.25">
      <c r="A995" s="20" t="s">
        <v>190</v>
      </c>
      <c r="B995" s="20" t="s">
        <v>17</v>
      </c>
      <c r="C995" s="20" t="s">
        <v>34</v>
      </c>
      <c r="D995" s="20" t="s">
        <v>14</v>
      </c>
      <c r="E995" s="20" t="s">
        <v>10</v>
      </c>
      <c r="F995" s="20">
        <v>1979.48</v>
      </c>
      <c r="G995" s="11">
        <f>VLOOKUP(A995,'Operational Data'!$A$2:$E$201,3,FALSE)</f>
        <v>41953</v>
      </c>
      <c r="H995" s="11">
        <f>VLOOKUP(A995,'Operational Data'!$A$2:$E$201,4,FALSE)</f>
        <v>2379.14</v>
      </c>
      <c r="I995" s="11">
        <f>VLOOKUP(A995,'Operational Data'!$A$2:$E$201,5,FALSE)</f>
        <v>65.67</v>
      </c>
      <c r="J995" s="21">
        <f t="shared" si="15"/>
        <v>4.7183276523728938E-2</v>
      </c>
    </row>
    <row r="996" spans="1:10" x14ac:dyDescent="0.25">
      <c r="A996" s="20" t="s">
        <v>99</v>
      </c>
      <c r="B996" s="20" t="s">
        <v>19</v>
      </c>
      <c r="C996" s="20" t="s">
        <v>23</v>
      </c>
      <c r="D996" s="20" t="s">
        <v>9</v>
      </c>
      <c r="E996" s="20" t="s">
        <v>15</v>
      </c>
      <c r="F996" s="20">
        <v>2025.95</v>
      </c>
      <c r="G996" s="11">
        <f>VLOOKUP(A996,'Operational Data'!$A$2:$E$201,3,FALSE)</f>
        <v>77400</v>
      </c>
      <c r="H996" s="11">
        <f>VLOOKUP(A996,'Operational Data'!$A$2:$E$201,4,FALSE)</f>
        <v>7504.8</v>
      </c>
      <c r="I996" s="11">
        <f>VLOOKUP(A996,'Operational Data'!$A$2:$E$201,5,FALSE)</f>
        <v>68.819999999999993</v>
      </c>
      <c r="J996" s="21">
        <f t="shared" si="15"/>
        <v>2.6175064599483204E-2</v>
      </c>
    </row>
    <row r="997" spans="1:10" ht="30" x14ac:dyDescent="0.25">
      <c r="A997" s="20" t="s">
        <v>20</v>
      </c>
      <c r="B997" s="20" t="s">
        <v>17</v>
      </c>
      <c r="C997" s="20" t="s">
        <v>13</v>
      </c>
      <c r="D997" s="20" t="s">
        <v>28</v>
      </c>
      <c r="E997" s="20" t="s">
        <v>15</v>
      </c>
      <c r="F997" s="20">
        <v>4195.17</v>
      </c>
      <c r="G997" s="11">
        <f>VLOOKUP(A997,'Operational Data'!$A$2:$E$201,3,FALSE)</f>
        <v>29895</v>
      </c>
      <c r="H997" s="11">
        <f>VLOOKUP(A997,'Operational Data'!$A$2:$E$201,4,FALSE)</f>
        <v>1631.08</v>
      </c>
      <c r="I997" s="11">
        <f>VLOOKUP(A997,'Operational Data'!$A$2:$E$201,5,FALSE)</f>
        <v>39.93</v>
      </c>
      <c r="J997" s="21">
        <f t="shared" si="15"/>
        <v>0.14033015554440542</v>
      </c>
    </row>
    <row r="998" spans="1:10" x14ac:dyDescent="0.25">
      <c r="A998" s="20" t="s">
        <v>125</v>
      </c>
      <c r="B998" s="20" t="s">
        <v>7</v>
      </c>
      <c r="C998" s="20" t="s">
        <v>8</v>
      </c>
      <c r="D998" s="20" t="s">
        <v>28</v>
      </c>
      <c r="E998" s="20" t="s">
        <v>24</v>
      </c>
      <c r="F998" s="20">
        <v>2104.08</v>
      </c>
      <c r="G998" s="11">
        <f>VLOOKUP(A998,'Operational Data'!$A$2:$E$201,3,FALSE)</f>
        <v>56392</v>
      </c>
      <c r="H998" s="11">
        <f>VLOOKUP(A998,'Operational Data'!$A$2:$E$201,4,FALSE)</f>
        <v>5703.76</v>
      </c>
      <c r="I998" s="11">
        <f>VLOOKUP(A998,'Operational Data'!$A$2:$E$201,5,FALSE)</f>
        <v>23.04</v>
      </c>
      <c r="J998" s="21">
        <f t="shared" si="15"/>
        <v>3.7311675414952478E-2</v>
      </c>
    </row>
    <row r="999" spans="1:10" x14ac:dyDescent="0.25">
      <c r="A999" s="20" t="s">
        <v>49</v>
      </c>
      <c r="B999" s="20" t="s">
        <v>19</v>
      </c>
      <c r="C999" s="20" t="s">
        <v>8</v>
      </c>
      <c r="D999" s="20" t="s">
        <v>28</v>
      </c>
      <c r="E999" s="20" t="s">
        <v>15</v>
      </c>
      <c r="F999" s="20">
        <v>4229.93</v>
      </c>
      <c r="G999" s="11">
        <f>VLOOKUP(A999,'Operational Data'!$A$2:$E$201,3,FALSE)</f>
        <v>50306</v>
      </c>
      <c r="H999" s="11">
        <f>VLOOKUP(A999,'Operational Data'!$A$2:$E$201,4,FALSE)</f>
        <v>7031.37</v>
      </c>
      <c r="I999" s="11">
        <f>VLOOKUP(A999,'Operational Data'!$A$2:$E$201,5,FALSE)</f>
        <v>13.27</v>
      </c>
      <c r="J999" s="21">
        <f t="shared" si="15"/>
        <v>8.4084005883989982E-2</v>
      </c>
    </row>
    <row r="1000" spans="1:10" ht="30" x14ac:dyDescent="0.25">
      <c r="A1000" s="20" t="s">
        <v>143</v>
      </c>
      <c r="B1000" s="20" t="s">
        <v>17</v>
      </c>
      <c r="C1000" s="20" t="s">
        <v>8</v>
      </c>
      <c r="D1000" s="20" t="s">
        <v>14</v>
      </c>
      <c r="E1000" s="20" t="s">
        <v>15</v>
      </c>
      <c r="F1000" s="20">
        <v>3136.15</v>
      </c>
      <c r="G1000" s="11">
        <f>VLOOKUP(A1000,'Operational Data'!$A$2:$E$201,3,FALSE)</f>
        <v>94704</v>
      </c>
      <c r="H1000" s="11">
        <f>VLOOKUP(A1000,'Operational Data'!$A$2:$E$201,4,FALSE)</f>
        <v>6632.95</v>
      </c>
      <c r="I1000" s="11">
        <f>VLOOKUP(A1000,'Operational Data'!$A$2:$E$201,5,FALSE)</f>
        <v>14.76</v>
      </c>
      <c r="J1000" s="21">
        <f t="shared" si="15"/>
        <v>3.3115285521202908E-2</v>
      </c>
    </row>
    <row r="1001" spans="1:10" x14ac:dyDescent="0.25">
      <c r="A1001" s="20" t="s">
        <v>182</v>
      </c>
      <c r="B1001" s="20" t="s">
        <v>12</v>
      </c>
      <c r="C1001" s="20" t="s">
        <v>34</v>
      </c>
      <c r="D1001" s="20" t="s">
        <v>9</v>
      </c>
      <c r="E1001" s="20" t="s">
        <v>24</v>
      </c>
      <c r="F1001" s="20">
        <v>1959.3291340000001</v>
      </c>
      <c r="G1001" s="11">
        <f>VLOOKUP(A1001,'Operational Data'!$A$2:$E$201,3,FALSE)</f>
        <v>21081</v>
      </c>
      <c r="H1001" s="11">
        <f>VLOOKUP(A1001,'Operational Data'!$A$2:$E$201,4,FALSE)</f>
        <v>9001.77</v>
      </c>
      <c r="I1001" s="11">
        <f>VLOOKUP(A1001,'Operational Data'!$A$2:$E$201,5,FALSE)</f>
        <v>49.27</v>
      </c>
      <c r="J1001" s="21">
        <f t="shared" si="15"/>
        <v>9.2942893316256353E-2</v>
      </c>
    </row>
    <row r="1002" spans="1:10" x14ac:dyDescent="0.25">
      <c r="A1002" s="20" t="s">
        <v>134</v>
      </c>
      <c r="B1002" s="20" t="s">
        <v>7</v>
      </c>
      <c r="C1002" s="20" t="s">
        <v>8</v>
      </c>
      <c r="D1002" s="20" t="s">
        <v>9</v>
      </c>
      <c r="E1002" s="20" t="s">
        <v>24</v>
      </c>
      <c r="F1002" s="20">
        <v>1221.953049</v>
      </c>
      <c r="G1002" s="11">
        <f>VLOOKUP(A1002,'Operational Data'!$A$2:$E$201,3,FALSE)</f>
        <v>39568</v>
      </c>
      <c r="H1002" s="11">
        <f>VLOOKUP(A1002,'Operational Data'!$A$2:$E$201,4,FALSE)</f>
        <v>3580.54</v>
      </c>
      <c r="I1002" s="11">
        <f>VLOOKUP(A1002,'Operational Data'!$A$2:$E$201,5,FALSE)</f>
        <v>78.08</v>
      </c>
      <c r="J1002" s="21">
        <f t="shared" si="15"/>
        <v>3.0882355666194905E-2</v>
      </c>
    </row>
    <row r="1003" spans="1:10" x14ac:dyDescent="0.25">
      <c r="A1003" s="20" t="s">
        <v>92</v>
      </c>
      <c r="B1003" s="20" t="s">
        <v>30</v>
      </c>
      <c r="C1003" s="20" t="s">
        <v>13</v>
      </c>
      <c r="D1003" s="20" t="s">
        <v>28</v>
      </c>
      <c r="E1003" s="20" t="s">
        <v>10</v>
      </c>
      <c r="F1003" s="20">
        <v>300.75</v>
      </c>
      <c r="G1003" s="11">
        <f>VLOOKUP(A1003,'Operational Data'!$A$2:$E$201,3,FALSE)</f>
        <v>18726</v>
      </c>
      <c r="H1003" s="11">
        <f>VLOOKUP(A1003,'Operational Data'!$A$2:$E$201,4,FALSE)</f>
        <v>5099.54</v>
      </c>
      <c r="I1003" s="11">
        <f>VLOOKUP(A1003,'Operational Data'!$A$2:$E$201,5,FALSE)</f>
        <v>71.05</v>
      </c>
      <c r="J1003" s="21">
        <f t="shared" si="15"/>
        <v>1.6060557513617429E-2</v>
      </c>
    </row>
    <row r="1004" spans="1:10" x14ac:dyDescent="0.25">
      <c r="A1004" s="20" t="s">
        <v>107</v>
      </c>
      <c r="B1004" s="20" t="s">
        <v>30</v>
      </c>
      <c r="C1004" s="20" t="s">
        <v>23</v>
      </c>
      <c r="D1004" s="20" t="s">
        <v>28</v>
      </c>
      <c r="E1004" s="20" t="s">
        <v>24</v>
      </c>
      <c r="F1004" s="20">
        <v>4099.18</v>
      </c>
      <c r="G1004" s="11">
        <f>VLOOKUP(A1004,'Operational Data'!$A$2:$E$201,3,FALSE)</f>
        <v>69305</v>
      </c>
      <c r="H1004" s="11">
        <f>VLOOKUP(A1004,'Operational Data'!$A$2:$E$201,4,FALSE)</f>
        <v>3203.67</v>
      </c>
      <c r="I1004" s="11">
        <f>VLOOKUP(A1004,'Operational Data'!$A$2:$E$201,5,FALSE)</f>
        <v>83.65</v>
      </c>
      <c r="J1004" s="21">
        <f t="shared" si="15"/>
        <v>5.9146959093860474E-2</v>
      </c>
    </row>
    <row r="1005" spans="1:10" x14ac:dyDescent="0.25">
      <c r="A1005" s="20" t="s">
        <v>50</v>
      </c>
      <c r="B1005" s="20" t="s">
        <v>19</v>
      </c>
      <c r="C1005" s="20" t="s">
        <v>13</v>
      </c>
      <c r="D1005" s="20" t="s">
        <v>14</v>
      </c>
      <c r="E1005" s="20" t="s">
        <v>10</v>
      </c>
      <c r="F1005" s="20">
        <v>104.53</v>
      </c>
      <c r="G1005" s="11">
        <f>VLOOKUP(A1005,'Operational Data'!$A$2:$E$201,3,FALSE)</f>
        <v>40577</v>
      </c>
      <c r="H1005" s="11">
        <f>VLOOKUP(A1005,'Operational Data'!$A$2:$E$201,4,FALSE)</f>
        <v>4280.82</v>
      </c>
      <c r="I1005" s="11">
        <f>VLOOKUP(A1005,'Operational Data'!$A$2:$E$201,5,FALSE)</f>
        <v>79.88</v>
      </c>
      <c r="J1005" s="21">
        <f t="shared" si="15"/>
        <v>2.5760899031471033E-3</v>
      </c>
    </row>
    <row r="1006" spans="1:10" x14ac:dyDescent="0.25">
      <c r="A1006" s="20" t="s">
        <v>172</v>
      </c>
      <c r="B1006" s="20" t="s">
        <v>7</v>
      </c>
      <c r="C1006" s="20" t="s">
        <v>34</v>
      </c>
      <c r="D1006" s="20" t="s">
        <v>14</v>
      </c>
      <c r="E1006" s="20" t="s">
        <v>24</v>
      </c>
      <c r="F1006" s="20">
        <v>2781</v>
      </c>
      <c r="G1006" s="11">
        <f>VLOOKUP(A1006,'Operational Data'!$A$2:$E$201,3,FALSE)</f>
        <v>68820</v>
      </c>
      <c r="H1006" s="11">
        <f>VLOOKUP(A1006,'Operational Data'!$A$2:$E$201,4,FALSE)</f>
        <v>9612.25</v>
      </c>
      <c r="I1006" s="11">
        <f>VLOOKUP(A1006,'Operational Data'!$A$2:$E$201,5,FALSE)</f>
        <v>83.51</v>
      </c>
      <c r="J1006" s="21">
        <f t="shared" si="15"/>
        <v>4.0409764603312991E-2</v>
      </c>
    </row>
    <row r="1007" spans="1:10" ht="30" x14ac:dyDescent="0.25">
      <c r="A1007" s="20" t="s">
        <v>20</v>
      </c>
      <c r="B1007" s="20" t="s">
        <v>17</v>
      </c>
      <c r="C1007" s="20" t="s">
        <v>23</v>
      </c>
      <c r="D1007" s="20" t="s">
        <v>9</v>
      </c>
      <c r="E1007" s="20" t="s">
        <v>24</v>
      </c>
      <c r="F1007" s="20">
        <v>3597.303453</v>
      </c>
      <c r="G1007" s="11">
        <f>VLOOKUP(A1007,'Operational Data'!$A$2:$E$201,3,FALSE)</f>
        <v>29895</v>
      </c>
      <c r="H1007" s="11">
        <f>VLOOKUP(A1007,'Operational Data'!$A$2:$E$201,4,FALSE)</f>
        <v>1631.08</v>
      </c>
      <c r="I1007" s="11">
        <f>VLOOKUP(A1007,'Operational Data'!$A$2:$E$201,5,FALSE)</f>
        <v>39.93</v>
      </c>
      <c r="J1007" s="21">
        <f t="shared" si="15"/>
        <v>0.12033127456096337</v>
      </c>
    </row>
    <row r="1008" spans="1:10" x14ac:dyDescent="0.25">
      <c r="A1008" s="20" t="s">
        <v>174</v>
      </c>
      <c r="B1008" s="20" t="s">
        <v>19</v>
      </c>
      <c r="C1008" s="20" t="s">
        <v>23</v>
      </c>
      <c r="D1008" s="20" t="s">
        <v>28</v>
      </c>
      <c r="E1008" s="20" t="s">
        <v>24</v>
      </c>
      <c r="F1008" s="20">
        <v>2055.7399999999998</v>
      </c>
      <c r="G1008" s="11">
        <f>VLOOKUP(A1008,'Operational Data'!$A$2:$E$201,3,FALSE)</f>
        <v>66163</v>
      </c>
      <c r="H1008" s="11">
        <f>VLOOKUP(A1008,'Operational Data'!$A$2:$E$201,4,FALSE)</f>
        <v>1416.57</v>
      </c>
      <c r="I1008" s="11">
        <f>VLOOKUP(A1008,'Operational Data'!$A$2:$E$201,5,FALSE)</f>
        <v>68.73</v>
      </c>
      <c r="J1008" s="21">
        <f t="shared" si="15"/>
        <v>3.1070840197693572E-2</v>
      </c>
    </row>
    <row r="1009" spans="1:10" x14ac:dyDescent="0.25">
      <c r="A1009" s="20" t="s">
        <v>167</v>
      </c>
      <c r="B1009" s="20" t="s">
        <v>30</v>
      </c>
      <c r="C1009" s="20" t="s">
        <v>23</v>
      </c>
      <c r="D1009" s="20" t="s">
        <v>14</v>
      </c>
      <c r="E1009" s="20" t="s">
        <v>10</v>
      </c>
      <c r="F1009" s="20">
        <v>437.58</v>
      </c>
      <c r="G1009" s="11">
        <f>VLOOKUP(A1009,'Operational Data'!$A$2:$E$201,3,FALSE)</f>
        <v>67213</v>
      </c>
      <c r="H1009" s="11">
        <f>VLOOKUP(A1009,'Operational Data'!$A$2:$E$201,4,FALSE)</f>
        <v>5533.81</v>
      </c>
      <c r="I1009" s="11">
        <f>VLOOKUP(A1009,'Operational Data'!$A$2:$E$201,5,FALSE)</f>
        <v>90.88</v>
      </c>
      <c r="J1009" s="21">
        <f t="shared" si="15"/>
        <v>6.5103477005936349E-3</v>
      </c>
    </row>
    <row r="1010" spans="1:10" x14ac:dyDescent="0.25">
      <c r="A1010" s="20" t="s">
        <v>185</v>
      </c>
      <c r="B1010" s="20" t="s">
        <v>30</v>
      </c>
      <c r="C1010" s="20" t="s">
        <v>13</v>
      </c>
      <c r="D1010" s="20" t="s">
        <v>28</v>
      </c>
      <c r="E1010" s="20" t="s">
        <v>10</v>
      </c>
      <c r="F1010" s="20">
        <v>3087.52</v>
      </c>
      <c r="G1010" s="11">
        <f>VLOOKUP(A1010,'Operational Data'!$A$2:$E$201,3,FALSE)</f>
        <v>24913</v>
      </c>
      <c r="H1010" s="11">
        <f>VLOOKUP(A1010,'Operational Data'!$A$2:$E$201,4,FALSE)</f>
        <v>5727.27</v>
      </c>
      <c r="I1010" s="11">
        <f>VLOOKUP(A1010,'Operational Data'!$A$2:$E$201,5,FALSE)</f>
        <v>78.849999999999994</v>
      </c>
      <c r="J1010" s="21">
        <f t="shared" si="15"/>
        <v>0.12393208365110585</v>
      </c>
    </row>
    <row r="1011" spans="1:10" ht="30" x14ac:dyDescent="0.25">
      <c r="A1011" s="20" t="s">
        <v>190</v>
      </c>
      <c r="B1011" s="20" t="s">
        <v>17</v>
      </c>
      <c r="C1011" s="20" t="s">
        <v>13</v>
      </c>
      <c r="D1011" s="20" t="s">
        <v>9</v>
      </c>
      <c r="E1011" s="20" t="s">
        <v>10</v>
      </c>
      <c r="F1011" s="20">
        <v>2226.371185</v>
      </c>
      <c r="G1011" s="11">
        <f>VLOOKUP(A1011,'Operational Data'!$A$2:$E$201,3,FALSE)</f>
        <v>41953</v>
      </c>
      <c r="H1011" s="11">
        <f>VLOOKUP(A1011,'Operational Data'!$A$2:$E$201,4,FALSE)</f>
        <v>2379.14</v>
      </c>
      <c r="I1011" s="11">
        <f>VLOOKUP(A1011,'Operational Data'!$A$2:$E$201,5,FALSE)</f>
        <v>65.67</v>
      </c>
      <c r="J1011" s="21">
        <f t="shared" si="15"/>
        <v>5.3068223607370152E-2</v>
      </c>
    </row>
    <row r="1012" spans="1:10" x14ac:dyDescent="0.25">
      <c r="A1012" s="20" t="s">
        <v>211</v>
      </c>
      <c r="B1012" s="20" t="s">
        <v>7</v>
      </c>
      <c r="C1012" s="20" t="s">
        <v>8</v>
      </c>
      <c r="D1012" s="20" t="s">
        <v>28</v>
      </c>
      <c r="E1012" s="20" t="s">
        <v>10</v>
      </c>
      <c r="F1012" s="20">
        <v>769.29</v>
      </c>
      <c r="G1012" s="11">
        <f>VLOOKUP(A1012,'Operational Data'!$A$2:$E$201,3,FALSE)</f>
        <v>27028</v>
      </c>
      <c r="H1012" s="11">
        <f>VLOOKUP(A1012,'Operational Data'!$A$2:$E$201,4,FALSE)</f>
        <v>4617.92</v>
      </c>
      <c r="I1012" s="11">
        <f>VLOOKUP(A1012,'Operational Data'!$A$2:$E$201,5,FALSE)</f>
        <v>57.62</v>
      </c>
      <c r="J1012" s="21">
        <f t="shared" si="15"/>
        <v>2.8462705342607666E-2</v>
      </c>
    </row>
    <row r="1013" spans="1:10" x14ac:dyDescent="0.25">
      <c r="A1013" s="20" t="s">
        <v>27</v>
      </c>
      <c r="B1013" s="20" t="s">
        <v>12</v>
      </c>
      <c r="C1013" s="20" t="s">
        <v>23</v>
      </c>
      <c r="D1013" s="20" t="s">
        <v>28</v>
      </c>
      <c r="E1013" s="20" t="s">
        <v>24</v>
      </c>
      <c r="F1013" s="20">
        <v>3008.89</v>
      </c>
      <c r="G1013" s="11">
        <f>VLOOKUP(A1013,'Operational Data'!$A$2:$E$201,3,FALSE)</f>
        <v>91031</v>
      </c>
      <c r="H1013" s="11">
        <f>VLOOKUP(A1013,'Operational Data'!$A$2:$E$201,4,FALSE)</f>
        <v>1783.57</v>
      </c>
      <c r="I1013" s="11">
        <f>VLOOKUP(A1013,'Operational Data'!$A$2:$E$201,5,FALSE)</f>
        <v>32.049999999999997</v>
      </c>
      <c r="J1013" s="21">
        <f t="shared" si="15"/>
        <v>3.3053465303028634E-2</v>
      </c>
    </row>
    <row r="1014" spans="1:10" x14ac:dyDescent="0.25">
      <c r="A1014" s="20" t="s">
        <v>121</v>
      </c>
      <c r="B1014" s="20" t="s">
        <v>30</v>
      </c>
      <c r="C1014" s="20" t="s">
        <v>34</v>
      </c>
      <c r="D1014" s="20" t="s">
        <v>9</v>
      </c>
      <c r="E1014" s="20" t="s">
        <v>10</v>
      </c>
      <c r="F1014" s="20">
        <v>1802.2968639999999</v>
      </c>
      <c r="G1014" s="11">
        <f>VLOOKUP(A1014,'Operational Data'!$A$2:$E$201,3,FALSE)</f>
        <v>58895</v>
      </c>
      <c r="H1014" s="11">
        <f>VLOOKUP(A1014,'Operational Data'!$A$2:$E$201,4,FALSE)</f>
        <v>3039.17</v>
      </c>
      <c r="I1014" s="11">
        <f>VLOOKUP(A1014,'Operational Data'!$A$2:$E$201,5,FALSE)</f>
        <v>59.82</v>
      </c>
      <c r="J1014" s="21">
        <f t="shared" si="15"/>
        <v>3.0601865421512862E-2</v>
      </c>
    </row>
    <row r="1015" spans="1:10" x14ac:dyDescent="0.25">
      <c r="A1015" s="20" t="s">
        <v>121</v>
      </c>
      <c r="B1015" s="20" t="s">
        <v>30</v>
      </c>
      <c r="C1015" s="20" t="s">
        <v>34</v>
      </c>
      <c r="D1015" s="20" t="s">
        <v>28</v>
      </c>
      <c r="E1015" s="20" t="s">
        <v>10</v>
      </c>
      <c r="F1015" s="20">
        <v>3707.94</v>
      </c>
      <c r="G1015" s="11">
        <f>VLOOKUP(A1015,'Operational Data'!$A$2:$E$201,3,FALSE)</f>
        <v>58895</v>
      </c>
      <c r="H1015" s="11">
        <f>VLOOKUP(A1015,'Operational Data'!$A$2:$E$201,4,FALSE)</f>
        <v>3039.17</v>
      </c>
      <c r="I1015" s="11">
        <f>VLOOKUP(A1015,'Operational Data'!$A$2:$E$201,5,FALSE)</f>
        <v>59.82</v>
      </c>
      <c r="J1015" s="21">
        <f t="shared" si="15"/>
        <v>6.2958485440190171E-2</v>
      </c>
    </row>
    <row r="1016" spans="1:10" x14ac:dyDescent="0.25">
      <c r="A1016" s="20" t="s">
        <v>128</v>
      </c>
      <c r="B1016" s="20" t="s">
        <v>12</v>
      </c>
      <c r="C1016" s="20" t="s">
        <v>13</v>
      </c>
      <c r="D1016" s="20" t="s">
        <v>9</v>
      </c>
      <c r="E1016" s="20" t="s">
        <v>10</v>
      </c>
      <c r="F1016" s="20">
        <v>3134.2444770000002</v>
      </c>
      <c r="G1016" s="11">
        <f>VLOOKUP(A1016,'Operational Data'!$A$2:$E$201,3,FALSE)</f>
        <v>29406</v>
      </c>
      <c r="H1016" s="11">
        <f>VLOOKUP(A1016,'Operational Data'!$A$2:$E$201,4,FALSE)</f>
        <v>5281.69</v>
      </c>
      <c r="I1016" s="11">
        <f>VLOOKUP(A1016,'Operational Data'!$A$2:$E$201,5,FALSE)</f>
        <v>27.01</v>
      </c>
      <c r="J1016" s="21">
        <f t="shared" si="15"/>
        <v>0.10658520291777189</v>
      </c>
    </row>
    <row r="1017" spans="1:10" x14ac:dyDescent="0.25">
      <c r="A1017" s="20" t="s">
        <v>29</v>
      </c>
      <c r="B1017" s="20" t="s">
        <v>30</v>
      </c>
      <c r="C1017" s="20" t="s">
        <v>23</v>
      </c>
      <c r="D1017" s="20" t="s">
        <v>28</v>
      </c>
      <c r="E1017" s="20" t="s">
        <v>15</v>
      </c>
      <c r="F1017" s="20">
        <v>1671.05</v>
      </c>
      <c r="G1017" s="11">
        <f>VLOOKUP(A1017,'Operational Data'!$A$2:$E$201,3,FALSE)</f>
        <v>32131</v>
      </c>
      <c r="H1017" s="11">
        <f>VLOOKUP(A1017,'Operational Data'!$A$2:$E$201,4,FALSE)</f>
        <v>1474.23</v>
      </c>
      <c r="I1017" s="11">
        <f>VLOOKUP(A1017,'Operational Data'!$A$2:$E$201,5,FALSE)</f>
        <v>45.47</v>
      </c>
      <c r="J1017" s="21">
        <f t="shared" si="15"/>
        <v>5.2007407176869691E-2</v>
      </c>
    </row>
    <row r="1018" spans="1:10" x14ac:dyDescent="0.25">
      <c r="A1018" s="20" t="s">
        <v>90</v>
      </c>
      <c r="B1018" s="20" t="s">
        <v>19</v>
      </c>
      <c r="C1018" s="20" t="s">
        <v>8</v>
      </c>
      <c r="D1018" s="20" t="s">
        <v>9</v>
      </c>
      <c r="E1018" s="20" t="s">
        <v>15</v>
      </c>
      <c r="F1018" s="20">
        <v>456.60088710000002</v>
      </c>
      <c r="G1018" s="11">
        <f>VLOOKUP(A1018,'Operational Data'!$A$2:$E$201,3,FALSE)</f>
        <v>97337</v>
      </c>
      <c r="H1018" s="11">
        <f>VLOOKUP(A1018,'Operational Data'!$A$2:$E$201,4,FALSE)</f>
        <v>3362.06</v>
      </c>
      <c r="I1018" s="11">
        <f>VLOOKUP(A1018,'Operational Data'!$A$2:$E$201,5,FALSE)</f>
        <v>55.46</v>
      </c>
      <c r="J1018" s="21">
        <f t="shared" si="15"/>
        <v>4.6909282913999819E-3</v>
      </c>
    </row>
    <row r="1019" spans="1:10" ht="30" x14ac:dyDescent="0.25">
      <c r="A1019" s="20" t="s">
        <v>140</v>
      </c>
      <c r="B1019" s="20" t="s">
        <v>17</v>
      </c>
      <c r="C1019" s="20" t="s">
        <v>8</v>
      </c>
      <c r="D1019" s="20" t="s">
        <v>14</v>
      </c>
      <c r="E1019" s="20" t="s">
        <v>10</v>
      </c>
      <c r="F1019" s="20">
        <v>4237.93</v>
      </c>
      <c r="G1019" s="11">
        <f>VLOOKUP(A1019,'Operational Data'!$A$2:$E$201,3,FALSE)</f>
        <v>88308</v>
      </c>
      <c r="H1019" s="11">
        <f>VLOOKUP(A1019,'Operational Data'!$A$2:$E$201,4,FALSE)</f>
        <v>7802.07</v>
      </c>
      <c r="I1019" s="11">
        <f>VLOOKUP(A1019,'Operational Data'!$A$2:$E$201,5,FALSE)</f>
        <v>36.130000000000003</v>
      </c>
      <c r="J1019" s="21">
        <f t="shared" si="15"/>
        <v>4.7990329301988495E-2</v>
      </c>
    </row>
    <row r="1020" spans="1:10" x14ac:dyDescent="0.25">
      <c r="A1020" s="20" t="s">
        <v>203</v>
      </c>
      <c r="B1020" s="20" t="s">
        <v>12</v>
      </c>
      <c r="C1020" s="20" t="s">
        <v>23</v>
      </c>
      <c r="D1020" s="20" t="s">
        <v>9</v>
      </c>
      <c r="E1020" s="20" t="s">
        <v>24</v>
      </c>
      <c r="F1020" s="20">
        <v>4750.1918850000002</v>
      </c>
      <c r="G1020" s="11">
        <f>VLOOKUP(A1020,'Operational Data'!$A$2:$E$201,3,FALSE)</f>
        <v>66398</v>
      </c>
      <c r="H1020" s="11">
        <f>VLOOKUP(A1020,'Operational Data'!$A$2:$E$201,4,FALSE)</f>
        <v>8713.61</v>
      </c>
      <c r="I1020" s="11">
        <f>VLOOKUP(A1020,'Operational Data'!$A$2:$E$201,5,FALSE)</f>
        <v>83.44</v>
      </c>
      <c r="J1020" s="21">
        <f t="shared" si="15"/>
        <v>7.1541189267749036E-2</v>
      </c>
    </row>
    <row r="1021" spans="1:10" ht="30" x14ac:dyDescent="0.25">
      <c r="A1021" s="20" t="s">
        <v>215</v>
      </c>
      <c r="B1021" s="20" t="s">
        <v>17</v>
      </c>
      <c r="C1021" s="20" t="s">
        <v>23</v>
      </c>
      <c r="D1021" s="20" t="s">
        <v>28</v>
      </c>
      <c r="E1021" s="20" t="s">
        <v>10</v>
      </c>
      <c r="F1021" s="20">
        <v>3912.43</v>
      </c>
      <c r="G1021" s="11">
        <f>VLOOKUP(A1021,'Operational Data'!$A$2:$E$201,3,FALSE)</f>
        <v>72813</v>
      </c>
      <c r="H1021" s="11">
        <f>VLOOKUP(A1021,'Operational Data'!$A$2:$E$201,4,FALSE)</f>
        <v>8818.16</v>
      </c>
      <c r="I1021" s="11">
        <f>VLOOKUP(A1021,'Operational Data'!$A$2:$E$201,5,FALSE)</f>
        <v>54.12</v>
      </c>
      <c r="J1021" s="21">
        <f t="shared" si="15"/>
        <v>5.3732575226951226E-2</v>
      </c>
    </row>
    <row r="1022" spans="1:10" x14ac:dyDescent="0.25">
      <c r="A1022" s="20" t="s">
        <v>50</v>
      </c>
      <c r="B1022" s="20" t="s">
        <v>19</v>
      </c>
      <c r="C1022" s="20" t="s">
        <v>23</v>
      </c>
      <c r="D1022" s="20" t="s">
        <v>14</v>
      </c>
      <c r="E1022" s="20" t="s">
        <v>15</v>
      </c>
      <c r="F1022" s="20">
        <v>349.13</v>
      </c>
      <c r="G1022" s="11">
        <f>VLOOKUP(A1022,'Operational Data'!$A$2:$E$201,3,FALSE)</f>
        <v>40577</v>
      </c>
      <c r="H1022" s="11">
        <f>VLOOKUP(A1022,'Operational Data'!$A$2:$E$201,4,FALSE)</f>
        <v>4280.82</v>
      </c>
      <c r="I1022" s="11">
        <f>VLOOKUP(A1022,'Operational Data'!$A$2:$E$201,5,FALSE)</f>
        <v>79.88</v>
      </c>
      <c r="J1022" s="21">
        <f t="shared" si="15"/>
        <v>8.6041353476107151E-3</v>
      </c>
    </row>
    <row r="1023" spans="1:10" x14ac:dyDescent="0.25">
      <c r="A1023" s="20" t="s">
        <v>35</v>
      </c>
      <c r="B1023" s="20" t="s">
        <v>19</v>
      </c>
      <c r="C1023" s="20" t="s">
        <v>13</v>
      </c>
      <c r="D1023" s="20" t="s">
        <v>28</v>
      </c>
      <c r="E1023" s="20" t="s">
        <v>24</v>
      </c>
      <c r="F1023" s="20">
        <v>3133.74</v>
      </c>
      <c r="G1023" s="11">
        <f>VLOOKUP(A1023,'Operational Data'!$A$2:$E$201,3,FALSE)</f>
        <v>42382</v>
      </c>
      <c r="H1023" s="11">
        <f>VLOOKUP(A1023,'Operational Data'!$A$2:$E$201,4,FALSE)</f>
        <v>5116.6899999999996</v>
      </c>
      <c r="I1023" s="11">
        <f>VLOOKUP(A1023,'Operational Data'!$A$2:$E$201,5,FALSE)</f>
        <v>80.42</v>
      </c>
      <c r="J1023" s="21">
        <f t="shared" si="15"/>
        <v>7.3940352036241802E-2</v>
      </c>
    </row>
    <row r="1024" spans="1:10" x14ac:dyDescent="0.25">
      <c r="A1024" s="20" t="s">
        <v>50</v>
      </c>
      <c r="B1024" s="20" t="s">
        <v>19</v>
      </c>
      <c r="C1024" s="20" t="s">
        <v>34</v>
      </c>
      <c r="D1024" s="20" t="s">
        <v>28</v>
      </c>
      <c r="E1024" s="20" t="s">
        <v>10</v>
      </c>
      <c r="F1024" s="20">
        <v>228.22</v>
      </c>
      <c r="G1024" s="11">
        <f>VLOOKUP(A1024,'Operational Data'!$A$2:$E$201,3,FALSE)</f>
        <v>40577</v>
      </c>
      <c r="H1024" s="11">
        <f>VLOOKUP(A1024,'Operational Data'!$A$2:$E$201,4,FALSE)</f>
        <v>4280.82</v>
      </c>
      <c r="I1024" s="11">
        <f>VLOOKUP(A1024,'Operational Data'!$A$2:$E$201,5,FALSE)</f>
        <v>79.88</v>
      </c>
      <c r="J1024" s="21">
        <f t="shared" si="15"/>
        <v>5.6243684846095082E-3</v>
      </c>
    </row>
    <row r="1025" spans="1:10" x14ac:dyDescent="0.25">
      <c r="A1025" s="20" t="s">
        <v>123</v>
      </c>
      <c r="B1025" s="20" t="s">
        <v>30</v>
      </c>
      <c r="C1025" s="20" t="s">
        <v>8</v>
      </c>
      <c r="D1025" s="20" t="s">
        <v>28</v>
      </c>
      <c r="E1025" s="20" t="s">
        <v>15</v>
      </c>
      <c r="F1025" s="20">
        <v>1437.79</v>
      </c>
      <c r="G1025" s="11">
        <f>VLOOKUP(A1025,'Operational Data'!$A$2:$E$201,3,FALSE)</f>
        <v>73977</v>
      </c>
      <c r="H1025" s="11">
        <f>VLOOKUP(A1025,'Operational Data'!$A$2:$E$201,4,FALSE)</f>
        <v>1646.75</v>
      </c>
      <c r="I1025" s="11">
        <f>VLOOKUP(A1025,'Operational Data'!$A$2:$E$201,5,FALSE)</f>
        <v>43.77</v>
      </c>
      <c r="J1025" s="21">
        <f t="shared" si="15"/>
        <v>1.9435635400191952E-2</v>
      </c>
    </row>
    <row r="1026" spans="1:10" ht="30" x14ac:dyDescent="0.25">
      <c r="A1026" s="20" t="s">
        <v>83</v>
      </c>
      <c r="B1026" s="20" t="s">
        <v>17</v>
      </c>
      <c r="C1026" s="20" t="s">
        <v>34</v>
      </c>
      <c r="D1026" s="20" t="s">
        <v>28</v>
      </c>
      <c r="E1026" s="20" t="s">
        <v>24</v>
      </c>
      <c r="F1026" s="20">
        <v>3734.66</v>
      </c>
      <c r="G1026" s="11">
        <f>VLOOKUP(A1026,'Operational Data'!$A$2:$E$201,3,FALSE)</f>
        <v>30934</v>
      </c>
      <c r="H1026" s="11">
        <f>VLOOKUP(A1026,'Operational Data'!$A$2:$E$201,4,FALSE)</f>
        <v>4175.6499999999996</v>
      </c>
      <c r="I1026" s="11">
        <f>VLOOKUP(A1026,'Operational Data'!$A$2:$E$201,5,FALSE)</f>
        <v>77.290000000000006</v>
      </c>
      <c r="J1026" s="21">
        <f t="shared" si="15"/>
        <v>0.1207299411650611</v>
      </c>
    </row>
    <row r="1027" spans="1:10" x14ac:dyDescent="0.25">
      <c r="A1027" s="20" t="s">
        <v>40</v>
      </c>
      <c r="B1027" s="20" t="s">
        <v>19</v>
      </c>
      <c r="C1027" s="20" t="s">
        <v>13</v>
      </c>
      <c r="D1027" s="20" t="s">
        <v>28</v>
      </c>
      <c r="E1027" s="20" t="s">
        <v>15</v>
      </c>
      <c r="F1027" s="20">
        <v>923.68</v>
      </c>
      <c r="G1027" s="11">
        <f>VLOOKUP(A1027,'Operational Data'!$A$2:$E$201,3,FALSE)</f>
        <v>96474</v>
      </c>
      <c r="H1027" s="11">
        <f>VLOOKUP(A1027,'Operational Data'!$A$2:$E$201,4,FALSE)</f>
        <v>7574.39</v>
      </c>
      <c r="I1027" s="11">
        <f>VLOOKUP(A1027,'Operational Data'!$A$2:$E$201,5,FALSE)</f>
        <v>95.54</v>
      </c>
      <c r="J1027" s="21">
        <f t="shared" ref="J1027:J1090" si="16">F1027/G1027</f>
        <v>9.5743931007318036E-3</v>
      </c>
    </row>
    <row r="1028" spans="1:10" x14ac:dyDescent="0.25">
      <c r="A1028" s="20" t="s">
        <v>163</v>
      </c>
      <c r="B1028" s="20" t="s">
        <v>19</v>
      </c>
      <c r="C1028" s="20" t="s">
        <v>34</v>
      </c>
      <c r="D1028" s="20" t="s">
        <v>28</v>
      </c>
      <c r="E1028" s="20" t="s">
        <v>24</v>
      </c>
      <c r="F1028" s="20">
        <v>1962.58</v>
      </c>
      <c r="G1028" s="11">
        <f>VLOOKUP(A1028,'Operational Data'!$A$2:$E$201,3,FALSE)</f>
        <v>87482</v>
      </c>
      <c r="H1028" s="11">
        <f>VLOOKUP(A1028,'Operational Data'!$A$2:$E$201,4,FALSE)</f>
        <v>2231.7399999999998</v>
      </c>
      <c r="I1028" s="11">
        <f>VLOOKUP(A1028,'Operational Data'!$A$2:$E$201,5,FALSE)</f>
        <v>45.43</v>
      </c>
      <c r="J1028" s="21">
        <f t="shared" si="16"/>
        <v>2.2434100729292882E-2</v>
      </c>
    </row>
    <row r="1029" spans="1:10" x14ac:dyDescent="0.25">
      <c r="A1029" s="20" t="s">
        <v>180</v>
      </c>
      <c r="B1029" s="20" t="s">
        <v>30</v>
      </c>
      <c r="C1029" s="20" t="s">
        <v>8</v>
      </c>
      <c r="D1029" s="20" t="s">
        <v>14</v>
      </c>
      <c r="E1029" s="20" t="s">
        <v>15</v>
      </c>
      <c r="F1029" s="20">
        <v>690.6</v>
      </c>
      <c r="G1029" s="11">
        <f>VLOOKUP(A1029,'Operational Data'!$A$2:$E$201,3,FALSE)</f>
        <v>72846</v>
      </c>
      <c r="H1029" s="11">
        <f>VLOOKUP(A1029,'Operational Data'!$A$2:$E$201,4,FALSE)</f>
        <v>5169.53</v>
      </c>
      <c r="I1029" s="11">
        <f>VLOOKUP(A1029,'Operational Data'!$A$2:$E$201,5,FALSE)</f>
        <v>76.709999999999994</v>
      </c>
      <c r="J1029" s="21">
        <f t="shared" si="16"/>
        <v>9.4802734535870195E-3</v>
      </c>
    </row>
    <row r="1030" spans="1:10" x14ac:dyDescent="0.25">
      <c r="A1030" s="20" t="s">
        <v>175</v>
      </c>
      <c r="B1030" s="20" t="s">
        <v>7</v>
      </c>
      <c r="C1030" s="20" t="s">
        <v>34</v>
      </c>
      <c r="D1030" s="20" t="s">
        <v>9</v>
      </c>
      <c r="E1030" s="20" t="s">
        <v>10</v>
      </c>
      <c r="F1030" s="20">
        <v>1785.8245850000001</v>
      </c>
      <c r="G1030" s="11">
        <f>VLOOKUP(A1030,'Operational Data'!$A$2:$E$201,3,FALSE)</f>
        <v>83923</v>
      </c>
      <c r="H1030" s="11">
        <f>VLOOKUP(A1030,'Operational Data'!$A$2:$E$201,4,FALSE)</f>
        <v>8768.7999999999993</v>
      </c>
      <c r="I1030" s="11">
        <f>VLOOKUP(A1030,'Operational Data'!$A$2:$E$201,5,FALSE)</f>
        <v>65.290000000000006</v>
      </c>
      <c r="J1030" s="21">
        <f t="shared" si="16"/>
        <v>2.1279322533751178E-2</v>
      </c>
    </row>
    <row r="1031" spans="1:10" x14ac:dyDescent="0.25">
      <c r="A1031" s="20" t="s">
        <v>38</v>
      </c>
      <c r="B1031" s="20" t="s">
        <v>30</v>
      </c>
      <c r="C1031" s="20" t="s">
        <v>23</v>
      </c>
      <c r="D1031" s="20" t="s">
        <v>28</v>
      </c>
      <c r="E1031" s="20" t="s">
        <v>24</v>
      </c>
      <c r="F1031" s="20">
        <v>4949.3</v>
      </c>
      <c r="G1031" s="11">
        <f>VLOOKUP(A1031,'Operational Data'!$A$2:$E$201,3,FALSE)</f>
        <v>57215</v>
      </c>
      <c r="H1031" s="11">
        <f>VLOOKUP(A1031,'Operational Data'!$A$2:$E$201,4,FALSE)</f>
        <v>3227.1</v>
      </c>
      <c r="I1031" s="11">
        <f>VLOOKUP(A1031,'Operational Data'!$A$2:$E$201,5,FALSE)</f>
        <v>32.909999999999997</v>
      </c>
      <c r="J1031" s="21">
        <f t="shared" si="16"/>
        <v>8.650353928165691E-2</v>
      </c>
    </row>
    <row r="1032" spans="1:10" x14ac:dyDescent="0.25">
      <c r="A1032" s="20" t="s">
        <v>92</v>
      </c>
      <c r="B1032" s="20" t="s">
        <v>30</v>
      </c>
      <c r="C1032" s="20" t="s">
        <v>23</v>
      </c>
      <c r="D1032" s="20" t="s">
        <v>9</v>
      </c>
      <c r="E1032" s="20" t="s">
        <v>10</v>
      </c>
      <c r="F1032" s="20">
        <v>3153.3403969999999</v>
      </c>
      <c r="G1032" s="11">
        <f>VLOOKUP(A1032,'Operational Data'!$A$2:$E$201,3,FALSE)</f>
        <v>18726</v>
      </c>
      <c r="H1032" s="11">
        <f>VLOOKUP(A1032,'Operational Data'!$A$2:$E$201,4,FALSE)</f>
        <v>5099.54</v>
      </c>
      <c r="I1032" s="11">
        <f>VLOOKUP(A1032,'Operational Data'!$A$2:$E$201,5,FALSE)</f>
        <v>71.05</v>
      </c>
      <c r="J1032" s="21">
        <f t="shared" si="16"/>
        <v>0.16839369844067073</v>
      </c>
    </row>
    <row r="1033" spans="1:10" ht="30" x14ac:dyDescent="0.25">
      <c r="A1033" s="20" t="s">
        <v>129</v>
      </c>
      <c r="B1033" s="20" t="s">
        <v>17</v>
      </c>
      <c r="C1033" s="20" t="s">
        <v>34</v>
      </c>
      <c r="D1033" s="20" t="s">
        <v>14</v>
      </c>
      <c r="E1033" s="20" t="s">
        <v>15</v>
      </c>
      <c r="F1033" s="20">
        <v>919.35</v>
      </c>
      <c r="G1033" s="11">
        <f>VLOOKUP(A1033,'Operational Data'!$A$2:$E$201,3,FALSE)</f>
        <v>95292</v>
      </c>
      <c r="H1033" s="11">
        <f>VLOOKUP(A1033,'Operational Data'!$A$2:$E$201,4,FALSE)</f>
        <v>697.47</v>
      </c>
      <c r="I1033" s="11">
        <f>VLOOKUP(A1033,'Operational Data'!$A$2:$E$201,5,FALSE)</f>
        <v>88.35</v>
      </c>
      <c r="J1033" s="21">
        <f t="shared" si="16"/>
        <v>9.6477143936531933E-3</v>
      </c>
    </row>
    <row r="1034" spans="1:10" x14ac:dyDescent="0.25">
      <c r="A1034" s="20" t="s">
        <v>123</v>
      </c>
      <c r="B1034" s="20" t="s">
        <v>30</v>
      </c>
      <c r="C1034" s="20" t="s">
        <v>34</v>
      </c>
      <c r="D1034" s="20" t="s">
        <v>14</v>
      </c>
      <c r="E1034" s="20" t="s">
        <v>15</v>
      </c>
      <c r="F1034" s="20">
        <v>2465.21</v>
      </c>
      <c r="G1034" s="11">
        <f>VLOOKUP(A1034,'Operational Data'!$A$2:$E$201,3,FALSE)</f>
        <v>73977</v>
      </c>
      <c r="H1034" s="11">
        <f>VLOOKUP(A1034,'Operational Data'!$A$2:$E$201,4,FALSE)</f>
        <v>1646.75</v>
      </c>
      <c r="I1034" s="11">
        <f>VLOOKUP(A1034,'Operational Data'!$A$2:$E$201,5,FALSE)</f>
        <v>43.77</v>
      </c>
      <c r="J1034" s="21">
        <f t="shared" si="16"/>
        <v>3.3324006110007166E-2</v>
      </c>
    </row>
    <row r="1035" spans="1:10" ht="30" x14ac:dyDescent="0.25">
      <c r="A1035" s="20" t="s">
        <v>147</v>
      </c>
      <c r="B1035" s="20" t="s">
        <v>17</v>
      </c>
      <c r="C1035" s="20" t="s">
        <v>23</v>
      </c>
      <c r="D1035" s="20" t="s">
        <v>14</v>
      </c>
      <c r="E1035" s="20" t="s">
        <v>10</v>
      </c>
      <c r="F1035" s="20">
        <v>2956.74</v>
      </c>
      <c r="G1035" s="11">
        <f>VLOOKUP(A1035,'Operational Data'!$A$2:$E$201,3,FALSE)</f>
        <v>24095</v>
      </c>
      <c r="H1035" s="11">
        <f>VLOOKUP(A1035,'Operational Data'!$A$2:$E$201,4,FALSE)</f>
        <v>3167.52</v>
      </c>
      <c r="I1035" s="11">
        <f>VLOOKUP(A1035,'Operational Data'!$A$2:$E$201,5,FALSE)</f>
        <v>31.02</v>
      </c>
      <c r="J1035" s="21">
        <f t="shared" si="16"/>
        <v>0.12271176592654076</v>
      </c>
    </row>
    <row r="1036" spans="1:10" x14ac:dyDescent="0.25">
      <c r="A1036" s="20" t="s">
        <v>125</v>
      </c>
      <c r="B1036" s="20" t="s">
        <v>7</v>
      </c>
      <c r="C1036" s="20" t="s">
        <v>34</v>
      </c>
      <c r="D1036" s="20" t="s">
        <v>9</v>
      </c>
      <c r="E1036" s="20" t="s">
        <v>10</v>
      </c>
      <c r="F1036" s="20">
        <v>1174.629844</v>
      </c>
      <c r="G1036" s="11">
        <f>VLOOKUP(A1036,'Operational Data'!$A$2:$E$201,3,FALSE)</f>
        <v>56392</v>
      </c>
      <c r="H1036" s="11">
        <f>VLOOKUP(A1036,'Operational Data'!$A$2:$E$201,4,FALSE)</f>
        <v>5703.76</v>
      </c>
      <c r="I1036" s="11">
        <f>VLOOKUP(A1036,'Operational Data'!$A$2:$E$201,5,FALSE)</f>
        <v>23.04</v>
      </c>
      <c r="J1036" s="21">
        <f t="shared" si="16"/>
        <v>2.0829724854589303E-2</v>
      </c>
    </row>
    <row r="1037" spans="1:10" x14ac:dyDescent="0.25">
      <c r="A1037" s="20" t="s">
        <v>130</v>
      </c>
      <c r="B1037" s="20" t="s">
        <v>12</v>
      </c>
      <c r="C1037" s="20" t="s">
        <v>34</v>
      </c>
      <c r="D1037" s="20" t="s">
        <v>14</v>
      </c>
      <c r="E1037" s="20" t="s">
        <v>24</v>
      </c>
      <c r="F1037" s="20">
        <v>1574.82</v>
      </c>
      <c r="G1037" s="11">
        <f>VLOOKUP(A1037,'Operational Data'!$A$2:$E$201,3,FALSE)</f>
        <v>82332</v>
      </c>
      <c r="H1037" s="11">
        <f>VLOOKUP(A1037,'Operational Data'!$A$2:$E$201,4,FALSE)</f>
        <v>7134.86</v>
      </c>
      <c r="I1037" s="11">
        <f>VLOOKUP(A1037,'Operational Data'!$A$2:$E$201,5,FALSE)</f>
        <v>22.44</v>
      </c>
      <c r="J1037" s="21">
        <f t="shared" si="16"/>
        <v>1.9127678181023174E-2</v>
      </c>
    </row>
    <row r="1038" spans="1:10" x14ac:dyDescent="0.25">
      <c r="A1038" s="20" t="s">
        <v>102</v>
      </c>
      <c r="B1038" s="20" t="s">
        <v>19</v>
      </c>
      <c r="C1038" s="20" t="s">
        <v>8</v>
      </c>
      <c r="D1038" s="20" t="s">
        <v>9</v>
      </c>
      <c r="E1038" s="20" t="s">
        <v>10</v>
      </c>
      <c r="F1038" s="20">
        <v>922.32219610000004</v>
      </c>
      <c r="G1038" s="11">
        <f>VLOOKUP(A1038,'Operational Data'!$A$2:$E$201,3,FALSE)</f>
        <v>86263</v>
      </c>
      <c r="H1038" s="11">
        <f>VLOOKUP(A1038,'Operational Data'!$A$2:$E$201,4,FALSE)</f>
        <v>3213.71</v>
      </c>
      <c r="I1038" s="11">
        <f>VLOOKUP(A1038,'Operational Data'!$A$2:$E$201,5,FALSE)</f>
        <v>98.39</v>
      </c>
      <c r="J1038" s="21">
        <f t="shared" si="16"/>
        <v>1.0691979134739113E-2</v>
      </c>
    </row>
    <row r="1039" spans="1:10" x14ac:dyDescent="0.25">
      <c r="A1039" s="20" t="s">
        <v>73</v>
      </c>
      <c r="B1039" s="20" t="s">
        <v>30</v>
      </c>
      <c r="C1039" s="20" t="s">
        <v>23</v>
      </c>
      <c r="D1039" s="20" t="s">
        <v>9</v>
      </c>
      <c r="E1039" s="20" t="s">
        <v>10</v>
      </c>
      <c r="F1039" s="20">
        <v>842.92266970000003</v>
      </c>
      <c r="G1039" s="11">
        <f>VLOOKUP(A1039,'Operational Data'!$A$2:$E$201,3,FALSE)</f>
        <v>55974</v>
      </c>
      <c r="H1039" s="11">
        <f>VLOOKUP(A1039,'Operational Data'!$A$2:$E$201,4,FALSE)</f>
        <v>7542.28</v>
      </c>
      <c r="I1039" s="11">
        <f>VLOOKUP(A1039,'Operational Data'!$A$2:$E$201,5,FALSE)</f>
        <v>72.430000000000007</v>
      </c>
      <c r="J1039" s="21">
        <f t="shared" si="16"/>
        <v>1.5059182293564869E-2</v>
      </c>
    </row>
    <row r="1040" spans="1:10" x14ac:dyDescent="0.25">
      <c r="A1040" s="20" t="s">
        <v>110</v>
      </c>
      <c r="B1040" s="20" t="s">
        <v>12</v>
      </c>
      <c r="C1040" s="20" t="s">
        <v>8</v>
      </c>
      <c r="D1040" s="20" t="s">
        <v>14</v>
      </c>
      <c r="E1040" s="20" t="s">
        <v>10</v>
      </c>
      <c r="F1040" s="20">
        <v>3132.1</v>
      </c>
      <c r="G1040" s="11">
        <f>VLOOKUP(A1040,'Operational Data'!$A$2:$E$201,3,FALSE)</f>
        <v>70481</v>
      </c>
      <c r="H1040" s="11">
        <f>VLOOKUP(A1040,'Operational Data'!$A$2:$E$201,4,FALSE)</f>
        <v>4452.83</v>
      </c>
      <c r="I1040" s="11">
        <f>VLOOKUP(A1040,'Operational Data'!$A$2:$E$201,5,FALSE)</f>
        <v>91.26</v>
      </c>
      <c r="J1040" s="21">
        <f t="shared" si="16"/>
        <v>4.4438926802968175E-2</v>
      </c>
    </row>
    <row r="1041" spans="1:10" x14ac:dyDescent="0.25">
      <c r="A1041" s="20" t="s">
        <v>109</v>
      </c>
      <c r="B1041" s="20" t="s">
        <v>12</v>
      </c>
      <c r="C1041" s="20" t="s">
        <v>13</v>
      </c>
      <c r="D1041" s="20" t="s">
        <v>9</v>
      </c>
      <c r="E1041" s="20" t="s">
        <v>10</v>
      </c>
      <c r="F1041" s="20">
        <v>3613.5009599999998</v>
      </c>
      <c r="G1041" s="11">
        <f>VLOOKUP(A1041,'Operational Data'!$A$2:$E$201,3,FALSE)</f>
        <v>84721</v>
      </c>
      <c r="H1041" s="11">
        <f>VLOOKUP(A1041,'Operational Data'!$A$2:$E$201,4,FALSE)</f>
        <v>2278.9699999999998</v>
      </c>
      <c r="I1041" s="11">
        <f>VLOOKUP(A1041,'Operational Data'!$A$2:$E$201,5,FALSE)</f>
        <v>68.53</v>
      </c>
      <c r="J1041" s="21">
        <f t="shared" si="16"/>
        <v>4.2651774176414345E-2</v>
      </c>
    </row>
    <row r="1042" spans="1:10" x14ac:dyDescent="0.25">
      <c r="A1042" s="20" t="s">
        <v>45</v>
      </c>
      <c r="B1042" s="20" t="s">
        <v>7</v>
      </c>
      <c r="C1042" s="20" t="s">
        <v>34</v>
      </c>
      <c r="D1042" s="20" t="s">
        <v>9</v>
      </c>
      <c r="E1042" s="20" t="s">
        <v>24</v>
      </c>
      <c r="F1042" s="20">
        <v>1968.5236090000001</v>
      </c>
      <c r="G1042" s="11">
        <f>VLOOKUP(A1042,'Operational Data'!$A$2:$E$201,3,FALSE)</f>
        <v>49924</v>
      </c>
      <c r="H1042" s="11">
        <f>VLOOKUP(A1042,'Operational Data'!$A$2:$E$201,4,FALSE)</f>
        <v>2199.16</v>
      </c>
      <c r="I1042" s="11">
        <f>VLOOKUP(A1042,'Operational Data'!$A$2:$E$201,5,FALSE)</f>
        <v>75.48</v>
      </c>
      <c r="J1042" s="21">
        <f t="shared" si="16"/>
        <v>3.9430406397724542E-2</v>
      </c>
    </row>
    <row r="1043" spans="1:10" x14ac:dyDescent="0.25">
      <c r="A1043" s="20" t="s">
        <v>179</v>
      </c>
      <c r="B1043" s="20" t="s">
        <v>7</v>
      </c>
      <c r="C1043" s="20" t="s">
        <v>23</v>
      </c>
      <c r="D1043" s="20" t="s">
        <v>14</v>
      </c>
      <c r="E1043" s="20" t="s">
        <v>10</v>
      </c>
      <c r="F1043" s="20">
        <v>70.83</v>
      </c>
      <c r="G1043" s="11">
        <f>VLOOKUP(A1043,'Operational Data'!$A$2:$E$201,3,FALSE)</f>
        <v>94393</v>
      </c>
      <c r="H1043" s="11">
        <f>VLOOKUP(A1043,'Operational Data'!$A$2:$E$201,4,FALSE)</f>
        <v>6691.7</v>
      </c>
      <c r="I1043" s="11">
        <f>VLOOKUP(A1043,'Operational Data'!$A$2:$E$201,5,FALSE)</f>
        <v>74.790000000000006</v>
      </c>
      <c r="J1043" s="21">
        <f t="shared" si="16"/>
        <v>7.503734387083788E-4</v>
      </c>
    </row>
    <row r="1044" spans="1:10" x14ac:dyDescent="0.25">
      <c r="A1044" s="20" t="s">
        <v>179</v>
      </c>
      <c r="B1044" s="20" t="s">
        <v>7</v>
      </c>
      <c r="C1044" s="20" t="s">
        <v>13</v>
      </c>
      <c r="D1044" s="20" t="s">
        <v>14</v>
      </c>
      <c r="E1044" s="20" t="s">
        <v>15</v>
      </c>
      <c r="F1044" s="20">
        <v>1698.04</v>
      </c>
      <c r="G1044" s="11">
        <f>VLOOKUP(A1044,'Operational Data'!$A$2:$E$201,3,FALSE)</f>
        <v>94393</v>
      </c>
      <c r="H1044" s="11">
        <f>VLOOKUP(A1044,'Operational Data'!$A$2:$E$201,4,FALSE)</f>
        <v>6691.7</v>
      </c>
      <c r="I1044" s="11">
        <f>VLOOKUP(A1044,'Operational Data'!$A$2:$E$201,5,FALSE)</f>
        <v>74.790000000000006</v>
      </c>
      <c r="J1044" s="21">
        <f t="shared" si="16"/>
        <v>1.7989045797887553E-2</v>
      </c>
    </row>
    <row r="1045" spans="1:10" x14ac:dyDescent="0.25">
      <c r="A1045" s="20" t="s">
        <v>173</v>
      </c>
      <c r="B1045" s="20" t="s">
        <v>30</v>
      </c>
      <c r="C1045" s="20" t="s">
        <v>23</v>
      </c>
      <c r="D1045" s="20" t="s">
        <v>28</v>
      </c>
      <c r="E1045" s="20" t="s">
        <v>10</v>
      </c>
      <c r="F1045" s="20">
        <v>4151.2</v>
      </c>
      <c r="G1045" s="11">
        <f>VLOOKUP(A1045,'Operational Data'!$A$2:$E$201,3,FALSE)</f>
        <v>49620</v>
      </c>
      <c r="H1045" s="11">
        <f>VLOOKUP(A1045,'Operational Data'!$A$2:$E$201,4,FALSE)</f>
        <v>2424.31</v>
      </c>
      <c r="I1045" s="11">
        <f>VLOOKUP(A1045,'Operational Data'!$A$2:$E$201,5,FALSE)</f>
        <v>62.09</v>
      </c>
      <c r="J1045" s="21">
        <f t="shared" si="16"/>
        <v>8.3659814590890766E-2</v>
      </c>
    </row>
    <row r="1046" spans="1:10" x14ac:dyDescent="0.25">
      <c r="A1046" s="20" t="s">
        <v>122</v>
      </c>
      <c r="B1046" s="20" t="s">
        <v>19</v>
      </c>
      <c r="C1046" s="20" t="s">
        <v>34</v>
      </c>
      <c r="D1046" s="20" t="s">
        <v>28</v>
      </c>
      <c r="E1046" s="20" t="s">
        <v>15</v>
      </c>
      <c r="F1046" s="20">
        <v>4411.01</v>
      </c>
      <c r="G1046" s="11">
        <f>VLOOKUP(A1046,'Operational Data'!$A$2:$E$201,3,FALSE)</f>
        <v>95962</v>
      </c>
      <c r="H1046" s="11">
        <f>VLOOKUP(A1046,'Operational Data'!$A$2:$E$201,4,FALSE)</f>
        <v>524.72</v>
      </c>
      <c r="I1046" s="11">
        <f>VLOOKUP(A1046,'Operational Data'!$A$2:$E$201,5,FALSE)</f>
        <v>49.55</v>
      </c>
      <c r="J1046" s="21">
        <f t="shared" si="16"/>
        <v>4.5966215793751694E-2</v>
      </c>
    </row>
    <row r="1047" spans="1:10" x14ac:dyDescent="0.25">
      <c r="A1047" s="20" t="s">
        <v>155</v>
      </c>
      <c r="B1047" s="20" t="s">
        <v>7</v>
      </c>
      <c r="C1047" s="20" t="s">
        <v>13</v>
      </c>
      <c r="D1047" s="20" t="s">
        <v>28</v>
      </c>
      <c r="E1047" s="20" t="s">
        <v>15</v>
      </c>
      <c r="F1047" s="20">
        <v>284.04000000000002</v>
      </c>
      <c r="G1047" s="11">
        <f>VLOOKUP(A1047,'Operational Data'!$A$2:$E$201,3,FALSE)</f>
        <v>72224</v>
      </c>
      <c r="H1047" s="11">
        <f>VLOOKUP(A1047,'Operational Data'!$A$2:$E$201,4,FALSE)</f>
        <v>1613.32</v>
      </c>
      <c r="I1047" s="11">
        <f>VLOOKUP(A1047,'Operational Data'!$A$2:$E$201,5,FALSE)</f>
        <v>39.21</v>
      </c>
      <c r="J1047" s="21">
        <f t="shared" si="16"/>
        <v>3.9327647319450602E-3</v>
      </c>
    </row>
    <row r="1048" spans="1:10" x14ac:dyDescent="0.25">
      <c r="A1048" s="20" t="s">
        <v>200</v>
      </c>
      <c r="B1048" s="20" t="s">
        <v>30</v>
      </c>
      <c r="C1048" s="20" t="s">
        <v>8</v>
      </c>
      <c r="D1048" s="20" t="s">
        <v>9</v>
      </c>
      <c r="E1048" s="20" t="s">
        <v>24</v>
      </c>
      <c r="F1048" s="20">
        <v>3725.8493830000002</v>
      </c>
      <c r="G1048" s="11">
        <f>VLOOKUP(A1048,'Operational Data'!$A$2:$E$201,3,FALSE)</f>
        <v>46863</v>
      </c>
      <c r="H1048" s="11">
        <f>VLOOKUP(A1048,'Operational Data'!$A$2:$E$201,4,FALSE)</f>
        <v>6762.98</v>
      </c>
      <c r="I1048" s="11">
        <f>VLOOKUP(A1048,'Operational Data'!$A$2:$E$201,5,FALSE)</f>
        <v>23.45</v>
      </c>
      <c r="J1048" s="21">
        <f t="shared" si="16"/>
        <v>7.9505140153212556E-2</v>
      </c>
    </row>
    <row r="1049" spans="1:10" x14ac:dyDescent="0.25">
      <c r="A1049" s="20" t="s">
        <v>191</v>
      </c>
      <c r="B1049" s="20" t="s">
        <v>12</v>
      </c>
      <c r="C1049" s="20" t="s">
        <v>13</v>
      </c>
      <c r="D1049" s="20" t="s">
        <v>28</v>
      </c>
      <c r="E1049" s="20" t="s">
        <v>24</v>
      </c>
      <c r="F1049" s="20">
        <v>324.83999999999997</v>
      </c>
      <c r="G1049" s="11">
        <f>VLOOKUP(A1049,'Operational Data'!$A$2:$E$201,3,FALSE)</f>
        <v>43346</v>
      </c>
      <c r="H1049" s="11">
        <f>VLOOKUP(A1049,'Operational Data'!$A$2:$E$201,4,FALSE)</f>
        <v>5559.12</v>
      </c>
      <c r="I1049" s="11">
        <f>VLOOKUP(A1049,'Operational Data'!$A$2:$E$201,5,FALSE)</f>
        <v>39.4</v>
      </c>
      <c r="J1049" s="21">
        <f t="shared" si="16"/>
        <v>7.4941171042310706E-3</v>
      </c>
    </row>
    <row r="1050" spans="1:10" x14ac:dyDescent="0.25">
      <c r="A1050" s="20" t="s">
        <v>51</v>
      </c>
      <c r="B1050" s="20" t="s">
        <v>30</v>
      </c>
      <c r="C1050" s="20" t="s">
        <v>13</v>
      </c>
      <c r="D1050" s="20" t="s">
        <v>28</v>
      </c>
      <c r="E1050" s="20" t="s">
        <v>24</v>
      </c>
      <c r="F1050" s="20">
        <v>574.69000000000005</v>
      </c>
      <c r="G1050" s="11">
        <f>VLOOKUP(A1050,'Operational Data'!$A$2:$E$201,3,FALSE)</f>
        <v>44164</v>
      </c>
      <c r="H1050" s="11">
        <f>VLOOKUP(A1050,'Operational Data'!$A$2:$E$201,4,FALSE)</f>
        <v>3869.32</v>
      </c>
      <c r="I1050" s="11">
        <f>VLOOKUP(A1050,'Operational Data'!$A$2:$E$201,5,FALSE)</f>
        <v>13.81</v>
      </c>
      <c r="J1050" s="21">
        <f t="shared" si="16"/>
        <v>1.301263472511548E-2</v>
      </c>
    </row>
    <row r="1051" spans="1:10" x14ac:dyDescent="0.25">
      <c r="A1051" s="20" t="s">
        <v>198</v>
      </c>
      <c r="B1051" s="20" t="s">
        <v>12</v>
      </c>
      <c r="C1051" s="20" t="s">
        <v>34</v>
      </c>
      <c r="D1051" s="20" t="s">
        <v>9</v>
      </c>
      <c r="E1051" s="20" t="s">
        <v>24</v>
      </c>
      <c r="F1051" s="20">
        <v>3034.3254080000002</v>
      </c>
      <c r="G1051" s="11">
        <f>VLOOKUP(A1051,'Operational Data'!$A$2:$E$201,3,FALSE)</f>
        <v>58113</v>
      </c>
      <c r="H1051" s="11">
        <f>VLOOKUP(A1051,'Operational Data'!$A$2:$E$201,4,FALSE)</f>
        <v>6382.12</v>
      </c>
      <c r="I1051" s="11">
        <f>VLOOKUP(A1051,'Operational Data'!$A$2:$E$201,5,FALSE)</f>
        <v>56.66</v>
      </c>
      <c r="J1051" s="21">
        <f t="shared" si="16"/>
        <v>5.2214227591072568E-2</v>
      </c>
    </row>
    <row r="1052" spans="1:10" ht="30" x14ac:dyDescent="0.25">
      <c r="A1052" s="20" t="s">
        <v>116</v>
      </c>
      <c r="B1052" s="20" t="s">
        <v>17</v>
      </c>
      <c r="C1052" s="20" t="s">
        <v>34</v>
      </c>
      <c r="D1052" s="20" t="s">
        <v>28</v>
      </c>
      <c r="E1052" s="20" t="s">
        <v>24</v>
      </c>
      <c r="F1052" s="20">
        <v>169.73</v>
      </c>
      <c r="G1052" s="11">
        <f>VLOOKUP(A1052,'Operational Data'!$A$2:$E$201,3,FALSE)</f>
        <v>68216</v>
      </c>
      <c r="H1052" s="11">
        <f>VLOOKUP(A1052,'Operational Data'!$A$2:$E$201,4,FALSE)</f>
        <v>9562.33</v>
      </c>
      <c r="I1052" s="11">
        <f>VLOOKUP(A1052,'Operational Data'!$A$2:$E$201,5,FALSE)</f>
        <v>63.59</v>
      </c>
      <c r="J1052" s="21">
        <f t="shared" si="16"/>
        <v>2.488125952855635E-3</v>
      </c>
    </row>
    <row r="1053" spans="1:10" ht="30" x14ac:dyDescent="0.25">
      <c r="A1053" s="20" t="s">
        <v>142</v>
      </c>
      <c r="B1053" s="20" t="s">
        <v>17</v>
      </c>
      <c r="C1053" s="20" t="s">
        <v>13</v>
      </c>
      <c r="D1053" s="20" t="s">
        <v>14</v>
      </c>
      <c r="E1053" s="20" t="s">
        <v>24</v>
      </c>
      <c r="F1053" s="20">
        <v>1309.6199999999999</v>
      </c>
      <c r="G1053" s="11">
        <f>VLOOKUP(A1053,'Operational Data'!$A$2:$E$201,3,FALSE)</f>
        <v>75736</v>
      </c>
      <c r="H1053" s="11">
        <f>VLOOKUP(A1053,'Operational Data'!$A$2:$E$201,4,FALSE)</f>
        <v>6287.07</v>
      </c>
      <c r="I1053" s="11">
        <f>VLOOKUP(A1053,'Operational Data'!$A$2:$E$201,5,FALSE)</f>
        <v>63.11</v>
      </c>
      <c r="J1053" s="21">
        <f t="shared" si="16"/>
        <v>1.7291908735607899E-2</v>
      </c>
    </row>
    <row r="1054" spans="1:10" ht="30" x14ac:dyDescent="0.25">
      <c r="A1054" s="20" t="s">
        <v>149</v>
      </c>
      <c r="B1054" s="20" t="s">
        <v>17</v>
      </c>
      <c r="C1054" s="20" t="s">
        <v>8</v>
      </c>
      <c r="D1054" s="20" t="s">
        <v>28</v>
      </c>
      <c r="E1054" s="20" t="s">
        <v>24</v>
      </c>
      <c r="F1054" s="20">
        <v>2624.96</v>
      </c>
      <c r="G1054" s="11">
        <f>VLOOKUP(A1054,'Operational Data'!$A$2:$E$201,3,FALSE)</f>
        <v>49885</v>
      </c>
      <c r="H1054" s="11">
        <f>VLOOKUP(A1054,'Operational Data'!$A$2:$E$201,4,FALSE)</f>
        <v>6845.46</v>
      </c>
      <c r="I1054" s="11">
        <f>VLOOKUP(A1054,'Operational Data'!$A$2:$E$201,5,FALSE)</f>
        <v>58.4</v>
      </c>
      <c r="J1054" s="21">
        <f t="shared" si="16"/>
        <v>5.2620226520998299E-2</v>
      </c>
    </row>
    <row r="1055" spans="1:10" x14ac:dyDescent="0.25">
      <c r="A1055" s="20" t="s">
        <v>113</v>
      </c>
      <c r="B1055" s="20" t="s">
        <v>30</v>
      </c>
      <c r="C1055" s="20" t="s">
        <v>8</v>
      </c>
      <c r="D1055" s="20" t="s">
        <v>14</v>
      </c>
      <c r="E1055" s="20" t="s">
        <v>15</v>
      </c>
      <c r="F1055" s="20">
        <v>1753.99</v>
      </c>
      <c r="G1055" s="11">
        <f>VLOOKUP(A1055,'Operational Data'!$A$2:$E$201,3,FALSE)</f>
        <v>90679</v>
      </c>
      <c r="H1055" s="11">
        <f>VLOOKUP(A1055,'Operational Data'!$A$2:$E$201,4,FALSE)</f>
        <v>7266.82</v>
      </c>
      <c r="I1055" s="11">
        <f>VLOOKUP(A1055,'Operational Data'!$A$2:$E$201,5,FALSE)</f>
        <v>23.3</v>
      </c>
      <c r="J1055" s="21">
        <f t="shared" si="16"/>
        <v>1.9342846745111879E-2</v>
      </c>
    </row>
    <row r="1056" spans="1:10" x14ac:dyDescent="0.25">
      <c r="A1056" s="20" t="s">
        <v>94</v>
      </c>
      <c r="B1056" s="20" t="s">
        <v>7</v>
      </c>
      <c r="C1056" s="20" t="s">
        <v>13</v>
      </c>
      <c r="D1056" s="20" t="s">
        <v>9</v>
      </c>
      <c r="E1056" s="20" t="s">
        <v>10</v>
      </c>
      <c r="F1056" s="20">
        <v>4506.350676</v>
      </c>
      <c r="G1056" s="11">
        <f>VLOOKUP(A1056,'Operational Data'!$A$2:$E$201,3,FALSE)</f>
        <v>26338</v>
      </c>
      <c r="H1056" s="11">
        <f>VLOOKUP(A1056,'Operational Data'!$A$2:$E$201,4,FALSE)</f>
        <v>578.73</v>
      </c>
      <c r="I1056" s="11">
        <f>VLOOKUP(A1056,'Operational Data'!$A$2:$E$201,5,FALSE)</f>
        <v>72.52</v>
      </c>
      <c r="J1056" s="21">
        <f t="shared" si="16"/>
        <v>0.17109691988761486</v>
      </c>
    </row>
    <row r="1057" spans="1:10" x14ac:dyDescent="0.25">
      <c r="A1057" s="20" t="s">
        <v>154</v>
      </c>
      <c r="B1057" s="20" t="s">
        <v>12</v>
      </c>
      <c r="C1057" s="20" t="s">
        <v>13</v>
      </c>
      <c r="D1057" s="20" t="s">
        <v>9</v>
      </c>
      <c r="E1057" s="20" t="s">
        <v>24</v>
      </c>
      <c r="F1057" s="20">
        <v>1399.9373109999999</v>
      </c>
      <c r="G1057" s="11">
        <f>VLOOKUP(A1057,'Operational Data'!$A$2:$E$201,3,FALSE)</f>
        <v>87012</v>
      </c>
      <c r="H1057" s="11">
        <f>VLOOKUP(A1057,'Operational Data'!$A$2:$E$201,4,FALSE)</f>
        <v>7478.13</v>
      </c>
      <c r="I1057" s="11">
        <f>VLOOKUP(A1057,'Operational Data'!$A$2:$E$201,5,FALSE)</f>
        <v>27.22</v>
      </c>
      <c r="J1057" s="21">
        <f t="shared" si="16"/>
        <v>1.6089014285385922E-2</v>
      </c>
    </row>
    <row r="1058" spans="1:10" x14ac:dyDescent="0.25">
      <c r="A1058" s="20" t="s">
        <v>103</v>
      </c>
      <c r="B1058" s="20" t="s">
        <v>19</v>
      </c>
      <c r="C1058" s="20" t="s">
        <v>23</v>
      </c>
      <c r="D1058" s="20" t="s">
        <v>9</v>
      </c>
      <c r="E1058" s="20" t="s">
        <v>15</v>
      </c>
      <c r="F1058" s="20">
        <v>3722.0575220000001</v>
      </c>
      <c r="G1058" s="11">
        <f>VLOOKUP(A1058,'Operational Data'!$A$2:$E$201,3,FALSE)</f>
        <v>38869</v>
      </c>
      <c r="H1058" s="11">
        <f>VLOOKUP(A1058,'Operational Data'!$A$2:$E$201,4,FALSE)</f>
        <v>5109.76</v>
      </c>
      <c r="I1058" s="11">
        <f>VLOOKUP(A1058,'Operational Data'!$A$2:$E$201,5,FALSE)</f>
        <v>35.270000000000003</v>
      </c>
      <c r="J1058" s="21">
        <f t="shared" si="16"/>
        <v>9.5759024466798737E-2</v>
      </c>
    </row>
    <row r="1059" spans="1:10" x14ac:dyDescent="0.25">
      <c r="A1059" s="20" t="s">
        <v>66</v>
      </c>
      <c r="B1059" s="20" t="s">
        <v>30</v>
      </c>
      <c r="C1059" s="20" t="s">
        <v>23</v>
      </c>
      <c r="D1059" s="20" t="s">
        <v>9</v>
      </c>
      <c r="E1059" s="20" t="s">
        <v>24</v>
      </c>
      <c r="F1059" s="20">
        <v>4854.660578</v>
      </c>
      <c r="G1059" s="11">
        <f>VLOOKUP(A1059,'Operational Data'!$A$2:$E$201,3,FALSE)</f>
        <v>98396</v>
      </c>
      <c r="H1059" s="11">
        <f>VLOOKUP(A1059,'Operational Data'!$A$2:$E$201,4,FALSE)</f>
        <v>5174.07</v>
      </c>
      <c r="I1059" s="11">
        <f>VLOOKUP(A1059,'Operational Data'!$A$2:$E$201,5,FALSE)</f>
        <v>63.38</v>
      </c>
      <c r="J1059" s="21">
        <f t="shared" si="16"/>
        <v>4.9337987092971256E-2</v>
      </c>
    </row>
    <row r="1060" spans="1:10" ht="30" x14ac:dyDescent="0.25">
      <c r="A1060" s="20" t="s">
        <v>168</v>
      </c>
      <c r="B1060" s="20" t="s">
        <v>17</v>
      </c>
      <c r="C1060" s="20" t="s">
        <v>13</v>
      </c>
      <c r="D1060" s="20" t="s">
        <v>9</v>
      </c>
      <c r="E1060" s="20" t="s">
        <v>24</v>
      </c>
      <c r="F1060" s="20">
        <v>3995.7127209999999</v>
      </c>
      <c r="G1060" s="11">
        <f>VLOOKUP(A1060,'Operational Data'!$A$2:$E$201,3,FALSE)</f>
        <v>41050</v>
      </c>
      <c r="H1060" s="11">
        <f>VLOOKUP(A1060,'Operational Data'!$A$2:$E$201,4,FALSE)</f>
        <v>6025.84</v>
      </c>
      <c r="I1060" s="11">
        <f>VLOOKUP(A1060,'Operational Data'!$A$2:$E$201,5,FALSE)</f>
        <v>53.53</v>
      </c>
      <c r="J1060" s="21">
        <f t="shared" si="16"/>
        <v>9.7337703313032889E-2</v>
      </c>
    </row>
    <row r="1061" spans="1:10" x14ac:dyDescent="0.25">
      <c r="A1061" s="20" t="s">
        <v>183</v>
      </c>
      <c r="B1061" s="20" t="s">
        <v>7</v>
      </c>
      <c r="C1061" s="20" t="s">
        <v>23</v>
      </c>
      <c r="D1061" s="20" t="s">
        <v>9</v>
      </c>
      <c r="E1061" s="20" t="s">
        <v>10</v>
      </c>
      <c r="F1061" s="20">
        <v>1233.9262349999999</v>
      </c>
      <c r="G1061" s="11">
        <f>VLOOKUP(A1061,'Operational Data'!$A$2:$E$201,3,FALSE)</f>
        <v>14009</v>
      </c>
      <c r="H1061" s="11">
        <f>VLOOKUP(A1061,'Operational Data'!$A$2:$E$201,4,FALSE)</f>
        <v>7528.98</v>
      </c>
      <c r="I1061" s="11">
        <f>VLOOKUP(A1061,'Operational Data'!$A$2:$E$201,5,FALSE)</f>
        <v>77.62</v>
      </c>
      <c r="J1061" s="21">
        <f t="shared" si="16"/>
        <v>8.8080964736954814E-2</v>
      </c>
    </row>
    <row r="1062" spans="1:10" x14ac:dyDescent="0.25">
      <c r="A1062" s="20" t="s">
        <v>159</v>
      </c>
      <c r="B1062" s="20" t="s">
        <v>7</v>
      </c>
      <c r="C1062" s="20" t="s">
        <v>23</v>
      </c>
      <c r="D1062" s="20" t="s">
        <v>14</v>
      </c>
      <c r="E1062" s="20" t="s">
        <v>15</v>
      </c>
      <c r="F1062" s="20">
        <v>2802.78</v>
      </c>
      <c r="G1062" s="11">
        <f>VLOOKUP(A1062,'Operational Data'!$A$2:$E$201,3,FALSE)</f>
        <v>47727</v>
      </c>
      <c r="H1062" s="11">
        <f>VLOOKUP(A1062,'Operational Data'!$A$2:$E$201,4,FALSE)</f>
        <v>8907.33</v>
      </c>
      <c r="I1062" s="11">
        <f>VLOOKUP(A1062,'Operational Data'!$A$2:$E$201,5,FALSE)</f>
        <v>47.4</v>
      </c>
      <c r="J1062" s="21">
        <f t="shared" si="16"/>
        <v>5.8725249858570625E-2</v>
      </c>
    </row>
    <row r="1063" spans="1:10" x14ac:dyDescent="0.25">
      <c r="A1063" s="20" t="s">
        <v>211</v>
      </c>
      <c r="B1063" s="20" t="s">
        <v>7</v>
      </c>
      <c r="C1063" s="20" t="s">
        <v>8</v>
      </c>
      <c r="D1063" s="20" t="s">
        <v>14</v>
      </c>
      <c r="E1063" s="20" t="s">
        <v>15</v>
      </c>
      <c r="F1063" s="20">
        <v>2330.0300000000002</v>
      </c>
      <c r="G1063" s="11">
        <f>VLOOKUP(A1063,'Operational Data'!$A$2:$E$201,3,FALSE)</f>
        <v>27028</v>
      </c>
      <c r="H1063" s="11">
        <f>VLOOKUP(A1063,'Operational Data'!$A$2:$E$201,4,FALSE)</f>
        <v>4617.92</v>
      </c>
      <c r="I1063" s="11">
        <f>VLOOKUP(A1063,'Operational Data'!$A$2:$E$201,5,FALSE)</f>
        <v>57.62</v>
      </c>
      <c r="J1063" s="21">
        <f t="shared" si="16"/>
        <v>8.6208006511765578E-2</v>
      </c>
    </row>
    <row r="1064" spans="1:10" x14ac:dyDescent="0.25">
      <c r="A1064" s="20" t="s">
        <v>214</v>
      </c>
      <c r="B1064" s="20" t="s">
        <v>30</v>
      </c>
      <c r="C1064" s="20" t="s">
        <v>8</v>
      </c>
      <c r="D1064" s="20" t="s">
        <v>28</v>
      </c>
      <c r="E1064" s="20" t="s">
        <v>24</v>
      </c>
      <c r="F1064" s="20">
        <v>4895.2700000000004</v>
      </c>
      <c r="G1064" s="11">
        <f>VLOOKUP(A1064,'Operational Data'!$A$2:$E$201,3,FALSE)</f>
        <v>79330</v>
      </c>
      <c r="H1064" s="11">
        <f>VLOOKUP(A1064,'Operational Data'!$A$2:$E$201,4,FALSE)</f>
        <v>6075.23</v>
      </c>
      <c r="I1064" s="11">
        <f>VLOOKUP(A1064,'Operational Data'!$A$2:$E$201,5,FALSE)</f>
        <v>83.97</v>
      </c>
      <c r="J1064" s="21">
        <f t="shared" si="16"/>
        <v>6.1707676793142575E-2</v>
      </c>
    </row>
    <row r="1065" spans="1:10" x14ac:dyDescent="0.25">
      <c r="A1065" s="20" t="s">
        <v>52</v>
      </c>
      <c r="B1065" s="20" t="s">
        <v>19</v>
      </c>
      <c r="C1065" s="20" t="s">
        <v>13</v>
      </c>
      <c r="D1065" s="20" t="s">
        <v>14</v>
      </c>
      <c r="E1065" s="20" t="s">
        <v>24</v>
      </c>
      <c r="F1065" s="20">
        <v>804.58</v>
      </c>
      <c r="G1065" s="11">
        <f>VLOOKUP(A1065,'Operational Data'!$A$2:$E$201,3,FALSE)</f>
        <v>94949</v>
      </c>
      <c r="H1065" s="11">
        <f>VLOOKUP(A1065,'Operational Data'!$A$2:$E$201,4,FALSE)</f>
        <v>9714.76</v>
      </c>
      <c r="I1065" s="11">
        <f>VLOOKUP(A1065,'Operational Data'!$A$2:$E$201,5,FALSE)</f>
        <v>64.900000000000006</v>
      </c>
      <c r="J1065" s="21">
        <f t="shared" si="16"/>
        <v>8.4738122571064462E-3</v>
      </c>
    </row>
    <row r="1066" spans="1:10" x14ac:dyDescent="0.25">
      <c r="A1066" s="20" t="s">
        <v>61</v>
      </c>
      <c r="B1066" s="20" t="s">
        <v>30</v>
      </c>
      <c r="C1066" s="20" t="s">
        <v>13</v>
      </c>
      <c r="D1066" s="20" t="s">
        <v>9</v>
      </c>
      <c r="E1066" s="20" t="s">
        <v>10</v>
      </c>
      <c r="F1066" s="20">
        <v>5233.9546099999998</v>
      </c>
      <c r="G1066" s="11">
        <f>VLOOKUP(A1066,'Operational Data'!$A$2:$E$201,3,FALSE)</f>
        <v>95718</v>
      </c>
      <c r="H1066" s="11">
        <f>VLOOKUP(A1066,'Operational Data'!$A$2:$E$201,4,FALSE)</f>
        <v>2443.12</v>
      </c>
      <c r="I1066" s="11">
        <f>VLOOKUP(A1066,'Operational Data'!$A$2:$E$201,5,FALSE)</f>
        <v>35.49</v>
      </c>
      <c r="J1066" s="21">
        <f t="shared" si="16"/>
        <v>5.4680985916964416E-2</v>
      </c>
    </row>
    <row r="1067" spans="1:10" x14ac:dyDescent="0.25">
      <c r="A1067" s="20" t="s">
        <v>182</v>
      </c>
      <c r="B1067" s="20" t="s">
        <v>12</v>
      </c>
      <c r="C1067" s="20" t="s">
        <v>23</v>
      </c>
      <c r="D1067" s="20" t="s">
        <v>14</v>
      </c>
      <c r="E1067" s="20" t="s">
        <v>10</v>
      </c>
      <c r="F1067" s="20">
        <v>2997.09</v>
      </c>
      <c r="G1067" s="11">
        <f>VLOOKUP(A1067,'Operational Data'!$A$2:$E$201,3,FALSE)</f>
        <v>21081</v>
      </c>
      <c r="H1067" s="11">
        <f>VLOOKUP(A1067,'Operational Data'!$A$2:$E$201,4,FALSE)</f>
        <v>9001.77</v>
      </c>
      <c r="I1067" s="11">
        <f>VLOOKUP(A1067,'Operational Data'!$A$2:$E$201,5,FALSE)</f>
        <v>49.27</v>
      </c>
      <c r="J1067" s="21">
        <f t="shared" si="16"/>
        <v>0.14217020065461791</v>
      </c>
    </row>
    <row r="1068" spans="1:10" x14ac:dyDescent="0.25">
      <c r="A1068" s="20" t="s">
        <v>161</v>
      </c>
      <c r="B1068" s="20" t="s">
        <v>7</v>
      </c>
      <c r="C1068" s="20" t="s">
        <v>8</v>
      </c>
      <c r="D1068" s="20" t="s">
        <v>9</v>
      </c>
      <c r="E1068" s="20" t="s">
        <v>10</v>
      </c>
      <c r="F1068" s="20">
        <v>964.92144989999997</v>
      </c>
      <c r="G1068" s="11">
        <f>VLOOKUP(A1068,'Operational Data'!$A$2:$E$201,3,FALSE)</f>
        <v>15788</v>
      </c>
      <c r="H1068" s="11">
        <f>VLOOKUP(A1068,'Operational Data'!$A$2:$E$201,4,FALSE)</f>
        <v>1824.14</v>
      </c>
      <c r="I1068" s="11">
        <f>VLOOKUP(A1068,'Operational Data'!$A$2:$E$201,5,FALSE)</f>
        <v>52.78</v>
      </c>
      <c r="J1068" s="21">
        <f t="shared" si="16"/>
        <v>6.1117396117304282E-2</v>
      </c>
    </row>
    <row r="1069" spans="1:10" x14ac:dyDescent="0.25">
      <c r="A1069" s="20" t="s">
        <v>180</v>
      </c>
      <c r="B1069" s="20" t="s">
        <v>30</v>
      </c>
      <c r="C1069" s="20" t="s">
        <v>8</v>
      </c>
      <c r="D1069" s="20" t="s">
        <v>9</v>
      </c>
      <c r="E1069" s="20" t="s">
        <v>24</v>
      </c>
      <c r="F1069" s="20">
        <v>3145.31</v>
      </c>
      <c r="G1069" s="11">
        <f>VLOOKUP(A1069,'Operational Data'!$A$2:$E$201,3,FALSE)</f>
        <v>72846</v>
      </c>
      <c r="H1069" s="11">
        <f>VLOOKUP(A1069,'Operational Data'!$A$2:$E$201,4,FALSE)</f>
        <v>5169.53</v>
      </c>
      <c r="I1069" s="11">
        <f>VLOOKUP(A1069,'Operational Data'!$A$2:$E$201,5,FALSE)</f>
        <v>76.709999999999994</v>
      </c>
      <c r="J1069" s="21">
        <f t="shared" si="16"/>
        <v>4.3177525190127117E-2</v>
      </c>
    </row>
    <row r="1070" spans="1:10" x14ac:dyDescent="0.25">
      <c r="A1070" s="20" t="s">
        <v>38</v>
      </c>
      <c r="B1070" s="20" t="s">
        <v>30</v>
      </c>
      <c r="C1070" s="20" t="s">
        <v>13</v>
      </c>
      <c r="D1070" s="20" t="s">
        <v>28</v>
      </c>
      <c r="E1070" s="20" t="s">
        <v>15</v>
      </c>
      <c r="F1070" s="20">
        <v>2135.2800000000002</v>
      </c>
      <c r="G1070" s="11">
        <f>VLOOKUP(A1070,'Operational Data'!$A$2:$E$201,3,FALSE)</f>
        <v>57215</v>
      </c>
      <c r="H1070" s="11">
        <f>VLOOKUP(A1070,'Operational Data'!$A$2:$E$201,4,FALSE)</f>
        <v>3227.1</v>
      </c>
      <c r="I1070" s="11">
        <f>VLOOKUP(A1070,'Operational Data'!$A$2:$E$201,5,FALSE)</f>
        <v>32.909999999999997</v>
      </c>
      <c r="J1070" s="21">
        <f t="shared" si="16"/>
        <v>3.7320283142532558E-2</v>
      </c>
    </row>
    <row r="1071" spans="1:10" x14ac:dyDescent="0.25">
      <c r="A1071" s="20" t="s">
        <v>128</v>
      </c>
      <c r="B1071" s="20" t="s">
        <v>12</v>
      </c>
      <c r="C1071" s="20" t="s">
        <v>34</v>
      </c>
      <c r="D1071" s="20" t="s">
        <v>9</v>
      </c>
      <c r="E1071" s="20" t="s">
        <v>24</v>
      </c>
      <c r="F1071" s="20">
        <v>4359.5105709999998</v>
      </c>
      <c r="G1071" s="11">
        <f>VLOOKUP(A1071,'Operational Data'!$A$2:$E$201,3,FALSE)</f>
        <v>29406</v>
      </c>
      <c r="H1071" s="11">
        <f>VLOOKUP(A1071,'Operational Data'!$A$2:$E$201,4,FALSE)</f>
        <v>5281.69</v>
      </c>
      <c r="I1071" s="11">
        <f>VLOOKUP(A1071,'Operational Data'!$A$2:$E$201,5,FALSE)</f>
        <v>27.01</v>
      </c>
      <c r="J1071" s="21">
        <f t="shared" si="16"/>
        <v>0.14825241688770999</v>
      </c>
    </row>
    <row r="1072" spans="1:10" x14ac:dyDescent="0.25">
      <c r="A1072" s="20" t="s">
        <v>99</v>
      </c>
      <c r="B1072" s="20" t="s">
        <v>19</v>
      </c>
      <c r="C1072" s="20" t="s">
        <v>23</v>
      </c>
      <c r="D1072" s="20" t="s">
        <v>14</v>
      </c>
      <c r="E1072" s="20" t="s">
        <v>15</v>
      </c>
      <c r="F1072" s="20">
        <v>4094.25</v>
      </c>
      <c r="G1072" s="11">
        <f>VLOOKUP(A1072,'Operational Data'!$A$2:$E$201,3,FALSE)</f>
        <v>77400</v>
      </c>
      <c r="H1072" s="11">
        <f>VLOOKUP(A1072,'Operational Data'!$A$2:$E$201,4,FALSE)</f>
        <v>7504.8</v>
      </c>
      <c r="I1072" s="11">
        <f>VLOOKUP(A1072,'Operational Data'!$A$2:$E$201,5,FALSE)</f>
        <v>68.819999999999993</v>
      </c>
      <c r="J1072" s="21">
        <f t="shared" si="16"/>
        <v>5.2897286821705428E-2</v>
      </c>
    </row>
    <row r="1073" spans="1:10" x14ac:dyDescent="0.25">
      <c r="A1073" s="20" t="s">
        <v>183</v>
      </c>
      <c r="B1073" s="20" t="s">
        <v>7</v>
      </c>
      <c r="C1073" s="20" t="s">
        <v>34</v>
      </c>
      <c r="D1073" s="20" t="s">
        <v>9</v>
      </c>
      <c r="E1073" s="20" t="s">
        <v>15</v>
      </c>
      <c r="F1073" s="20">
        <v>1200.6229960000001</v>
      </c>
      <c r="G1073" s="11">
        <f>VLOOKUP(A1073,'Operational Data'!$A$2:$E$201,3,FALSE)</f>
        <v>14009</v>
      </c>
      <c r="H1073" s="11">
        <f>VLOOKUP(A1073,'Operational Data'!$A$2:$E$201,4,FALSE)</f>
        <v>7528.98</v>
      </c>
      <c r="I1073" s="11">
        <f>VLOOKUP(A1073,'Operational Data'!$A$2:$E$201,5,FALSE)</f>
        <v>77.62</v>
      </c>
      <c r="J1073" s="21">
        <f t="shared" si="16"/>
        <v>8.5703690199157689E-2</v>
      </c>
    </row>
    <row r="1074" spans="1:10" ht="30" x14ac:dyDescent="0.25">
      <c r="A1074" s="20" t="s">
        <v>205</v>
      </c>
      <c r="B1074" s="20" t="s">
        <v>17</v>
      </c>
      <c r="C1074" s="20" t="s">
        <v>23</v>
      </c>
      <c r="D1074" s="20" t="s">
        <v>9</v>
      </c>
      <c r="E1074" s="20" t="s">
        <v>24</v>
      </c>
      <c r="F1074" s="20">
        <v>2599.9448320000001</v>
      </c>
      <c r="G1074" s="11">
        <f>VLOOKUP(A1074,'Operational Data'!$A$2:$E$201,3,FALSE)</f>
        <v>52594</v>
      </c>
      <c r="H1074" s="11">
        <f>VLOOKUP(A1074,'Operational Data'!$A$2:$E$201,4,FALSE)</f>
        <v>8715.0400000000009</v>
      </c>
      <c r="I1074" s="11">
        <f>VLOOKUP(A1074,'Operational Data'!$A$2:$E$201,5,FALSE)</f>
        <v>90.54</v>
      </c>
      <c r="J1074" s="21">
        <f t="shared" si="16"/>
        <v>4.9434247860972738E-2</v>
      </c>
    </row>
    <row r="1075" spans="1:10" ht="30" x14ac:dyDescent="0.25">
      <c r="A1075" s="20" t="s">
        <v>199</v>
      </c>
      <c r="B1075" s="20" t="s">
        <v>17</v>
      </c>
      <c r="C1075" s="20" t="s">
        <v>34</v>
      </c>
      <c r="D1075" s="20" t="s">
        <v>14</v>
      </c>
      <c r="E1075" s="20" t="s">
        <v>10</v>
      </c>
      <c r="F1075" s="20">
        <v>3672.52</v>
      </c>
      <c r="G1075" s="11">
        <f>VLOOKUP(A1075,'Operational Data'!$A$2:$E$201,3,FALSE)</f>
        <v>77317</v>
      </c>
      <c r="H1075" s="11">
        <f>VLOOKUP(A1075,'Operational Data'!$A$2:$E$201,4,FALSE)</f>
        <v>4862.95</v>
      </c>
      <c r="I1075" s="11">
        <f>VLOOKUP(A1075,'Operational Data'!$A$2:$E$201,5,FALSE)</f>
        <v>89.78</v>
      </c>
      <c r="J1075" s="21">
        <f t="shared" si="16"/>
        <v>4.7499514983768122E-2</v>
      </c>
    </row>
    <row r="1076" spans="1:10" x14ac:dyDescent="0.25">
      <c r="A1076" s="20" t="s">
        <v>196</v>
      </c>
      <c r="B1076" s="20" t="s">
        <v>30</v>
      </c>
      <c r="C1076" s="20" t="s">
        <v>23</v>
      </c>
      <c r="D1076" s="20" t="s">
        <v>28</v>
      </c>
      <c r="E1076" s="20" t="s">
        <v>24</v>
      </c>
      <c r="F1076" s="20">
        <v>787.76</v>
      </c>
      <c r="G1076" s="11">
        <f>VLOOKUP(A1076,'Operational Data'!$A$2:$E$201,3,FALSE)</f>
        <v>12262</v>
      </c>
      <c r="H1076" s="11">
        <f>VLOOKUP(A1076,'Operational Data'!$A$2:$E$201,4,FALSE)</f>
        <v>7106.18</v>
      </c>
      <c r="I1076" s="11">
        <f>VLOOKUP(A1076,'Operational Data'!$A$2:$E$201,5,FALSE)</f>
        <v>45.69</v>
      </c>
      <c r="J1076" s="21">
        <f t="shared" si="16"/>
        <v>6.4244005871799056E-2</v>
      </c>
    </row>
    <row r="1077" spans="1:10" x14ac:dyDescent="0.25">
      <c r="A1077" s="20" t="s">
        <v>154</v>
      </c>
      <c r="B1077" s="20" t="s">
        <v>12</v>
      </c>
      <c r="C1077" s="20" t="s">
        <v>8</v>
      </c>
      <c r="D1077" s="20" t="s">
        <v>14</v>
      </c>
      <c r="E1077" s="20" t="s">
        <v>10</v>
      </c>
      <c r="F1077" s="20">
        <v>4418.3</v>
      </c>
      <c r="G1077" s="11">
        <f>VLOOKUP(A1077,'Operational Data'!$A$2:$E$201,3,FALSE)</f>
        <v>87012</v>
      </c>
      <c r="H1077" s="11">
        <f>VLOOKUP(A1077,'Operational Data'!$A$2:$E$201,4,FALSE)</f>
        <v>7478.13</v>
      </c>
      <c r="I1077" s="11">
        <f>VLOOKUP(A1077,'Operational Data'!$A$2:$E$201,5,FALSE)</f>
        <v>27.22</v>
      </c>
      <c r="J1077" s="21">
        <f t="shared" si="16"/>
        <v>5.0778053601802049E-2</v>
      </c>
    </row>
    <row r="1078" spans="1:10" x14ac:dyDescent="0.25">
      <c r="A1078" s="20" t="s">
        <v>145</v>
      </c>
      <c r="B1078" s="20" t="s">
        <v>7</v>
      </c>
      <c r="C1078" s="20" t="s">
        <v>23</v>
      </c>
      <c r="D1078" s="20" t="s">
        <v>28</v>
      </c>
      <c r="E1078" s="20" t="s">
        <v>24</v>
      </c>
      <c r="F1078" s="20">
        <v>1918.45</v>
      </c>
      <c r="G1078" s="11">
        <f>VLOOKUP(A1078,'Operational Data'!$A$2:$E$201,3,FALSE)</f>
        <v>60710</v>
      </c>
      <c r="H1078" s="11">
        <f>VLOOKUP(A1078,'Operational Data'!$A$2:$E$201,4,FALSE)</f>
        <v>2726.26</v>
      </c>
      <c r="I1078" s="11">
        <f>VLOOKUP(A1078,'Operational Data'!$A$2:$E$201,5,FALSE)</f>
        <v>83.02</v>
      </c>
      <c r="J1078" s="21">
        <f t="shared" si="16"/>
        <v>3.1600230604513259E-2</v>
      </c>
    </row>
    <row r="1079" spans="1:10" x14ac:dyDescent="0.25">
      <c r="A1079" s="20" t="s">
        <v>208</v>
      </c>
      <c r="B1079" s="20" t="s">
        <v>19</v>
      </c>
      <c r="C1079" s="20" t="s">
        <v>23</v>
      </c>
      <c r="D1079" s="20" t="s">
        <v>28</v>
      </c>
      <c r="E1079" s="20" t="s">
        <v>10</v>
      </c>
      <c r="F1079" s="20">
        <v>4411.78</v>
      </c>
      <c r="G1079" s="11">
        <f>VLOOKUP(A1079,'Operational Data'!$A$2:$E$201,3,FALSE)</f>
        <v>40553</v>
      </c>
      <c r="H1079" s="11">
        <f>VLOOKUP(A1079,'Operational Data'!$A$2:$E$201,4,FALSE)</f>
        <v>4875.2299999999996</v>
      </c>
      <c r="I1079" s="11">
        <f>VLOOKUP(A1079,'Operational Data'!$A$2:$E$201,5,FALSE)</f>
        <v>23.33</v>
      </c>
      <c r="J1079" s="21">
        <f t="shared" si="16"/>
        <v>0.10879047172835547</v>
      </c>
    </row>
    <row r="1080" spans="1:10" x14ac:dyDescent="0.25">
      <c r="A1080" s="20" t="s">
        <v>177</v>
      </c>
      <c r="B1080" s="20" t="s">
        <v>7</v>
      </c>
      <c r="C1080" s="20" t="s">
        <v>23</v>
      </c>
      <c r="D1080" s="20" t="s">
        <v>9</v>
      </c>
      <c r="E1080" s="20" t="s">
        <v>10</v>
      </c>
      <c r="F1080" s="20">
        <v>755.83986930000003</v>
      </c>
      <c r="G1080" s="11">
        <f>VLOOKUP(A1080,'Operational Data'!$A$2:$E$201,3,FALSE)</f>
        <v>17097</v>
      </c>
      <c r="H1080" s="11">
        <f>VLOOKUP(A1080,'Operational Data'!$A$2:$E$201,4,FALSE)</f>
        <v>9061.7800000000007</v>
      </c>
      <c r="I1080" s="11">
        <f>VLOOKUP(A1080,'Operational Data'!$A$2:$E$201,5,FALSE)</f>
        <v>95.92</v>
      </c>
      <c r="J1080" s="21">
        <f t="shared" si="16"/>
        <v>4.4208917897876822E-2</v>
      </c>
    </row>
    <row r="1081" spans="1:10" x14ac:dyDescent="0.25">
      <c r="A1081" s="20" t="s">
        <v>166</v>
      </c>
      <c r="B1081" s="20" t="s">
        <v>7</v>
      </c>
      <c r="C1081" s="20" t="s">
        <v>13</v>
      </c>
      <c r="D1081" s="20" t="s">
        <v>9</v>
      </c>
      <c r="E1081" s="20" t="s">
        <v>10</v>
      </c>
      <c r="F1081" s="20">
        <v>868.5117434</v>
      </c>
      <c r="G1081" s="11">
        <f>VLOOKUP(A1081,'Operational Data'!$A$2:$E$201,3,FALSE)</f>
        <v>34318</v>
      </c>
      <c r="H1081" s="11">
        <f>VLOOKUP(A1081,'Operational Data'!$A$2:$E$201,4,FALSE)</f>
        <v>675.67</v>
      </c>
      <c r="I1081" s="11">
        <f>VLOOKUP(A1081,'Operational Data'!$A$2:$E$201,5,FALSE)</f>
        <v>41.05</v>
      </c>
      <c r="J1081" s="21">
        <f t="shared" si="16"/>
        <v>2.5307761040853197E-2</v>
      </c>
    </row>
    <row r="1082" spans="1:10" ht="30" x14ac:dyDescent="0.25">
      <c r="A1082" s="20" t="s">
        <v>26</v>
      </c>
      <c r="B1082" s="20" t="s">
        <v>17</v>
      </c>
      <c r="C1082" s="20" t="s">
        <v>34</v>
      </c>
      <c r="D1082" s="20" t="s">
        <v>14</v>
      </c>
      <c r="E1082" s="20" t="s">
        <v>10</v>
      </c>
      <c r="F1082" s="20">
        <v>3296.99</v>
      </c>
      <c r="G1082" s="11">
        <f>VLOOKUP(A1082,'Operational Data'!$A$2:$E$201,3,FALSE)</f>
        <v>17311</v>
      </c>
      <c r="H1082" s="11">
        <f>VLOOKUP(A1082,'Operational Data'!$A$2:$E$201,4,FALSE)</f>
        <v>2257.38</v>
      </c>
      <c r="I1082" s="11">
        <f>VLOOKUP(A1082,'Operational Data'!$A$2:$E$201,5,FALSE)</f>
        <v>91.07</v>
      </c>
      <c r="J1082" s="21">
        <f t="shared" si="16"/>
        <v>0.19045635722950724</v>
      </c>
    </row>
    <row r="1083" spans="1:10" x14ac:dyDescent="0.25">
      <c r="A1083" s="20" t="s">
        <v>101</v>
      </c>
      <c r="B1083" s="20" t="s">
        <v>19</v>
      </c>
      <c r="C1083" s="20" t="s">
        <v>34</v>
      </c>
      <c r="D1083" s="20" t="s">
        <v>28</v>
      </c>
      <c r="E1083" s="20" t="s">
        <v>24</v>
      </c>
      <c r="F1083" s="20">
        <v>4240.42</v>
      </c>
      <c r="G1083" s="11">
        <f>VLOOKUP(A1083,'Operational Data'!$A$2:$E$201,3,FALSE)</f>
        <v>39050</v>
      </c>
      <c r="H1083" s="11">
        <f>VLOOKUP(A1083,'Operational Data'!$A$2:$E$201,4,FALSE)</f>
        <v>5885.73</v>
      </c>
      <c r="I1083" s="11">
        <f>VLOOKUP(A1083,'Operational Data'!$A$2:$E$201,5,FALSE)</f>
        <v>93.04</v>
      </c>
      <c r="J1083" s="21">
        <f t="shared" si="16"/>
        <v>0.10858950064020487</v>
      </c>
    </row>
    <row r="1084" spans="1:10" ht="30" x14ac:dyDescent="0.25">
      <c r="A1084" s="20" t="s">
        <v>194</v>
      </c>
      <c r="B1084" s="20" t="s">
        <v>17</v>
      </c>
      <c r="C1084" s="20" t="s">
        <v>13</v>
      </c>
      <c r="D1084" s="20" t="s">
        <v>9</v>
      </c>
      <c r="E1084" s="20" t="s">
        <v>10</v>
      </c>
      <c r="F1084" s="20">
        <v>1409.821359</v>
      </c>
      <c r="G1084" s="11">
        <f>VLOOKUP(A1084,'Operational Data'!$A$2:$E$201,3,FALSE)</f>
        <v>95165</v>
      </c>
      <c r="H1084" s="11">
        <f>VLOOKUP(A1084,'Operational Data'!$A$2:$E$201,4,FALSE)</f>
        <v>8562.76</v>
      </c>
      <c r="I1084" s="11">
        <f>VLOOKUP(A1084,'Operational Data'!$A$2:$E$201,5,FALSE)</f>
        <v>37.54</v>
      </c>
      <c r="J1084" s="21">
        <f t="shared" si="16"/>
        <v>1.4814494393947355E-2</v>
      </c>
    </row>
    <row r="1085" spans="1:10" x14ac:dyDescent="0.25">
      <c r="A1085" s="20" t="s">
        <v>122</v>
      </c>
      <c r="B1085" s="20" t="s">
        <v>19</v>
      </c>
      <c r="C1085" s="20" t="s">
        <v>34</v>
      </c>
      <c r="D1085" s="20" t="s">
        <v>14</v>
      </c>
      <c r="E1085" s="20" t="s">
        <v>10</v>
      </c>
      <c r="F1085" s="20">
        <v>3970.76</v>
      </c>
      <c r="G1085" s="11">
        <f>VLOOKUP(A1085,'Operational Data'!$A$2:$E$201,3,FALSE)</f>
        <v>95962</v>
      </c>
      <c r="H1085" s="11">
        <f>VLOOKUP(A1085,'Operational Data'!$A$2:$E$201,4,FALSE)</f>
        <v>524.72</v>
      </c>
      <c r="I1085" s="11">
        <f>VLOOKUP(A1085,'Operational Data'!$A$2:$E$201,5,FALSE)</f>
        <v>49.55</v>
      </c>
      <c r="J1085" s="21">
        <f t="shared" si="16"/>
        <v>4.1378462307996917E-2</v>
      </c>
    </row>
    <row r="1086" spans="1:10" x14ac:dyDescent="0.25">
      <c r="A1086" s="20" t="s">
        <v>102</v>
      </c>
      <c r="B1086" s="20" t="s">
        <v>19</v>
      </c>
      <c r="C1086" s="20" t="s">
        <v>8</v>
      </c>
      <c r="D1086" s="20" t="s">
        <v>28</v>
      </c>
      <c r="E1086" s="20" t="s">
        <v>15</v>
      </c>
      <c r="F1086" s="20">
        <v>549.77</v>
      </c>
      <c r="G1086" s="11">
        <f>VLOOKUP(A1086,'Operational Data'!$A$2:$E$201,3,FALSE)</f>
        <v>86263</v>
      </c>
      <c r="H1086" s="11">
        <f>VLOOKUP(A1086,'Operational Data'!$A$2:$E$201,4,FALSE)</f>
        <v>3213.71</v>
      </c>
      <c r="I1086" s="11">
        <f>VLOOKUP(A1086,'Operational Data'!$A$2:$E$201,5,FALSE)</f>
        <v>98.39</v>
      </c>
      <c r="J1086" s="21">
        <f t="shared" si="16"/>
        <v>6.3731843316369701E-3</v>
      </c>
    </row>
    <row r="1087" spans="1:10" x14ac:dyDescent="0.25">
      <c r="A1087" s="20" t="s">
        <v>69</v>
      </c>
      <c r="B1087" s="20" t="s">
        <v>7</v>
      </c>
      <c r="C1087" s="20" t="s">
        <v>13</v>
      </c>
      <c r="D1087" s="20" t="s">
        <v>14</v>
      </c>
      <c r="E1087" s="20" t="s">
        <v>10</v>
      </c>
      <c r="F1087" s="20">
        <v>104.29</v>
      </c>
      <c r="G1087" s="11">
        <f>VLOOKUP(A1087,'Operational Data'!$A$2:$E$201,3,FALSE)</f>
        <v>34725</v>
      </c>
      <c r="H1087" s="11">
        <f>VLOOKUP(A1087,'Operational Data'!$A$2:$E$201,4,FALSE)</f>
        <v>3269.89</v>
      </c>
      <c r="I1087" s="11">
        <f>VLOOKUP(A1087,'Operational Data'!$A$2:$E$201,5,FALSE)</f>
        <v>78.86</v>
      </c>
      <c r="J1087" s="21">
        <f t="shared" si="16"/>
        <v>3.0033117350611953E-3</v>
      </c>
    </row>
    <row r="1088" spans="1:10" x14ac:dyDescent="0.25">
      <c r="A1088" s="20" t="s">
        <v>212</v>
      </c>
      <c r="B1088" s="20" t="s">
        <v>7</v>
      </c>
      <c r="C1088" s="20" t="s">
        <v>13</v>
      </c>
      <c r="D1088" s="20" t="s">
        <v>14</v>
      </c>
      <c r="E1088" s="20" t="s">
        <v>10</v>
      </c>
      <c r="F1088" s="20">
        <v>1468.86</v>
      </c>
      <c r="G1088" s="11">
        <f>VLOOKUP(A1088,'Operational Data'!$A$2:$E$201,3,FALSE)</f>
        <v>67820</v>
      </c>
      <c r="H1088" s="11">
        <f>VLOOKUP(A1088,'Operational Data'!$A$2:$E$201,4,FALSE)</f>
        <v>8177.95</v>
      </c>
      <c r="I1088" s="11">
        <f>VLOOKUP(A1088,'Operational Data'!$A$2:$E$201,5,FALSE)</f>
        <v>40.69</v>
      </c>
      <c r="J1088" s="21">
        <f t="shared" si="16"/>
        <v>2.1658212916543792E-2</v>
      </c>
    </row>
    <row r="1089" spans="1:10" x14ac:dyDescent="0.25">
      <c r="A1089" s="20" t="s">
        <v>163</v>
      </c>
      <c r="B1089" s="20" t="s">
        <v>19</v>
      </c>
      <c r="C1089" s="20" t="s">
        <v>13</v>
      </c>
      <c r="D1089" s="20" t="s">
        <v>14</v>
      </c>
      <c r="E1089" s="20" t="s">
        <v>15</v>
      </c>
      <c r="F1089" s="20">
        <v>2876.13</v>
      </c>
      <c r="G1089" s="11">
        <f>VLOOKUP(A1089,'Operational Data'!$A$2:$E$201,3,FALSE)</f>
        <v>87482</v>
      </c>
      <c r="H1089" s="11">
        <f>VLOOKUP(A1089,'Operational Data'!$A$2:$E$201,4,FALSE)</f>
        <v>2231.7399999999998</v>
      </c>
      <c r="I1089" s="11">
        <f>VLOOKUP(A1089,'Operational Data'!$A$2:$E$201,5,FALSE)</f>
        <v>45.43</v>
      </c>
      <c r="J1089" s="21">
        <f t="shared" si="16"/>
        <v>3.2876820374477034E-2</v>
      </c>
    </row>
    <row r="1090" spans="1:10" x14ac:dyDescent="0.25">
      <c r="A1090" s="20" t="s">
        <v>154</v>
      </c>
      <c r="B1090" s="20" t="s">
        <v>12</v>
      </c>
      <c r="C1090" s="20" t="s">
        <v>13</v>
      </c>
      <c r="D1090" s="20" t="s">
        <v>28</v>
      </c>
      <c r="E1090" s="20" t="s">
        <v>24</v>
      </c>
      <c r="F1090" s="20">
        <v>1825.34</v>
      </c>
      <c r="G1090" s="11">
        <f>VLOOKUP(A1090,'Operational Data'!$A$2:$E$201,3,FALSE)</f>
        <v>87012</v>
      </c>
      <c r="H1090" s="11">
        <f>VLOOKUP(A1090,'Operational Data'!$A$2:$E$201,4,FALSE)</f>
        <v>7478.13</v>
      </c>
      <c r="I1090" s="11">
        <f>VLOOKUP(A1090,'Operational Data'!$A$2:$E$201,5,FALSE)</f>
        <v>27.22</v>
      </c>
      <c r="J1090" s="21">
        <f t="shared" si="16"/>
        <v>2.0978026019399621E-2</v>
      </c>
    </row>
    <row r="1091" spans="1:10" x14ac:dyDescent="0.25">
      <c r="A1091" s="20" t="s">
        <v>124</v>
      </c>
      <c r="B1091" s="20" t="s">
        <v>12</v>
      </c>
      <c r="C1091" s="20" t="s">
        <v>23</v>
      </c>
      <c r="D1091" s="20" t="s">
        <v>14</v>
      </c>
      <c r="E1091" s="20" t="s">
        <v>15</v>
      </c>
      <c r="F1091" s="20">
        <v>3246.39</v>
      </c>
      <c r="G1091" s="11">
        <f>VLOOKUP(A1091,'Operational Data'!$A$2:$E$201,3,FALSE)</f>
        <v>47491</v>
      </c>
      <c r="H1091" s="11">
        <f>VLOOKUP(A1091,'Operational Data'!$A$2:$E$201,4,FALSE)</f>
        <v>5781.05</v>
      </c>
      <c r="I1091" s="11">
        <f>VLOOKUP(A1091,'Operational Data'!$A$2:$E$201,5,FALSE)</f>
        <v>92.18</v>
      </c>
      <c r="J1091" s="21">
        <f t="shared" ref="J1091:J1154" si="17">F1091/G1091</f>
        <v>6.8358004674569914E-2</v>
      </c>
    </row>
    <row r="1092" spans="1:10" x14ac:dyDescent="0.25">
      <c r="A1092" s="20" t="s">
        <v>42</v>
      </c>
      <c r="B1092" s="20" t="s">
        <v>30</v>
      </c>
      <c r="C1092" s="20" t="s">
        <v>8</v>
      </c>
      <c r="D1092" s="20" t="s">
        <v>28</v>
      </c>
      <c r="E1092" s="20" t="s">
        <v>10</v>
      </c>
      <c r="F1092" s="20">
        <v>1846.98</v>
      </c>
      <c r="G1092" s="11">
        <f>VLOOKUP(A1092,'Operational Data'!$A$2:$E$201,3,FALSE)</f>
        <v>41539</v>
      </c>
      <c r="H1092" s="11">
        <f>VLOOKUP(A1092,'Operational Data'!$A$2:$E$201,4,FALSE)</f>
        <v>982.8</v>
      </c>
      <c r="I1092" s="11">
        <f>VLOOKUP(A1092,'Operational Data'!$A$2:$E$201,5,FALSE)</f>
        <v>79.7</v>
      </c>
      <c r="J1092" s="21">
        <f t="shared" si="17"/>
        <v>4.4463756951298783E-2</v>
      </c>
    </row>
    <row r="1093" spans="1:10" x14ac:dyDescent="0.25">
      <c r="A1093" s="20" t="s">
        <v>134</v>
      </c>
      <c r="B1093" s="20" t="s">
        <v>7</v>
      </c>
      <c r="C1093" s="20" t="s">
        <v>23</v>
      </c>
      <c r="D1093" s="20" t="s">
        <v>14</v>
      </c>
      <c r="E1093" s="20" t="s">
        <v>24</v>
      </c>
      <c r="F1093" s="20">
        <v>4193.53</v>
      </c>
      <c r="G1093" s="11">
        <f>VLOOKUP(A1093,'Operational Data'!$A$2:$E$201,3,FALSE)</f>
        <v>39568</v>
      </c>
      <c r="H1093" s="11">
        <f>VLOOKUP(A1093,'Operational Data'!$A$2:$E$201,4,FALSE)</f>
        <v>3580.54</v>
      </c>
      <c r="I1093" s="11">
        <f>VLOOKUP(A1093,'Operational Data'!$A$2:$E$201,5,FALSE)</f>
        <v>78.08</v>
      </c>
      <c r="J1093" s="21">
        <f t="shared" si="17"/>
        <v>0.10598286494136676</v>
      </c>
    </row>
    <row r="1094" spans="1:10" x14ac:dyDescent="0.25">
      <c r="A1094" s="20" t="s">
        <v>135</v>
      </c>
      <c r="B1094" s="20" t="s">
        <v>12</v>
      </c>
      <c r="C1094" s="20" t="s">
        <v>34</v>
      </c>
      <c r="D1094" s="20" t="s">
        <v>28</v>
      </c>
      <c r="E1094" s="20" t="s">
        <v>10</v>
      </c>
      <c r="F1094" s="20">
        <v>1402.57</v>
      </c>
      <c r="G1094" s="11">
        <f>VLOOKUP(A1094,'Operational Data'!$A$2:$E$201,3,FALSE)</f>
        <v>39560</v>
      </c>
      <c r="H1094" s="11">
        <f>VLOOKUP(A1094,'Operational Data'!$A$2:$E$201,4,FALSE)</f>
        <v>8380.77</v>
      </c>
      <c r="I1094" s="11">
        <f>VLOOKUP(A1094,'Operational Data'!$A$2:$E$201,5,FALSE)</f>
        <v>94.01</v>
      </c>
      <c r="J1094" s="21">
        <f t="shared" si="17"/>
        <v>3.5454246713852375E-2</v>
      </c>
    </row>
    <row r="1095" spans="1:10" ht="30" x14ac:dyDescent="0.25">
      <c r="A1095" s="20" t="s">
        <v>80</v>
      </c>
      <c r="B1095" s="20" t="s">
        <v>17</v>
      </c>
      <c r="C1095" s="20" t="s">
        <v>8</v>
      </c>
      <c r="D1095" s="20" t="s">
        <v>9</v>
      </c>
      <c r="E1095" s="20" t="s">
        <v>10</v>
      </c>
      <c r="F1095" s="20">
        <v>2860.1475580000001</v>
      </c>
      <c r="G1095" s="11">
        <f>VLOOKUP(A1095,'Operational Data'!$A$2:$E$201,3,FALSE)</f>
        <v>75508</v>
      </c>
      <c r="H1095" s="11">
        <f>VLOOKUP(A1095,'Operational Data'!$A$2:$E$201,4,FALSE)</f>
        <v>6856.22</v>
      </c>
      <c r="I1095" s="11">
        <f>VLOOKUP(A1095,'Operational Data'!$A$2:$E$201,5,FALSE)</f>
        <v>18.2</v>
      </c>
      <c r="J1095" s="21">
        <f t="shared" si="17"/>
        <v>3.7878735471738097E-2</v>
      </c>
    </row>
    <row r="1096" spans="1:10" x14ac:dyDescent="0.25">
      <c r="A1096" s="20" t="s">
        <v>62</v>
      </c>
      <c r="B1096" s="20" t="s">
        <v>30</v>
      </c>
      <c r="C1096" s="20" t="s">
        <v>13</v>
      </c>
      <c r="D1096" s="20" t="s">
        <v>28</v>
      </c>
      <c r="E1096" s="20" t="s">
        <v>15</v>
      </c>
      <c r="F1096" s="20">
        <v>1019.13</v>
      </c>
      <c r="G1096" s="11">
        <f>VLOOKUP(A1096,'Operational Data'!$A$2:$E$201,3,FALSE)</f>
        <v>22309</v>
      </c>
      <c r="H1096" s="11">
        <f>VLOOKUP(A1096,'Operational Data'!$A$2:$E$201,4,FALSE)</f>
        <v>3656.29</v>
      </c>
      <c r="I1096" s="11">
        <f>VLOOKUP(A1096,'Operational Data'!$A$2:$E$201,5,FALSE)</f>
        <v>75.25</v>
      </c>
      <c r="J1096" s="21">
        <f t="shared" si="17"/>
        <v>4.5682459993724507E-2</v>
      </c>
    </row>
    <row r="1097" spans="1:10" x14ac:dyDescent="0.25">
      <c r="A1097" s="20" t="s">
        <v>188</v>
      </c>
      <c r="B1097" s="20" t="s">
        <v>19</v>
      </c>
      <c r="C1097" s="20" t="s">
        <v>8</v>
      </c>
      <c r="D1097" s="20" t="s">
        <v>28</v>
      </c>
      <c r="E1097" s="20" t="s">
        <v>15</v>
      </c>
      <c r="F1097" s="20">
        <v>3886.16</v>
      </c>
      <c r="G1097" s="11">
        <f>VLOOKUP(A1097,'Operational Data'!$A$2:$E$201,3,FALSE)</f>
        <v>60513</v>
      </c>
      <c r="H1097" s="11">
        <f>VLOOKUP(A1097,'Operational Data'!$A$2:$E$201,4,FALSE)</f>
        <v>4578.16</v>
      </c>
      <c r="I1097" s="11">
        <f>VLOOKUP(A1097,'Operational Data'!$A$2:$E$201,5,FALSE)</f>
        <v>65.53</v>
      </c>
      <c r="J1097" s="21">
        <f t="shared" si="17"/>
        <v>6.4220250194173156E-2</v>
      </c>
    </row>
    <row r="1098" spans="1:10" x14ac:dyDescent="0.25">
      <c r="A1098" s="20" t="s">
        <v>125</v>
      </c>
      <c r="B1098" s="20" t="s">
        <v>7</v>
      </c>
      <c r="C1098" s="20" t="s">
        <v>34</v>
      </c>
      <c r="D1098" s="20" t="s">
        <v>9</v>
      </c>
      <c r="E1098" s="20" t="s">
        <v>15</v>
      </c>
      <c r="F1098" s="20">
        <v>2913.9286999999999</v>
      </c>
      <c r="G1098" s="11">
        <f>VLOOKUP(A1098,'Operational Data'!$A$2:$E$201,3,FALSE)</f>
        <v>56392</v>
      </c>
      <c r="H1098" s="11">
        <f>VLOOKUP(A1098,'Operational Data'!$A$2:$E$201,4,FALSE)</f>
        <v>5703.76</v>
      </c>
      <c r="I1098" s="11">
        <f>VLOOKUP(A1098,'Operational Data'!$A$2:$E$201,5,FALSE)</f>
        <v>23.04</v>
      </c>
      <c r="J1098" s="21">
        <f t="shared" si="17"/>
        <v>5.1672731947794009E-2</v>
      </c>
    </row>
    <row r="1099" spans="1:10" x14ac:dyDescent="0.25">
      <c r="A1099" s="20" t="s">
        <v>35</v>
      </c>
      <c r="B1099" s="20" t="s">
        <v>19</v>
      </c>
      <c r="C1099" s="20" t="s">
        <v>8</v>
      </c>
      <c r="D1099" s="20" t="s">
        <v>14</v>
      </c>
      <c r="E1099" s="20" t="s">
        <v>10</v>
      </c>
      <c r="F1099" s="20">
        <v>4929.24</v>
      </c>
      <c r="G1099" s="11">
        <f>VLOOKUP(A1099,'Operational Data'!$A$2:$E$201,3,FALSE)</f>
        <v>42382</v>
      </c>
      <c r="H1099" s="11">
        <f>VLOOKUP(A1099,'Operational Data'!$A$2:$E$201,4,FALSE)</f>
        <v>5116.6899999999996</v>
      </c>
      <c r="I1099" s="11">
        <f>VLOOKUP(A1099,'Operational Data'!$A$2:$E$201,5,FALSE)</f>
        <v>80.42</v>
      </c>
      <c r="J1099" s="21">
        <f t="shared" si="17"/>
        <v>0.11630503515643432</v>
      </c>
    </row>
    <row r="1100" spans="1:10" x14ac:dyDescent="0.25">
      <c r="A1100" s="20" t="s">
        <v>48</v>
      </c>
      <c r="B1100" s="20" t="s">
        <v>19</v>
      </c>
      <c r="C1100" s="20" t="s">
        <v>13</v>
      </c>
      <c r="D1100" s="20" t="s">
        <v>14</v>
      </c>
      <c r="E1100" s="20" t="s">
        <v>10</v>
      </c>
      <c r="F1100" s="20">
        <v>197.22</v>
      </c>
      <c r="G1100" s="11">
        <f>VLOOKUP(A1100,'Operational Data'!$A$2:$E$201,3,FALSE)</f>
        <v>11952</v>
      </c>
      <c r="H1100" s="11">
        <f>VLOOKUP(A1100,'Operational Data'!$A$2:$E$201,4,FALSE)</f>
        <v>4637.74</v>
      </c>
      <c r="I1100" s="11">
        <f>VLOOKUP(A1100,'Operational Data'!$A$2:$E$201,5,FALSE)</f>
        <v>63.78</v>
      </c>
      <c r="J1100" s="21">
        <f t="shared" si="17"/>
        <v>1.6501004016064257E-2</v>
      </c>
    </row>
    <row r="1101" spans="1:10" ht="30" x14ac:dyDescent="0.25">
      <c r="A1101" s="20" t="s">
        <v>205</v>
      </c>
      <c r="B1101" s="20" t="s">
        <v>17</v>
      </c>
      <c r="C1101" s="20" t="s">
        <v>34</v>
      </c>
      <c r="D1101" s="20" t="s">
        <v>28</v>
      </c>
      <c r="E1101" s="20" t="s">
        <v>10</v>
      </c>
      <c r="F1101" s="20">
        <v>3407.21</v>
      </c>
      <c r="G1101" s="11">
        <f>VLOOKUP(A1101,'Operational Data'!$A$2:$E$201,3,FALSE)</f>
        <v>52594</v>
      </c>
      <c r="H1101" s="11">
        <f>VLOOKUP(A1101,'Operational Data'!$A$2:$E$201,4,FALSE)</f>
        <v>8715.0400000000009</v>
      </c>
      <c r="I1101" s="11">
        <f>VLOOKUP(A1101,'Operational Data'!$A$2:$E$201,5,FALSE)</f>
        <v>90.54</v>
      </c>
      <c r="J1101" s="21">
        <f t="shared" si="17"/>
        <v>6.4783245237099288E-2</v>
      </c>
    </row>
    <row r="1102" spans="1:10" x14ac:dyDescent="0.25">
      <c r="A1102" s="20" t="s">
        <v>145</v>
      </c>
      <c r="B1102" s="20" t="s">
        <v>7</v>
      </c>
      <c r="C1102" s="20" t="s">
        <v>13</v>
      </c>
      <c r="D1102" s="20" t="s">
        <v>28</v>
      </c>
      <c r="E1102" s="20" t="s">
        <v>24</v>
      </c>
      <c r="F1102" s="20">
        <v>538.5</v>
      </c>
      <c r="G1102" s="11">
        <f>VLOOKUP(A1102,'Operational Data'!$A$2:$E$201,3,FALSE)</f>
        <v>60710</v>
      </c>
      <c r="H1102" s="11">
        <f>VLOOKUP(A1102,'Operational Data'!$A$2:$E$201,4,FALSE)</f>
        <v>2726.26</v>
      </c>
      <c r="I1102" s="11">
        <f>VLOOKUP(A1102,'Operational Data'!$A$2:$E$201,5,FALSE)</f>
        <v>83.02</v>
      </c>
      <c r="J1102" s="21">
        <f t="shared" si="17"/>
        <v>8.870037885027179E-3</v>
      </c>
    </row>
    <row r="1103" spans="1:10" x14ac:dyDescent="0.25">
      <c r="A1103" s="20" t="s">
        <v>105</v>
      </c>
      <c r="B1103" s="20" t="s">
        <v>30</v>
      </c>
      <c r="C1103" s="20" t="s">
        <v>13</v>
      </c>
      <c r="D1103" s="20" t="s">
        <v>28</v>
      </c>
      <c r="E1103" s="20" t="s">
        <v>10</v>
      </c>
      <c r="F1103" s="20">
        <v>4976.37</v>
      </c>
      <c r="G1103" s="11">
        <f>VLOOKUP(A1103,'Operational Data'!$A$2:$E$201,3,FALSE)</f>
        <v>87337</v>
      </c>
      <c r="H1103" s="11">
        <f>VLOOKUP(A1103,'Operational Data'!$A$2:$E$201,4,FALSE)</f>
        <v>3603.06</v>
      </c>
      <c r="I1103" s="11">
        <f>VLOOKUP(A1103,'Operational Data'!$A$2:$E$201,5,FALSE)</f>
        <v>67.13</v>
      </c>
      <c r="J1103" s="21">
        <f t="shared" si="17"/>
        <v>5.6978943632137583E-2</v>
      </c>
    </row>
    <row r="1104" spans="1:10" ht="30" x14ac:dyDescent="0.25">
      <c r="A1104" s="20" t="s">
        <v>131</v>
      </c>
      <c r="B1104" s="20" t="s">
        <v>17</v>
      </c>
      <c r="C1104" s="20" t="s">
        <v>8</v>
      </c>
      <c r="D1104" s="20" t="s">
        <v>14</v>
      </c>
      <c r="E1104" s="20" t="s">
        <v>24</v>
      </c>
      <c r="F1104" s="20">
        <v>1334.36</v>
      </c>
      <c r="G1104" s="11">
        <f>VLOOKUP(A1104,'Operational Data'!$A$2:$E$201,3,FALSE)</f>
        <v>94128</v>
      </c>
      <c r="H1104" s="11">
        <f>VLOOKUP(A1104,'Operational Data'!$A$2:$E$201,4,FALSE)</f>
        <v>8117.82</v>
      </c>
      <c r="I1104" s="11">
        <f>VLOOKUP(A1104,'Operational Data'!$A$2:$E$201,5,FALSE)</f>
        <v>73.83</v>
      </c>
      <c r="J1104" s="21">
        <f t="shared" si="17"/>
        <v>1.4176015638279789E-2</v>
      </c>
    </row>
    <row r="1105" spans="1:10" x14ac:dyDescent="0.25">
      <c r="A1105" s="20" t="s">
        <v>172</v>
      </c>
      <c r="B1105" s="20" t="s">
        <v>7</v>
      </c>
      <c r="C1105" s="20" t="s">
        <v>23</v>
      </c>
      <c r="D1105" s="20" t="s">
        <v>14</v>
      </c>
      <c r="E1105" s="20" t="s">
        <v>10</v>
      </c>
      <c r="F1105" s="20">
        <v>2641.31</v>
      </c>
      <c r="G1105" s="11">
        <f>VLOOKUP(A1105,'Operational Data'!$A$2:$E$201,3,FALSE)</f>
        <v>68820</v>
      </c>
      <c r="H1105" s="11">
        <f>VLOOKUP(A1105,'Operational Data'!$A$2:$E$201,4,FALSE)</f>
        <v>9612.25</v>
      </c>
      <c r="I1105" s="11">
        <f>VLOOKUP(A1105,'Operational Data'!$A$2:$E$201,5,FALSE)</f>
        <v>83.51</v>
      </c>
      <c r="J1105" s="21">
        <f t="shared" si="17"/>
        <v>3.837997675094449E-2</v>
      </c>
    </row>
    <row r="1106" spans="1:10" x14ac:dyDescent="0.25">
      <c r="A1106" s="20" t="s">
        <v>196</v>
      </c>
      <c r="B1106" s="20" t="s">
        <v>30</v>
      </c>
      <c r="C1106" s="20" t="s">
        <v>13</v>
      </c>
      <c r="D1106" s="20" t="s">
        <v>9</v>
      </c>
      <c r="E1106" s="20" t="s">
        <v>24</v>
      </c>
      <c r="F1106" s="20">
        <v>3466.627704</v>
      </c>
      <c r="G1106" s="11">
        <f>VLOOKUP(A1106,'Operational Data'!$A$2:$E$201,3,FALSE)</f>
        <v>12262</v>
      </c>
      <c r="H1106" s="11">
        <f>VLOOKUP(A1106,'Operational Data'!$A$2:$E$201,4,FALSE)</f>
        <v>7106.18</v>
      </c>
      <c r="I1106" s="11">
        <f>VLOOKUP(A1106,'Operational Data'!$A$2:$E$201,5,FALSE)</f>
        <v>45.69</v>
      </c>
      <c r="J1106" s="21">
        <f t="shared" si="17"/>
        <v>0.28271307323438266</v>
      </c>
    </row>
    <row r="1107" spans="1:10" x14ac:dyDescent="0.25">
      <c r="A1107" s="20" t="s">
        <v>152</v>
      </c>
      <c r="B1107" s="20" t="s">
        <v>30</v>
      </c>
      <c r="C1107" s="20" t="s">
        <v>8</v>
      </c>
      <c r="D1107" s="20" t="s">
        <v>14</v>
      </c>
      <c r="E1107" s="20" t="s">
        <v>24</v>
      </c>
      <c r="F1107" s="20">
        <v>4682.5600000000004</v>
      </c>
      <c r="G1107" s="11">
        <f>VLOOKUP(A1107,'Operational Data'!$A$2:$E$201,3,FALSE)</f>
        <v>21914</v>
      </c>
      <c r="H1107" s="11">
        <f>VLOOKUP(A1107,'Operational Data'!$A$2:$E$201,4,FALSE)</f>
        <v>5897.27</v>
      </c>
      <c r="I1107" s="11">
        <f>VLOOKUP(A1107,'Operational Data'!$A$2:$E$201,5,FALSE)</f>
        <v>49.41</v>
      </c>
      <c r="J1107" s="21">
        <f t="shared" si="17"/>
        <v>0.21367892671351649</v>
      </c>
    </row>
    <row r="1108" spans="1:10" x14ac:dyDescent="0.25">
      <c r="A1108" s="20" t="s">
        <v>202</v>
      </c>
      <c r="B1108" s="20" t="s">
        <v>12</v>
      </c>
      <c r="C1108" s="20" t="s">
        <v>13</v>
      </c>
      <c r="D1108" s="20" t="s">
        <v>14</v>
      </c>
      <c r="E1108" s="20" t="s">
        <v>24</v>
      </c>
      <c r="F1108" s="20">
        <v>272.64</v>
      </c>
      <c r="G1108" s="11">
        <f>VLOOKUP(A1108,'Operational Data'!$A$2:$E$201,3,FALSE)</f>
        <v>28400</v>
      </c>
      <c r="H1108" s="11">
        <f>VLOOKUP(A1108,'Operational Data'!$A$2:$E$201,4,FALSE)</f>
        <v>3056.67</v>
      </c>
      <c r="I1108" s="11">
        <f>VLOOKUP(A1108,'Operational Data'!$A$2:$E$201,5,FALSE)</f>
        <v>52.68</v>
      </c>
      <c r="J1108" s="21">
        <f t="shared" si="17"/>
        <v>9.5999999999999992E-3</v>
      </c>
    </row>
    <row r="1109" spans="1:10" ht="30" x14ac:dyDescent="0.25">
      <c r="A1109" s="20" t="s">
        <v>116</v>
      </c>
      <c r="B1109" s="20" t="s">
        <v>17</v>
      </c>
      <c r="C1109" s="20" t="s">
        <v>23</v>
      </c>
      <c r="D1109" s="20" t="s">
        <v>14</v>
      </c>
      <c r="E1109" s="20" t="s">
        <v>24</v>
      </c>
      <c r="F1109" s="20">
        <v>4584.96</v>
      </c>
      <c r="G1109" s="11">
        <f>VLOOKUP(A1109,'Operational Data'!$A$2:$E$201,3,FALSE)</f>
        <v>68216</v>
      </c>
      <c r="H1109" s="11">
        <f>VLOOKUP(A1109,'Operational Data'!$A$2:$E$201,4,FALSE)</f>
        <v>9562.33</v>
      </c>
      <c r="I1109" s="11">
        <f>VLOOKUP(A1109,'Operational Data'!$A$2:$E$201,5,FALSE)</f>
        <v>63.59</v>
      </c>
      <c r="J1109" s="21">
        <f t="shared" si="17"/>
        <v>6.7212384191392055E-2</v>
      </c>
    </row>
    <row r="1110" spans="1:10" x14ac:dyDescent="0.25">
      <c r="A1110" s="20" t="s">
        <v>175</v>
      </c>
      <c r="B1110" s="20" t="s">
        <v>7</v>
      </c>
      <c r="C1110" s="20" t="s">
        <v>23</v>
      </c>
      <c r="D1110" s="20" t="s">
        <v>14</v>
      </c>
      <c r="E1110" s="20" t="s">
        <v>15</v>
      </c>
      <c r="F1110" s="20">
        <v>3965.06</v>
      </c>
      <c r="G1110" s="11">
        <f>VLOOKUP(A1110,'Operational Data'!$A$2:$E$201,3,FALSE)</f>
        <v>83923</v>
      </c>
      <c r="H1110" s="11">
        <f>VLOOKUP(A1110,'Operational Data'!$A$2:$E$201,4,FALSE)</f>
        <v>8768.7999999999993</v>
      </c>
      <c r="I1110" s="11">
        <f>VLOOKUP(A1110,'Operational Data'!$A$2:$E$201,5,FALSE)</f>
        <v>65.290000000000006</v>
      </c>
      <c r="J1110" s="21">
        <f t="shared" si="17"/>
        <v>4.7246404442167225E-2</v>
      </c>
    </row>
    <row r="1111" spans="1:10" x14ac:dyDescent="0.25">
      <c r="A1111" s="20" t="s">
        <v>68</v>
      </c>
      <c r="B1111" s="20" t="s">
        <v>12</v>
      </c>
      <c r="C1111" s="20" t="s">
        <v>8</v>
      </c>
      <c r="D1111" s="20" t="s">
        <v>9</v>
      </c>
      <c r="E1111" s="20" t="s">
        <v>24</v>
      </c>
      <c r="F1111" s="20">
        <v>1855.0036909999999</v>
      </c>
      <c r="G1111" s="11">
        <f>VLOOKUP(A1111,'Operational Data'!$A$2:$E$201,3,FALSE)</f>
        <v>69100</v>
      </c>
      <c r="H1111" s="11">
        <f>VLOOKUP(A1111,'Operational Data'!$A$2:$E$201,4,FALSE)</f>
        <v>9356.02</v>
      </c>
      <c r="I1111" s="11">
        <f>VLOOKUP(A1111,'Operational Data'!$A$2:$E$201,5,FALSE)</f>
        <v>16.5</v>
      </c>
      <c r="J1111" s="21">
        <f t="shared" si="17"/>
        <v>2.684520536903039E-2</v>
      </c>
    </row>
    <row r="1112" spans="1:10" ht="30" x14ac:dyDescent="0.25">
      <c r="A1112" s="20" t="s">
        <v>58</v>
      </c>
      <c r="B1112" s="20" t="s">
        <v>17</v>
      </c>
      <c r="C1112" s="20" t="s">
        <v>34</v>
      </c>
      <c r="D1112" s="20" t="s">
        <v>9</v>
      </c>
      <c r="E1112" s="20" t="s">
        <v>10</v>
      </c>
      <c r="F1112" s="20">
        <v>1170.4913859999999</v>
      </c>
      <c r="G1112" s="11">
        <f>VLOOKUP(A1112,'Operational Data'!$A$2:$E$201,3,FALSE)</f>
        <v>32246</v>
      </c>
      <c r="H1112" s="11">
        <f>VLOOKUP(A1112,'Operational Data'!$A$2:$E$201,4,FALSE)</f>
        <v>7903.93</v>
      </c>
      <c r="I1112" s="11">
        <f>VLOOKUP(A1112,'Operational Data'!$A$2:$E$201,5,FALSE)</f>
        <v>42.12</v>
      </c>
      <c r="J1112" s="21">
        <f t="shared" si="17"/>
        <v>3.6298808720461449E-2</v>
      </c>
    </row>
    <row r="1113" spans="1:10" x14ac:dyDescent="0.25">
      <c r="A1113" s="20" t="s">
        <v>90</v>
      </c>
      <c r="B1113" s="20" t="s">
        <v>19</v>
      </c>
      <c r="C1113" s="20" t="s">
        <v>23</v>
      </c>
      <c r="D1113" s="20" t="s">
        <v>14</v>
      </c>
      <c r="E1113" s="20" t="s">
        <v>10</v>
      </c>
      <c r="F1113" s="20">
        <v>2881.56</v>
      </c>
      <c r="G1113" s="11">
        <f>VLOOKUP(A1113,'Operational Data'!$A$2:$E$201,3,FALSE)</f>
        <v>97337</v>
      </c>
      <c r="H1113" s="11">
        <f>VLOOKUP(A1113,'Operational Data'!$A$2:$E$201,4,FALSE)</f>
        <v>3362.06</v>
      </c>
      <c r="I1113" s="11">
        <f>VLOOKUP(A1113,'Operational Data'!$A$2:$E$201,5,FALSE)</f>
        <v>55.46</v>
      </c>
      <c r="J1113" s="21">
        <f t="shared" si="17"/>
        <v>2.9603953275732762E-2</v>
      </c>
    </row>
    <row r="1114" spans="1:10" x14ac:dyDescent="0.25">
      <c r="A1114" s="20" t="s">
        <v>73</v>
      </c>
      <c r="B1114" s="20" t="s">
        <v>30</v>
      </c>
      <c r="C1114" s="20" t="s">
        <v>34</v>
      </c>
      <c r="D1114" s="20" t="s">
        <v>14</v>
      </c>
      <c r="E1114" s="20" t="s">
        <v>24</v>
      </c>
      <c r="F1114" s="20">
        <v>4820.21</v>
      </c>
      <c r="G1114" s="11">
        <f>VLOOKUP(A1114,'Operational Data'!$A$2:$E$201,3,FALSE)</f>
        <v>55974</v>
      </c>
      <c r="H1114" s="11">
        <f>VLOOKUP(A1114,'Operational Data'!$A$2:$E$201,4,FALSE)</f>
        <v>7542.28</v>
      </c>
      <c r="I1114" s="11">
        <f>VLOOKUP(A1114,'Operational Data'!$A$2:$E$201,5,FALSE)</f>
        <v>72.430000000000007</v>
      </c>
      <c r="J1114" s="21">
        <f t="shared" si="17"/>
        <v>8.6115160610283348E-2</v>
      </c>
    </row>
    <row r="1115" spans="1:10" x14ac:dyDescent="0.25">
      <c r="A1115" s="20" t="s">
        <v>122</v>
      </c>
      <c r="B1115" s="20" t="s">
        <v>19</v>
      </c>
      <c r="C1115" s="20" t="s">
        <v>8</v>
      </c>
      <c r="D1115" s="20" t="s">
        <v>14</v>
      </c>
      <c r="E1115" s="20" t="s">
        <v>15</v>
      </c>
      <c r="F1115" s="20">
        <v>2635.84</v>
      </c>
      <c r="G1115" s="11">
        <f>VLOOKUP(A1115,'Operational Data'!$A$2:$E$201,3,FALSE)</f>
        <v>95962</v>
      </c>
      <c r="H1115" s="11">
        <f>VLOOKUP(A1115,'Operational Data'!$A$2:$E$201,4,FALSE)</f>
        <v>524.72</v>
      </c>
      <c r="I1115" s="11">
        <f>VLOOKUP(A1115,'Operational Data'!$A$2:$E$201,5,FALSE)</f>
        <v>49.55</v>
      </c>
      <c r="J1115" s="21">
        <f t="shared" si="17"/>
        <v>2.7467539234280237E-2</v>
      </c>
    </row>
    <row r="1116" spans="1:10" x14ac:dyDescent="0.25">
      <c r="A1116" s="20" t="s">
        <v>25</v>
      </c>
      <c r="B1116" s="20" t="s">
        <v>19</v>
      </c>
      <c r="C1116" s="20" t="s">
        <v>34</v>
      </c>
      <c r="D1116" s="20" t="s">
        <v>28</v>
      </c>
      <c r="E1116" s="20" t="s">
        <v>15</v>
      </c>
      <c r="F1116" s="20">
        <v>3933.16</v>
      </c>
      <c r="G1116" s="11">
        <f>VLOOKUP(A1116,'Operational Data'!$A$2:$E$201,3,FALSE)</f>
        <v>95306</v>
      </c>
      <c r="H1116" s="11">
        <f>VLOOKUP(A1116,'Operational Data'!$A$2:$E$201,4,FALSE)</f>
        <v>9037.76</v>
      </c>
      <c r="I1116" s="11">
        <f>VLOOKUP(A1116,'Operational Data'!$A$2:$E$201,5,FALSE)</f>
        <v>13.35</v>
      </c>
      <c r="J1116" s="21">
        <f t="shared" si="17"/>
        <v>4.1268755377415901E-2</v>
      </c>
    </row>
    <row r="1117" spans="1:10" x14ac:dyDescent="0.25">
      <c r="A1117" s="20" t="s">
        <v>33</v>
      </c>
      <c r="B1117" s="20" t="s">
        <v>19</v>
      </c>
      <c r="C1117" s="20" t="s">
        <v>23</v>
      </c>
      <c r="D1117" s="20" t="s">
        <v>14</v>
      </c>
      <c r="E1117" s="20" t="s">
        <v>24</v>
      </c>
      <c r="F1117" s="20">
        <v>425.14</v>
      </c>
      <c r="G1117" s="11">
        <f>VLOOKUP(A1117,'Operational Data'!$A$2:$E$201,3,FALSE)</f>
        <v>65719</v>
      </c>
      <c r="H1117" s="11">
        <f>VLOOKUP(A1117,'Operational Data'!$A$2:$E$201,4,FALSE)</f>
        <v>9362.41</v>
      </c>
      <c r="I1117" s="11">
        <f>VLOOKUP(A1117,'Operational Data'!$A$2:$E$201,5,FALSE)</f>
        <v>86.55</v>
      </c>
      <c r="J1117" s="21">
        <f t="shared" si="17"/>
        <v>6.4690576545595639E-3</v>
      </c>
    </row>
    <row r="1118" spans="1:10" ht="30" x14ac:dyDescent="0.25">
      <c r="A1118" s="20" t="s">
        <v>136</v>
      </c>
      <c r="B1118" s="20" t="s">
        <v>17</v>
      </c>
      <c r="C1118" s="20" t="s">
        <v>23</v>
      </c>
      <c r="D1118" s="20" t="s">
        <v>28</v>
      </c>
      <c r="E1118" s="20" t="s">
        <v>24</v>
      </c>
      <c r="F1118" s="20">
        <v>3494.61</v>
      </c>
      <c r="G1118" s="11">
        <f>VLOOKUP(A1118,'Operational Data'!$A$2:$E$201,3,FALSE)</f>
        <v>15128</v>
      </c>
      <c r="H1118" s="11">
        <f>VLOOKUP(A1118,'Operational Data'!$A$2:$E$201,4,FALSE)</f>
        <v>8847.09</v>
      </c>
      <c r="I1118" s="11">
        <f>VLOOKUP(A1118,'Operational Data'!$A$2:$E$201,5,FALSE)</f>
        <v>5.25</v>
      </c>
      <c r="J1118" s="21">
        <f t="shared" si="17"/>
        <v>0.23100277630883131</v>
      </c>
    </row>
    <row r="1119" spans="1:10" x14ac:dyDescent="0.25">
      <c r="A1119" s="20" t="s">
        <v>204</v>
      </c>
      <c r="B1119" s="20" t="s">
        <v>30</v>
      </c>
      <c r="C1119" s="20" t="s">
        <v>23</v>
      </c>
      <c r="D1119" s="20" t="s">
        <v>9</v>
      </c>
      <c r="E1119" s="20" t="s">
        <v>10</v>
      </c>
      <c r="F1119" s="20">
        <v>3199.7601610000002</v>
      </c>
      <c r="G1119" s="11">
        <f>VLOOKUP(A1119,'Operational Data'!$A$2:$E$201,3,FALSE)</f>
        <v>36423</v>
      </c>
      <c r="H1119" s="11">
        <f>VLOOKUP(A1119,'Operational Data'!$A$2:$E$201,4,FALSE)</f>
        <v>589.96</v>
      </c>
      <c r="I1119" s="11">
        <f>VLOOKUP(A1119,'Operational Data'!$A$2:$E$201,5,FALSE)</f>
        <v>30.9</v>
      </c>
      <c r="J1119" s="21">
        <f t="shared" si="17"/>
        <v>8.7849989319935207E-2</v>
      </c>
    </row>
    <row r="1120" spans="1:10" x14ac:dyDescent="0.25">
      <c r="A1120" s="20" t="s">
        <v>183</v>
      </c>
      <c r="B1120" s="20" t="s">
        <v>7</v>
      </c>
      <c r="C1120" s="20" t="s">
        <v>8</v>
      </c>
      <c r="D1120" s="20" t="s">
        <v>14</v>
      </c>
      <c r="E1120" s="20" t="s">
        <v>15</v>
      </c>
      <c r="F1120" s="20">
        <v>290.08999999999997</v>
      </c>
      <c r="G1120" s="11">
        <f>VLOOKUP(A1120,'Operational Data'!$A$2:$E$201,3,FALSE)</f>
        <v>14009</v>
      </c>
      <c r="H1120" s="11">
        <f>VLOOKUP(A1120,'Operational Data'!$A$2:$E$201,4,FALSE)</f>
        <v>7528.98</v>
      </c>
      <c r="I1120" s="11">
        <f>VLOOKUP(A1120,'Operational Data'!$A$2:$E$201,5,FALSE)</f>
        <v>77.62</v>
      </c>
      <c r="J1120" s="21">
        <f t="shared" si="17"/>
        <v>2.0707402384181596E-2</v>
      </c>
    </row>
    <row r="1121" spans="1:10" x14ac:dyDescent="0.25">
      <c r="A1121" s="20" t="s">
        <v>166</v>
      </c>
      <c r="B1121" s="20" t="s">
        <v>7</v>
      </c>
      <c r="C1121" s="20" t="s">
        <v>23</v>
      </c>
      <c r="D1121" s="20" t="s">
        <v>28</v>
      </c>
      <c r="E1121" s="20" t="s">
        <v>15</v>
      </c>
      <c r="F1121" s="20">
        <v>1123.56</v>
      </c>
      <c r="G1121" s="11">
        <f>VLOOKUP(A1121,'Operational Data'!$A$2:$E$201,3,FALSE)</f>
        <v>34318</v>
      </c>
      <c r="H1121" s="11">
        <f>VLOOKUP(A1121,'Operational Data'!$A$2:$E$201,4,FALSE)</f>
        <v>675.67</v>
      </c>
      <c r="I1121" s="11">
        <f>VLOOKUP(A1121,'Operational Data'!$A$2:$E$201,5,FALSE)</f>
        <v>41.05</v>
      </c>
      <c r="J1121" s="21">
        <f t="shared" si="17"/>
        <v>3.2739670143947783E-2</v>
      </c>
    </row>
    <row r="1122" spans="1:10" x14ac:dyDescent="0.25">
      <c r="A1122" s="20" t="s">
        <v>206</v>
      </c>
      <c r="B1122" s="20" t="s">
        <v>19</v>
      </c>
      <c r="C1122" s="20" t="s">
        <v>8</v>
      </c>
      <c r="D1122" s="20" t="s">
        <v>28</v>
      </c>
      <c r="E1122" s="20" t="s">
        <v>10</v>
      </c>
      <c r="F1122" s="20">
        <v>1109.47</v>
      </c>
      <c r="G1122" s="11">
        <f>VLOOKUP(A1122,'Operational Data'!$A$2:$E$201,3,FALSE)</f>
        <v>10250</v>
      </c>
      <c r="H1122" s="11">
        <f>VLOOKUP(A1122,'Operational Data'!$A$2:$E$201,4,FALSE)</f>
        <v>4717</v>
      </c>
      <c r="I1122" s="11">
        <f>VLOOKUP(A1122,'Operational Data'!$A$2:$E$201,5,FALSE)</f>
        <v>16.600000000000001</v>
      </c>
      <c r="J1122" s="21">
        <f t="shared" si="17"/>
        <v>0.1082409756097561</v>
      </c>
    </row>
    <row r="1123" spans="1:10" x14ac:dyDescent="0.25">
      <c r="A1123" s="20" t="s">
        <v>47</v>
      </c>
      <c r="B1123" s="20" t="s">
        <v>30</v>
      </c>
      <c r="C1123" s="20" t="s">
        <v>34</v>
      </c>
      <c r="D1123" s="20" t="s">
        <v>9</v>
      </c>
      <c r="E1123" s="20" t="s">
        <v>10</v>
      </c>
      <c r="F1123" s="20">
        <v>1044.9244289999999</v>
      </c>
      <c r="G1123" s="11">
        <f>VLOOKUP(A1123,'Operational Data'!$A$2:$E$201,3,FALSE)</f>
        <v>53661</v>
      </c>
      <c r="H1123" s="11">
        <f>VLOOKUP(A1123,'Operational Data'!$A$2:$E$201,4,FALSE)</f>
        <v>6965.81</v>
      </c>
      <c r="I1123" s="11">
        <f>VLOOKUP(A1123,'Operational Data'!$A$2:$E$201,5,FALSE)</f>
        <v>69.400000000000006</v>
      </c>
      <c r="J1123" s="21">
        <f t="shared" si="17"/>
        <v>1.9472697657516632E-2</v>
      </c>
    </row>
    <row r="1124" spans="1:10" x14ac:dyDescent="0.25">
      <c r="A1124" s="20" t="s">
        <v>50</v>
      </c>
      <c r="B1124" s="20" t="s">
        <v>19</v>
      </c>
      <c r="C1124" s="20" t="s">
        <v>13</v>
      </c>
      <c r="D1124" s="20" t="s">
        <v>9</v>
      </c>
      <c r="E1124" s="20" t="s">
        <v>15</v>
      </c>
      <c r="F1124" s="20">
        <v>5387.6739100000004</v>
      </c>
      <c r="G1124" s="11">
        <f>VLOOKUP(A1124,'Operational Data'!$A$2:$E$201,3,FALSE)</f>
        <v>40577</v>
      </c>
      <c r="H1124" s="11">
        <f>VLOOKUP(A1124,'Operational Data'!$A$2:$E$201,4,FALSE)</f>
        <v>4280.82</v>
      </c>
      <c r="I1124" s="11">
        <f>VLOOKUP(A1124,'Operational Data'!$A$2:$E$201,5,FALSE)</f>
        <v>79.88</v>
      </c>
      <c r="J1124" s="21">
        <f t="shared" si="17"/>
        <v>0.13277654607289846</v>
      </c>
    </row>
    <row r="1125" spans="1:10" x14ac:dyDescent="0.25">
      <c r="A1125" s="20" t="s">
        <v>130</v>
      </c>
      <c r="B1125" s="20" t="s">
        <v>12</v>
      </c>
      <c r="C1125" s="20" t="s">
        <v>13</v>
      </c>
      <c r="D1125" s="20" t="s">
        <v>9</v>
      </c>
      <c r="E1125" s="20" t="s">
        <v>10</v>
      </c>
      <c r="F1125" s="20">
        <v>3244.167426</v>
      </c>
      <c r="G1125" s="11">
        <f>VLOOKUP(A1125,'Operational Data'!$A$2:$E$201,3,FALSE)</f>
        <v>82332</v>
      </c>
      <c r="H1125" s="11">
        <f>VLOOKUP(A1125,'Operational Data'!$A$2:$E$201,4,FALSE)</f>
        <v>7134.86</v>
      </c>
      <c r="I1125" s="11">
        <f>VLOOKUP(A1125,'Operational Data'!$A$2:$E$201,5,FALSE)</f>
        <v>22.44</v>
      </c>
      <c r="J1125" s="21">
        <f t="shared" si="17"/>
        <v>3.9403481343827429E-2</v>
      </c>
    </row>
    <row r="1126" spans="1:10" x14ac:dyDescent="0.25">
      <c r="A1126" s="20" t="s">
        <v>125</v>
      </c>
      <c r="B1126" s="20" t="s">
        <v>7</v>
      </c>
      <c r="C1126" s="20" t="s">
        <v>34</v>
      </c>
      <c r="D1126" s="20" t="s">
        <v>14</v>
      </c>
      <c r="E1126" s="20" t="s">
        <v>15</v>
      </c>
      <c r="F1126" s="20">
        <v>3954.01</v>
      </c>
      <c r="G1126" s="11">
        <f>VLOOKUP(A1126,'Operational Data'!$A$2:$E$201,3,FALSE)</f>
        <v>56392</v>
      </c>
      <c r="H1126" s="11">
        <f>VLOOKUP(A1126,'Operational Data'!$A$2:$E$201,4,FALSE)</f>
        <v>5703.76</v>
      </c>
      <c r="I1126" s="11">
        <f>VLOOKUP(A1126,'Operational Data'!$A$2:$E$201,5,FALSE)</f>
        <v>23.04</v>
      </c>
      <c r="J1126" s="21">
        <f t="shared" si="17"/>
        <v>7.0116505887359917E-2</v>
      </c>
    </row>
    <row r="1127" spans="1:10" ht="30" x14ac:dyDescent="0.25">
      <c r="A1127" s="20" t="s">
        <v>147</v>
      </c>
      <c r="B1127" s="20" t="s">
        <v>17</v>
      </c>
      <c r="C1127" s="20" t="s">
        <v>34</v>
      </c>
      <c r="D1127" s="20" t="s">
        <v>14</v>
      </c>
      <c r="E1127" s="20" t="s">
        <v>24</v>
      </c>
      <c r="F1127" s="20">
        <v>1475.99</v>
      </c>
      <c r="G1127" s="11">
        <f>VLOOKUP(A1127,'Operational Data'!$A$2:$E$201,3,FALSE)</f>
        <v>24095</v>
      </c>
      <c r="H1127" s="11">
        <f>VLOOKUP(A1127,'Operational Data'!$A$2:$E$201,4,FALSE)</f>
        <v>3167.52</v>
      </c>
      <c r="I1127" s="11">
        <f>VLOOKUP(A1127,'Operational Data'!$A$2:$E$201,5,FALSE)</f>
        <v>31.02</v>
      </c>
      <c r="J1127" s="21">
        <f t="shared" si="17"/>
        <v>6.1257107283668809E-2</v>
      </c>
    </row>
    <row r="1128" spans="1:10" x14ac:dyDescent="0.25">
      <c r="A1128" s="20" t="s">
        <v>120</v>
      </c>
      <c r="B1128" s="20" t="s">
        <v>30</v>
      </c>
      <c r="C1128" s="20" t="s">
        <v>34</v>
      </c>
      <c r="D1128" s="20" t="s">
        <v>9</v>
      </c>
      <c r="E1128" s="20" t="s">
        <v>24</v>
      </c>
      <c r="F1128" s="20">
        <v>4669.976944</v>
      </c>
      <c r="G1128" s="11">
        <f>VLOOKUP(A1128,'Operational Data'!$A$2:$E$201,3,FALSE)</f>
        <v>79495</v>
      </c>
      <c r="H1128" s="11">
        <f>VLOOKUP(A1128,'Operational Data'!$A$2:$E$201,4,FALSE)</f>
        <v>7157.48</v>
      </c>
      <c r="I1128" s="11">
        <f>VLOOKUP(A1128,'Operational Data'!$A$2:$E$201,5,FALSE)</f>
        <v>26.84</v>
      </c>
      <c r="J1128" s="21">
        <f t="shared" si="17"/>
        <v>5.8745543040442792E-2</v>
      </c>
    </row>
    <row r="1129" spans="1:10" x14ac:dyDescent="0.25">
      <c r="A1129" s="20" t="s">
        <v>138</v>
      </c>
      <c r="B1129" s="20" t="s">
        <v>12</v>
      </c>
      <c r="C1129" s="20" t="s">
        <v>13</v>
      </c>
      <c r="D1129" s="20" t="s">
        <v>9</v>
      </c>
      <c r="E1129" s="20" t="s">
        <v>15</v>
      </c>
      <c r="F1129" s="20">
        <v>502.5731907</v>
      </c>
      <c r="G1129" s="11">
        <f>VLOOKUP(A1129,'Operational Data'!$A$2:$E$201,3,FALSE)</f>
        <v>57353</v>
      </c>
      <c r="H1129" s="11">
        <f>VLOOKUP(A1129,'Operational Data'!$A$2:$E$201,4,FALSE)</f>
        <v>2274.71</v>
      </c>
      <c r="I1129" s="11">
        <f>VLOOKUP(A1129,'Operational Data'!$A$2:$E$201,5,FALSE)</f>
        <v>65.34</v>
      </c>
      <c r="J1129" s="21">
        <f t="shared" si="17"/>
        <v>8.7628056195839799E-3</v>
      </c>
    </row>
    <row r="1130" spans="1:10" x14ac:dyDescent="0.25">
      <c r="A1130" s="20" t="s">
        <v>166</v>
      </c>
      <c r="B1130" s="20" t="s">
        <v>7</v>
      </c>
      <c r="C1130" s="20" t="s">
        <v>8</v>
      </c>
      <c r="D1130" s="20" t="s">
        <v>14</v>
      </c>
      <c r="E1130" s="20" t="s">
        <v>10</v>
      </c>
      <c r="F1130" s="20">
        <v>2663.13</v>
      </c>
      <c r="G1130" s="11">
        <f>VLOOKUP(A1130,'Operational Data'!$A$2:$E$201,3,FALSE)</f>
        <v>34318</v>
      </c>
      <c r="H1130" s="11">
        <f>VLOOKUP(A1130,'Operational Data'!$A$2:$E$201,4,FALSE)</f>
        <v>675.67</v>
      </c>
      <c r="I1130" s="11">
        <f>VLOOKUP(A1130,'Operational Data'!$A$2:$E$201,5,FALSE)</f>
        <v>41.05</v>
      </c>
      <c r="J1130" s="21">
        <f t="shared" si="17"/>
        <v>7.7601550206888512E-2</v>
      </c>
    </row>
    <row r="1131" spans="1:10" x14ac:dyDescent="0.25">
      <c r="A1131" s="20" t="s">
        <v>188</v>
      </c>
      <c r="B1131" s="20" t="s">
        <v>19</v>
      </c>
      <c r="C1131" s="20" t="s">
        <v>13</v>
      </c>
      <c r="D1131" s="20" t="s">
        <v>14</v>
      </c>
      <c r="E1131" s="20" t="s">
        <v>15</v>
      </c>
      <c r="F1131" s="20">
        <v>3327.22</v>
      </c>
      <c r="G1131" s="11">
        <f>VLOOKUP(A1131,'Operational Data'!$A$2:$E$201,3,FALSE)</f>
        <v>60513</v>
      </c>
      <c r="H1131" s="11">
        <f>VLOOKUP(A1131,'Operational Data'!$A$2:$E$201,4,FALSE)</f>
        <v>4578.16</v>
      </c>
      <c r="I1131" s="11">
        <f>VLOOKUP(A1131,'Operational Data'!$A$2:$E$201,5,FALSE)</f>
        <v>65.53</v>
      </c>
      <c r="J1131" s="21">
        <f t="shared" si="17"/>
        <v>5.4983557252160691E-2</v>
      </c>
    </row>
    <row r="1132" spans="1:10" x14ac:dyDescent="0.25">
      <c r="A1132" s="20" t="s">
        <v>198</v>
      </c>
      <c r="B1132" s="20" t="s">
        <v>12</v>
      </c>
      <c r="C1132" s="20" t="s">
        <v>23</v>
      </c>
      <c r="D1132" s="20" t="s">
        <v>14</v>
      </c>
      <c r="E1132" s="20" t="s">
        <v>10</v>
      </c>
      <c r="F1132" s="20">
        <v>441.04</v>
      </c>
      <c r="G1132" s="11">
        <f>VLOOKUP(A1132,'Operational Data'!$A$2:$E$201,3,FALSE)</f>
        <v>58113</v>
      </c>
      <c r="H1132" s="11">
        <f>VLOOKUP(A1132,'Operational Data'!$A$2:$E$201,4,FALSE)</f>
        <v>6382.12</v>
      </c>
      <c r="I1132" s="11">
        <f>VLOOKUP(A1132,'Operational Data'!$A$2:$E$201,5,FALSE)</f>
        <v>56.66</v>
      </c>
      <c r="J1132" s="21">
        <f t="shared" si="17"/>
        <v>7.589351780152462E-3</v>
      </c>
    </row>
    <row r="1133" spans="1:10" x14ac:dyDescent="0.25">
      <c r="A1133" s="20" t="s">
        <v>31</v>
      </c>
      <c r="B1133" s="20" t="s">
        <v>30</v>
      </c>
      <c r="C1133" s="20" t="s">
        <v>13</v>
      </c>
      <c r="D1133" s="20" t="s">
        <v>9</v>
      </c>
      <c r="E1133" s="20" t="s">
        <v>10</v>
      </c>
      <c r="F1133" s="20">
        <v>1466.4726929999999</v>
      </c>
      <c r="G1133" s="11">
        <f>VLOOKUP(A1133,'Operational Data'!$A$2:$E$201,3,FALSE)</f>
        <v>84851</v>
      </c>
      <c r="H1133" s="11">
        <f>VLOOKUP(A1133,'Operational Data'!$A$2:$E$201,4,FALSE)</f>
        <v>560.75</v>
      </c>
      <c r="I1133" s="11">
        <f>VLOOKUP(A1133,'Operational Data'!$A$2:$E$201,5,FALSE)</f>
        <v>80.23</v>
      </c>
      <c r="J1133" s="21">
        <f t="shared" si="17"/>
        <v>1.7282915852494373E-2</v>
      </c>
    </row>
    <row r="1134" spans="1:10" x14ac:dyDescent="0.25">
      <c r="A1134" s="20" t="s">
        <v>95</v>
      </c>
      <c r="B1134" s="20" t="s">
        <v>30</v>
      </c>
      <c r="C1134" s="20" t="s">
        <v>34</v>
      </c>
      <c r="D1134" s="20" t="s">
        <v>9</v>
      </c>
      <c r="E1134" s="20" t="s">
        <v>10</v>
      </c>
      <c r="F1134" s="20">
        <v>5076.0106109999997</v>
      </c>
      <c r="G1134" s="11">
        <f>VLOOKUP(A1134,'Operational Data'!$A$2:$E$201,3,FALSE)</f>
        <v>51800</v>
      </c>
      <c r="H1134" s="11">
        <f>VLOOKUP(A1134,'Operational Data'!$A$2:$E$201,4,FALSE)</f>
        <v>3042.95</v>
      </c>
      <c r="I1134" s="11">
        <f>VLOOKUP(A1134,'Operational Data'!$A$2:$E$201,5,FALSE)</f>
        <v>71.87</v>
      </c>
      <c r="J1134" s="21">
        <f t="shared" si="17"/>
        <v>9.7992482837837833E-2</v>
      </c>
    </row>
    <row r="1135" spans="1:10" x14ac:dyDescent="0.25">
      <c r="A1135" s="20" t="s">
        <v>41</v>
      </c>
      <c r="B1135" s="20" t="s">
        <v>30</v>
      </c>
      <c r="C1135" s="20" t="s">
        <v>34</v>
      </c>
      <c r="D1135" s="20" t="s">
        <v>28</v>
      </c>
      <c r="E1135" s="20" t="s">
        <v>10</v>
      </c>
      <c r="F1135" s="20">
        <v>3971.86</v>
      </c>
      <c r="G1135" s="11">
        <f>VLOOKUP(A1135,'Operational Data'!$A$2:$E$201,3,FALSE)</f>
        <v>61743</v>
      </c>
      <c r="H1135" s="11">
        <f>VLOOKUP(A1135,'Operational Data'!$A$2:$E$201,4,FALSE)</f>
        <v>7426.75</v>
      </c>
      <c r="I1135" s="11">
        <f>VLOOKUP(A1135,'Operational Data'!$A$2:$E$201,5,FALSE)</f>
        <v>26.39</v>
      </c>
      <c r="J1135" s="21">
        <f t="shared" si="17"/>
        <v>6.4328911779472975E-2</v>
      </c>
    </row>
    <row r="1136" spans="1:10" x14ac:dyDescent="0.25">
      <c r="A1136" s="20" t="s">
        <v>189</v>
      </c>
      <c r="B1136" s="20" t="s">
        <v>19</v>
      </c>
      <c r="C1136" s="20" t="s">
        <v>23</v>
      </c>
      <c r="D1136" s="20" t="s">
        <v>28</v>
      </c>
      <c r="E1136" s="20" t="s">
        <v>10</v>
      </c>
      <c r="F1136" s="20">
        <v>3120.88</v>
      </c>
      <c r="G1136" s="11">
        <f>VLOOKUP(A1136,'Operational Data'!$A$2:$E$201,3,FALSE)</f>
        <v>27681</v>
      </c>
      <c r="H1136" s="11">
        <f>VLOOKUP(A1136,'Operational Data'!$A$2:$E$201,4,FALSE)</f>
        <v>928.26</v>
      </c>
      <c r="I1136" s="11">
        <f>VLOOKUP(A1136,'Operational Data'!$A$2:$E$201,5,FALSE)</f>
        <v>44.97</v>
      </c>
      <c r="J1136" s="21">
        <f t="shared" si="17"/>
        <v>0.11274448177450237</v>
      </c>
    </row>
    <row r="1137" spans="1:10" x14ac:dyDescent="0.25">
      <c r="A1137" s="20" t="s">
        <v>25</v>
      </c>
      <c r="B1137" s="20" t="s">
        <v>19</v>
      </c>
      <c r="C1137" s="20" t="s">
        <v>23</v>
      </c>
      <c r="D1137" s="20" t="s">
        <v>14</v>
      </c>
      <c r="E1137" s="20" t="s">
        <v>15</v>
      </c>
      <c r="F1137" s="20">
        <v>3407.69</v>
      </c>
      <c r="G1137" s="11">
        <f>VLOOKUP(A1137,'Operational Data'!$A$2:$E$201,3,FALSE)</f>
        <v>95306</v>
      </c>
      <c r="H1137" s="11">
        <f>VLOOKUP(A1137,'Operational Data'!$A$2:$E$201,4,FALSE)</f>
        <v>9037.76</v>
      </c>
      <c r="I1137" s="11">
        <f>VLOOKUP(A1137,'Operational Data'!$A$2:$E$201,5,FALSE)</f>
        <v>13.35</v>
      </c>
      <c r="J1137" s="21">
        <f t="shared" si="17"/>
        <v>3.5755251505676454E-2</v>
      </c>
    </row>
    <row r="1138" spans="1:10" x14ac:dyDescent="0.25">
      <c r="A1138" s="20" t="s">
        <v>103</v>
      </c>
      <c r="B1138" s="20" t="s">
        <v>19</v>
      </c>
      <c r="C1138" s="20" t="s">
        <v>8</v>
      </c>
      <c r="D1138" s="20" t="s">
        <v>9</v>
      </c>
      <c r="E1138" s="20" t="s">
        <v>10</v>
      </c>
      <c r="F1138" s="20">
        <v>4867.8938900000003</v>
      </c>
      <c r="G1138" s="11">
        <f>VLOOKUP(A1138,'Operational Data'!$A$2:$E$201,3,FALSE)</f>
        <v>38869</v>
      </c>
      <c r="H1138" s="11">
        <f>VLOOKUP(A1138,'Operational Data'!$A$2:$E$201,4,FALSE)</f>
        <v>5109.76</v>
      </c>
      <c r="I1138" s="11">
        <f>VLOOKUP(A1138,'Operational Data'!$A$2:$E$201,5,FALSE)</f>
        <v>35.270000000000003</v>
      </c>
      <c r="J1138" s="21">
        <f t="shared" si="17"/>
        <v>0.12523846484344853</v>
      </c>
    </row>
    <row r="1139" spans="1:10" x14ac:dyDescent="0.25">
      <c r="A1139" s="20" t="s">
        <v>56</v>
      </c>
      <c r="B1139" s="20" t="s">
        <v>19</v>
      </c>
      <c r="C1139" s="20" t="s">
        <v>13</v>
      </c>
      <c r="D1139" s="20" t="s">
        <v>14</v>
      </c>
      <c r="E1139" s="20" t="s">
        <v>15</v>
      </c>
      <c r="F1139" s="20">
        <v>1080.8399999999999</v>
      </c>
      <c r="G1139" s="11">
        <f>VLOOKUP(A1139,'Operational Data'!$A$2:$E$201,3,FALSE)</f>
        <v>43747</v>
      </c>
      <c r="H1139" s="11">
        <f>VLOOKUP(A1139,'Operational Data'!$A$2:$E$201,4,FALSE)</f>
        <v>3453.48</v>
      </c>
      <c r="I1139" s="11">
        <f>VLOOKUP(A1139,'Operational Data'!$A$2:$E$201,5,FALSE)</f>
        <v>98.78</v>
      </c>
      <c r="J1139" s="21">
        <f t="shared" si="17"/>
        <v>2.470660845315107E-2</v>
      </c>
    </row>
    <row r="1140" spans="1:10" ht="30" x14ac:dyDescent="0.25">
      <c r="A1140" s="20" t="s">
        <v>171</v>
      </c>
      <c r="B1140" s="20" t="s">
        <v>17</v>
      </c>
      <c r="C1140" s="20" t="s">
        <v>23</v>
      </c>
      <c r="D1140" s="20" t="s">
        <v>9</v>
      </c>
      <c r="E1140" s="20" t="s">
        <v>24</v>
      </c>
      <c r="F1140" s="20">
        <v>1196.416798</v>
      </c>
      <c r="G1140" s="11">
        <f>VLOOKUP(A1140,'Operational Data'!$A$2:$E$201,3,FALSE)</f>
        <v>24502</v>
      </c>
      <c r="H1140" s="11">
        <f>VLOOKUP(A1140,'Operational Data'!$A$2:$E$201,4,FALSE)</f>
        <v>7466.86</v>
      </c>
      <c r="I1140" s="11">
        <f>VLOOKUP(A1140,'Operational Data'!$A$2:$E$201,5,FALSE)</f>
        <v>88.83</v>
      </c>
      <c r="J1140" s="21">
        <f t="shared" si="17"/>
        <v>4.8829352624275568E-2</v>
      </c>
    </row>
    <row r="1141" spans="1:10" x14ac:dyDescent="0.25">
      <c r="A1141" s="20" t="s">
        <v>176</v>
      </c>
      <c r="B1141" s="20" t="s">
        <v>19</v>
      </c>
      <c r="C1141" s="20" t="s">
        <v>34</v>
      </c>
      <c r="D1141" s="20" t="s">
        <v>14</v>
      </c>
      <c r="E1141" s="20" t="s">
        <v>15</v>
      </c>
      <c r="F1141" s="20">
        <v>2634.83</v>
      </c>
      <c r="G1141" s="11">
        <f>VLOOKUP(A1141,'Operational Data'!$A$2:$E$201,3,FALSE)</f>
        <v>10907</v>
      </c>
      <c r="H1141" s="11">
        <f>VLOOKUP(A1141,'Operational Data'!$A$2:$E$201,4,FALSE)</f>
        <v>4748.66</v>
      </c>
      <c r="I1141" s="11">
        <f>VLOOKUP(A1141,'Operational Data'!$A$2:$E$201,5,FALSE)</f>
        <v>39.36</v>
      </c>
      <c r="J1141" s="21">
        <f t="shared" si="17"/>
        <v>0.24157238470706885</v>
      </c>
    </row>
    <row r="1142" spans="1:10" x14ac:dyDescent="0.25">
      <c r="A1142" s="20" t="s">
        <v>181</v>
      </c>
      <c r="B1142" s="20" t="s">
        <v>30</v>
      </c>
      <c r="C1142" s="20" t="s">
        <v>23</v>
      </c>
      <c r="D1142" s="20" t="s">
        <v>9</v>
      </c>
      <c r="E1142" s="20" t="s">
        <v>10</v>
      </c>
      <c r="F1142" s="20">
        <v>3396.5836939999999</v>
      </c>
      <c r="G1142" s="11">
        <f>VLOOKUP(A1142,'Operational Data'!$A$2:$E$201,3,FALSE)</f>
        <v>28704</v>
      </c>
      <c r="H1142" s="11">
        <f>VLOOKUP(A1142,'Operational Data'!$A$2:$E$201,4,FALSE)</f>
        <v>6009.24</v>
      </c>
      <c r="I1142" s="11">
        <f>VLOOKUP(A1142,'Operational Data'!$A$2:$E$201,5,FALSE)</f>
        <v>39.31</v>
      </c>
      <c r="J1142" s="21">
        <f t="shared" si="17"/>
        <v>0.11833137172519509</v>
      </c>
    </row>
    <row r="1143" spans="1:10" x14ac:dyDescent="0.25">
      <c r="A1143" s="20" t="s">
        <v>186</v>
      </c>
      <c r="B1143" s="20" t="s">
        <v>30</v>
      </c>
      <c r="C1143" s="20" t="s">
        <v>13</v>
      </c>
      <c r="D1143" s="20" t="s">
        <v>14</v>
      </c>
      <c r="E1143" s="20" t="s">
        <v>15</v>
      </c>
      <c r="F1143" s="20">
        <v>4067.32</v>
      </c>
      <c r="G1143" s="11">
        <f>VLOOKUP(A1143,'Operational Data'!$A$2:$E$201,3,FALSE)</f>
        <v>85868</v>
      </c>
      <c r="H1143" s="11">
        <f>VLOOKUP(A1143,'Operational Data'!$A$2:$E$201,4,FALSE)</f>
        <v>907.72</v>
      </c>
      <c r="I1143" s="11">
        <f>VLOOKUP(A1143,'Operational Data'!$A$2:$E$201,5,FALSE)</f>
        <v>90.36</v>
      </c>
      <c r="J1143" s="21">
        <f t="shared" si="17"/>
        <v>4.7367121628546144E-2</v>
      </c>
    </row>
    <row r="1144" spans="1:10" x14ac:dyDescent="0.25">
      <c r="A1144" s="20" t="s">
        <v>183</v>
      </c>
      <c r="B1144" s="20" t="s">
        <v>7</v>
      </c>
      <c r="C1144" s="20" t="s">
        <v>13</v>
      </c>
      <c r="D1144" s="20" t="s">
        <v>9</v>
      </c>
      <c r="E1144" s="20" t="s">
        <v>10</v>
      </c>
      <c r="F1144" s="20">
        <v>1241.4128969999999</v>
      </c>
      <c r="G1144" s="11">
        <f>VLOOKUP(A1144,'Operational Data'!$A$2:$E$201,3,FALSE)</f>
        <v>14009</v>
      </c>
      <c r="H1144" s="11">
        <f>VLOOKUP(A1144,'Operational Data'!$A$2:$E$201,4,FALSE)</f>
        <v>7528.98</v>
      </c>
      <c r="I1144" s="11">
        <f>VLOOKUP(A1144,'Operational Data'!$A$2:$E$201,5,FALSE)</f>
        <v>77.62</v>
      </c>
      <c r="J1144" s="21">
        <f t="shared" si="17"/>
        <v>8.8615382753943886E-2</v>
      </c>
    </row>
    <row r="1145" spans="1:10" x14ac:dyDescent="0.25">
      <c r="A1145" s="20" t="s">
        <v>52</v>
      </c>
      <c r="B1145" s="20" t="s">
        <v>19</v>
      </c>
      <c r="C1145" s="20" t="s">
        <v>23</v>
      </c>
      <c r="D1145" s="20" t="s">
        <v>14</v>
      </c>
      <c r="E1145" s="20" t="s">
        <v>24</v>
      </c>
      <c r="F1145" s="20">
        <v>3737.92</v>
      </c>
      <c r="G1145" s="11">
        <f>VLOOKUP(A1145,'Operational Data'!$A$2:$E$201,3,FALSE)</f>
        <v>94949</v>
      </c>
      <c r="H1145" s="11">
        <f>VLOOKUP(A1145,'Operational Data'!$A$2:$E$201,4,FALSE)</f>
        <v>9714.76</v>
      </c>
      <c r="I1145" s="11">
        <f>VLOOKUP(A1145,'Operational Data'!$A$2:$E$201,5,FALSE)</f>
        <v>64.900000000000006</v>
      </c>
      <c r="J1145" s="21">
        <f t="shared" si="17"/>
        <v>3.9367660533549592E-2</v>
      </c>
    </row>
    <row r="1146" spans="1:10" x14ac:dyDescent="0.25">
      <c r="A1146" s="20" t="s">
        <v>70</v>
      </c>
      <c r="B1146" s="20" t="s">
        <v>19</v>
      </c>
      <c r="C1146" s="20" t="s">
        <v>34</v>
      </c>
      <c r="D1146" s="20" t="s">
        <v>9</v>
      </c>
      <c r="E1146" s="20" t="s">
        <v>24</v>
      </c>
      <c r="F1146" s="20">
        <v>443.26562319999999</v>
      </c>
      <c r="G1146" s="11">
        <f>VLOOKUP(A1146,'Operational Data'!$A$2:$E$201,3,FALSE)</f>
        <v>42485</v>
      </c>
      <c r="H1146" s="11">
        <f>VLOOKUP(A1146,'Operational Data'!$A$2:$E$201,4,FALSE)</f>
        <v>4755.75</v>
      </c>
      <c r="I1146" s="11">
        <f>VLOOKUP(A1146,'Operational Data'!$A$2:$E$201,5,FALSE)</f>
        <v>10.19</v>
      </c>
      <c r="J1146" s="21">
        <f t="shared" si="17"/>
        <v>1.0433461767682711E-2</v>
      </c>
    </row>
    <row r="1147" spans="1:10" x14ac:dyDescent="0.25">
      <c r="A1147" s="20" t="s">
        <v>175</v>
      </c>
      <c r="B1147" s="20" t="s">
        <v>7</v>
      </c>
      <c r="C1147" s="20" t="s">
        <v>13</v>
      </c>
      <c r="D1147" s="20" t="s">
        <v>14</v>
      </c>
      <c r="E1147" s="20" t="s">
        <v>24</v>
      </c>
      <c r="F1147" s="20">
        <v>179.8</v>
      </c>
      <c r="G1147" s="11">
        <f>VLOOKUP(A1147,'Operational Data'!$A$2:$E$201,3,FALSE)</f>
        <v>83923</v>
      </c>
      <c r="H1147" s="11">
        <f>VLOOKUP(A1147,'Operational Data'!$A$2:$E$201,4,FALSE)</f>
        <v>8768.7999999999993</v>
      </c>
      <c r="I1147" s="11">
        <f>VLOOKUP(A1147,'Operational Data'!$A$2:$E$201,5,FALSE)</f>
        <v>65.290000000000006</v>
      </c>
      <c r="J1147" s="21">
        <f t="shared" si="17"/>
        <v>2.1424400938955951E-3</v>
      </c>
    </row>
    <row r="1148" spans="1:10" ht="30" x14ac:dyDescent="0.25">
      <c r="A1148" s="20" t="s">
        <v>79</v>
      </c>
      <c r="B1148" s="20" t="s">
        <v>17</v>
      </c>
      <c r="C1148" s="20" t="s">
        <v>13</v>
      </c>
      <c r="D1148" s="20" t="s">
        <v>9</v>
      </c>
      <c r="E1148" s="20" t="s">
        <v>15</v>
      </c>
      <c r="F1148" s="20">
        <v>253.07943309999999</v>
      </c>
      <c r="G1148" s="11">
        <f>VLOOKUP(A1148,'Operational Data'!$A$2:$E$201,3,FALSE)</f>
        <v>40503</v>
      </c>
      <c r="H1148" s="11">
        <f>VLOOKUP(A1148,'Operational Data'!$A$2:$E$201,4,FALSE)</f>
        <v>7447.46</v>
      </c>
      <c r="I1148" s="11">
        <f>VLOOKUP(A1148,'Operational Data'!$A$2:$E$201,5,FALSE)</f>
        <v>98.27</v>
      </c>
      <c r="J1148" s="21">
        <f t="shared" si="17"/>
        <v>6.2484120460212823E-3</v>
      </c>
    </row>
    <row r="1149" spans="1:10" x14ac:dyDescent="0.25">
      <c r="A1149" s="20" t="s">
        <v>60</v>
      </c>
      <c r="B1149" s="20" t="s">
        <v>12</v>
      </c>
      <c r="C1149" s="20" t="s">
        <v>8</v>
      </c>
      <c r="D1149" s="20" t="s">
        <v>28</v>
      </c>
      <c r="E1149" s="20" t="s">
        <v>24</v>
      </c>
      <c r="F1149" s="20">
        <v>584.44000000000005</v>
      </c>
      <c r="G1149" s="11">
        <f>VLOOKUP(A1149,'Operational Data'!$A$2:$E$201,3,FALSE)</f>
        <v>25148</v>
      </c>
      <c r="H1149" s="11">
        <f>VLOOKUP(A1149,'Operational Data'!$A$2:$E$201,4,FALSE)</f>
        <v>9604.5499999999993</v>
      </c>
      <c r="I1149" s="11">
        <f>VLOOKUP(A1149,'Operational Data'!$A$2:$E$201,5,FALSE)</f>
        <v>63.47</v>
      </c>
      <c r="J1149" s="21">
        <f t="shared" si="17"/>
        <v>2.3240019087004932E-2</v>
      </c>
    </row>
    <row r="1150" spans="1:10" x14ac:dyDescent="0.25">
      <c r="A1150" s="20" t="s">
        <v>85</v>
      </c>
      <c r="B1150" s="20" t="s">
        <v>30</v>
      </c>
      <c r="C1150" s="20" t="s">
        <v>8</v>
      </c>
      <c r="D1150" s="20" t="s">
        <v>9</v>
      </c>
      <c r="E1150" s="20" t="s">
        <v>10</v>
      </c>
      <c r="F1150" s="20">
        <v>858.27154150000001</v>
      </c>
      <c r="G1150" s="11">
        <f>VLOOKUP(A1150,'Operational Data'!$A$2:$E$201,3,FALSE)</f>
        <v>45519</v>
      </c>
      <c r="H1150" s="11">
        <f>VLOOKUP(A1150,'Operational Data'!$A$2:$E$201,4,FALSE)</f>
        <v>7987.69</v>
      </c>
      <c r="I1150" s="11">
        <f>VLOOKUP(A1150,'Operational Data'!$A$2:$E$201,5,FALSE)</f>
        <v>10.86</v>
      </c>
      <c r="J1150" s="21">
        <f t="shared" si="17"/>
        <v>1.8855237186669302E-2</v>
      </c>
    </row>
    <row r="1151" spans="1:10" x14ac:dyDescent="0.25">
      <c r="A1151" s="20" t="s">
        <v>31</v>
      </c>
      <c r="B1151" s="20" t="s">
        <v>30</v>
      </c>
      <c r="C1151" s="20" t="s">
        <v>13</v>
      </c>
      <c r="D1151" s="20" t="s">
        <v>28</v>
      </c>
      <c r="E1151" s="20" t="s">
        <v>15</v>
      </c>
      <c r="F1151" s="20">
        <v>220.63</v>
      </c>
      <c r="G1151" s="11">
        <f>VLOOKUP(A1151,'Operational Data'!$A$2:$E$201,3,FALSE)</f>
        <v>84851</v>
      </c>
      <c r="H1151" s="11">
        <f>VLOOKUP(A1151,'Operational Data'!$A$2:$E$201,4,FALSE)</f>
        <v>560.75</v>
      </c>
      <c r="I1151" s="11">
        <f>VLOOKUP(A1151,'Operational Data'!$A$2:$E$201,5,FALSE)</f>
        <v>80.23</v>
      </c>
      <c r="J1151" s="21">
        <f t="shared" si="17"/>
        <v>2.6002050653498483E-3</v>
      </c>
    </row>
    <row r="1152" spans="1:10" x14ac:dyDescent="0.25">
      <c r="A1152" s="20" t="s">
        <v>71</v>
      </c>
      <c r="B1152" s="20" t="s">
        <v>7</v>
      </c>
      <c r="C1152" s="20" t="s">
        <v>13</v>
      </c>
      <c r="D1152" s="20" t="s">
        <v>14</v>
      </c>
      <c r="E1152" s="20" t="s">
        <v>24</v>
      </c>
      <c r="F1152" s="20">
        <v>4665.38</v>
      </c>
      <c r="G1152" s="11">
        <f>VLOOKUP(A1152,'Operational Data'!$A$2:$E$201,3,FALSE)</f>
        <v>68018</v>
      </c>
      <c r="H1152" s="11">
        <f>VLOOKUP(A1152,'Operational Data'!$A$2:$E$201,4,FALSE)</f>
        <v>3523.4</v>
      </c>
      <c r="I1152" s="11">
        <f>VLOOKUP(A1152,'Operational Data'!$A$2:$E$201,5,FALSE)</f>
        <v>92.26</v>
      </c>
      <c r="J1152" s="21">
        <f t="shared" si="17"/>
        <v>6.8590373136522692E-2</v>
      </c>
    </row>
    <row r="1153" spans="1:10" x14ac:dyDescent="0.25">
      <c r="A1153" s="20" t="s">
        <v>212</v>
      </c>
      <c r="B1153" s="20" t="s">
        <v>7</v>
      </c>
      <c r="C1153" s="20" t="s">
        <v>13</v>
      </c>
      <c r="D1153" s="20" t="s">
        <v>14</v>
      </c>
      <c r="E1153" s="20" t="s">
        <v>15</v>
      </c>
      <c r="F1153" s="20">
        <v>3677.45</v>
      </c>
      <c r="G1153" s="11">
        <f>VLOOKUP(A1153,'Operational Data'!$A$2:$E$201,3,FALSE)</f>
        <v>67820</v>
      </c>
      <c r="H1153" s="11">
        <f>VLOOKUP(A1153,'Operational Data'!$A$2:$E$201,4,FALSE)</f>
        <v>8177.95</v>
      </c>
      <c r="I1153" s="11">
        <f>VLOOKUP(A1153,'Operational Data'!$A$2:$E$201,5,FALSE)</f>
        <v>40.69</v>
      </c>
      <c r="J1153" s="21">
        <f t="shared" si="17"/>
        <v>5.4223680330286052E-2</v>
      </c>
    </row>
    <row r="1154" spans="1:10" ht="30" x14ac:dyDescent="0.25">
      <c r="A1154" s="20" t="s">
        <v>16</v>
      </c>
      <c r="B1154" s="20" t="s">
        <v>17</v>
      </c>
      <c r="C1154" s="20" t="s">
        <v>13</v>
      </c>
      <c r="D1154" s="20" t="s">
        <v>28</v>
      </c>
      <c r="E1154" s="20" t="s">
        <v>10</v>
      </c>
      <c r="F1154" s="20">
        <v>3434.59</v>
      </c>
      <c r="G1154" s="11">
        <f>VLOOKUP(A1154,'Operational Data'!$A$2:$E$201,3,FALSE)</f>
        <v>43512</v>
      </c>
      <c r="H1154" s="11">
        <f>VLOOKUP(A1154,'Operational Data'!$A$2:$E$201,4,FALSE)</f>
        <v>5352.18</v>
      </c>
      <c r="I1154" s="11">
        <f>VLOOKUP(A1154,'Operational Data'!$A$2:$E$201,5,FALSE)</f>
        <v>6.17</v>
      </c>
      <c r="J1154" s="21">
        <f t="shared" si="17"/>
        <v>7.8934316970031254E-2</v>
      </c>
    </row>
    <row r="1155" spans="1:10" x14ac:dyDescent="0.25">
      <c r="A1155" s="20" t="s">
        <v>40</v>
      </c>
      <c r="B1155" s="20" t="s">
        <v>19</v>
      </c>
      <c r="C1155" s="20" t="s">
        <v>34</v>
      </c>
      <c r="D1155" s="20" t="s">
        <v>9</v>
      </c>
      <c r="E1155" s="20" t="s">
        <v>24</v>
      </c>
      <c r="F1155" s="20">
        <v>1175.5930510000001</v>
      </c>
      <c r="G1155" s="11">
        <f>VLOOKUP(A1155,'Operational Data'!$A$2:$E$201,3,FALSE)</f>
        <v>96474</v>
      </c>
      <c r="H1155" s="11">
        <f>VLOOKUP(A1155,'Operational Data'!$A$2:$E$201,4,FALSE)</f>
        <v>7574.39</v>
      </c>
      <c r="I1155" s="11">
        <f>VLOOKUP(A1155,'Operational Data'!$A$2:$E$201,5,FALSE)</f>
        <v>95.54</v>
      </c>
      <c r="J1155" s="21">
        <f t="shared" ref="J1155:J1218" si="18">F1155/G1155</f>
        <v>1.2185594574704067E-2</v>
      </c>
    </row>
    <row r="1156" spans="1:10" x14ac:dyDescent="0.25">
      <c r="A1156" s="20" t="s">
        <v>208</v>
      </c>
      <c r="B1156" s="20" t="s">
        <v>19</v>
      </c>
      <c r="C1156" s="20" t="s">
        <v>34</v>
      </c>
      <c r="D1156" s="20" t="s">
        <v>9</v>
      </c>
      <c r="E1156" s="20" t="s">
        <v>15</v>
      </c>
      <c r="F1156" s="20">
        <v>5155.3973189999997</v>
      </c>
      <c r="G1156" s="11">
        <f>VLOOKUP(A1156,'Operational Data'!$A$2:$E$201,3,FALSE)</f>
        <v>40553</v>
      </c>
      <c r="H1156" s="11">
        <f>VLOOKUP(A1156,'Operational Data'!$A$2:$E$201,4,FALSE)</f>
        <v>4875.2299999999996</v>
      </c>
      <c r="I1156" s="11">
        <f>VLOOKUP(A1156,'Operational Data'!$A$2:$E$201,5,FALSE)</f>
        <v>23.33</v>
      </c>
      <c r="J1156" s="21">
        <f t="shared" si="18"/>
        <v>0.12712739671540946</v>
      </c>
    </row>
    <row r="1157" spans="1:10" ht="30" x14ac:dyDescent="0.25">
      <c r="A1157" s="20" t="s">
        <v>148</v>
      </c>
      <c r="B1157" s="20" t="s">
        <v>17</v>
      </c>
      <c r="C1157" s="20" t="s">
        <v>34</v>
      </c>
      <c r="D1157" s="20" t="s">
        <v>14</v>
      </c>
      <c r="E1157" s="20" t="s">
        <v>10</v>
      </c>
      <c r="F1157" s="20">
        <v>4426.07</v>
      </c>
      <c r="G1157" s="11">
        <f>VLOOKUP(A1157,'Operational Data'!$A$2:$E$201,3,FALSE)</f>
        <v>44994</v>
      </c>
      <c r="H1157" s="11">
        <f>VLOOKUP(A1157,'Operational Data'!$A$2:$E$201,4,FALSE)</f>
        <v>7305.59</v>
      </c>
      <c r="I1157" s="11">
        <f>VLOOKUP(A1157,'Operational Data'!$A$2:$E$201,5,FALSE)</f>
        <v>91.53</v>
      </c>
      <c r="J1157" s="21">
        <f t="shared" si="18"/>
        <v>9.8370227141396621E-2</v>
      </c>
    </row>
    <row r="1158" spans="1:10" ht="30" x14ac:dyDescent="0.25">
      <c r="A1158" s="20" t="s">
        <v>20</v>
      </c>
      <c r="B1158" s="20" t="s">
        <v>17</v>
      </c>
      <c r="C1158" s="20" t="s">
        <v>8</v>
      </c>
      <c r="D1158" s="20" t="s">
        <v>14</v>
      </c>
      <c r="E1158" s="20" t="s">
        <v>24</v>
      </c>
      <c r="F1158" s="20">
        <v>4487.54</v>
      </c>
      <c r="G1158" s="11">
        <f>VLOOKUP(A1158,'Operational Data'!$A$2:$E$201,3,FALSE)</f>
        <v>29895</v>
      </c>
      <c r="H1158" s="11">
        <f>VLOOKUP(A1158,'Operational Data'!$A$2:$E$201,4,FALSE)</f>
        <v>1631.08</v>
      </c>
      <c r="I1158" s="11">
        <f>VLOOKUP(A1158,'Operational Data'!$A$2:$E$201,5,FALSE)</f>
        <v>39.93</v>
      </c>
      <c r="J1158" s="21">
        <f t="shared" si="18"/>
        <v>0.15011005184813514</v>
      </c>
    </row>
    <row r="1159" spans="1:10" x14ac:dyDescent="0.25">
      <c r="A1159" s="20" t="s">
        <v>209</v>
      </c>
      <c r="B1159" s="20" t="s">
        <v>7</v>
      </c>
      <c r="C1159" s="20" t="s">
        <v>13</v>
      </c>
      <c r="D1159" s="20" t="s">
        <v>28</v>
      </c>
      <c r="E1159" s="20" t="s">
        <v>15</v>
      </c>
      <c r="F1159" s="20">
        <v>844.07</v>
      </c>
      <c r="G1159" s="11">
        <f>VLOOKUP(A1159,'Operational Data'!$A$2:$E$201,3,FALSE)</f>
        <v>52357</v>
      </c>
      <c r="H1159" s="11">
        <f>VLOOKUP(A1159,'Operational Data'!$A$2:$E$201,4,FALSE)</f>
        <v>5643.16</v>
      </c>
      <c r="I1159" s="11">
        <f>VLOOKUP(A1159,'Operational Data'!$A$2:$E$201,5,FALSE)</f>
        <v>37.130000000000003</v>
      </c>
      <c r="J1159" s="21">
        <f t="shared" si="18"/>
        <v>1.6121435529155605E-2</v>
      </c>
    </row>
    <row r="1160" spans="1:10" x14ac:dyDescent="0.25">
      <c r="A1160" s="20" t="s">
        <v>157</v>
      </c>
      <c r="B1160" s="20" t="s">
        <v>30</v>
      </c>
      <c r="C1160" s="20" t="s">
        <v>34</v>
      </c>
      <c r="D1160" s="20" t="s">
        <v>28</v>
      </c>
      <c r="E1160" s="20" t="s">
        <v>24</v>
      </c>
      <c r="F1160" s="20">
        <v>808.96</v>
      </c>
      <c r="G1160" s="11">
        <f>VLOOKUP(A1160,'Operational Data'!$A$2:$E$201,3,FALSE)</f>
        <v>76544</v>
      </c>
      <c r="H1160" s="11">
        <f>VLOOKUP(A1160,'Operational Data'!$A$2:$E$201,4,FALSE)</f>
        <v>8632.77</v>
      </c>
      <c r="I1160" s="11">
        <f>VLOOKUP(A1160,'Operational Data'!$A$2:$E$201,5,FALSE)</f>
        <v>12.87</v>
      </c>
      <c r="J1160" s="21">
        <f t="shared" si="18"/>
        <v>1.05685618729097E-2</v>
      </c>
    </row>
    <row r="1161" spans="1:10" x14ac:dyDescent="0.25">
      <c r="A1161" s="20" t="s">
        <v>54</v>
      </c>
      <c r="B1161" s="20" t="s">
        <v>12</v>
      </c>
      <c r="C1161" s="20" t="s">
        <v>23</v>
      </c>
      <c r="D1161" s="20" t="s">
        <v>9</v>
      </c>
      <c r="E1161" s="20" t="s">
        <v>10</v>
      </c>
      <c r="F1161" s="20">
        <v>4896.916663</v>
      </c>
      <c r="G1161" s="11">
        <f>VLOOKUP(A1161,'Operational Data'!$A$2:$E$201,3,FALSE)</f>
        <v>58111</v>
      </c>
      <c r="H1161" s="11">
        <f>VLOOKUP(A1161,'Operational Data'!$A$2:$E$201,4,FALSE)</f>
        <v>4610.8999999999996</v>
      </c>
      <c r="I1161" s="11">
        <f>VLOOKUP(A1161,'Operational Data'!$A$2:$E$201,5,FALSE)</f>
        <v>21.53</v>
      </c>
      <c r="J1161" s="21">
        <f t="shared" si="18"/>
        <v>8.4268325497754301E-2</v>
      </c>
    </row>
    <row r="1162" spans="1:10" x14ac:dyDescent="0.25">
      <c r="A1162" s="20" t="s">
        <v>151</v>
      </c>
      <c r="B1162" s="20" t="s">
        <v>12</v>
      </c>
      <c r="C1162" s="20" t="s">
        <v>8</v>
      </c>
      <c r="D1162" s="20" t="s">
        <v>9</v>
      </c>
      <c r="E1162" s="20" t="s">
        <v>10</v>
      </c>
      <c r="F1162" s="20">
        <v>191.17</v>
      </c>
      <c r="G1162" s="11">
        <f>VLOOKUP(A1162,'Operational Data'!$A$2:$E$201,3,FALSE)</f>
        <v>61207</v>
      </c>
      <c r="H1162" s="11">
        <f>VLOOKUP(A1162,'Operational Data'!$A$2:$E$201,4,FALSE)</f>
        <v>6922.33</v>
      </c>
      <c r="I1162" s="11">
        <f>VLOOKUP(A1162,'Operational Data'!$A$2:$E$201,5,FALSE)</f>
        <v>9.1999999999999993</v>
      </c>
      <c r="J1162" s="21">
        <f t="shared" si="18"/>
        <v>3.1233355661934091E-3</v>
      </c>
    </row>
    <row r="1163" spans="1:10" ht="30" x14ac:dyDescent="0.25">
      <c r="A1163" s="20" t="s">
        <v>137</v>
      </c>
      <c r="B1163" s="20" t="s">
        <v>17</v>
      </c>
      <c r="C1163" s="20" t="s">
        <v>34</v>
      </c>
      <c r="D1163" s="20" t="s">
        <v>14</v>
      </c>
      <c r="E1163" s="20" t="s">
        <v>10</v>
      </c>
      <c r="F1163" s="20">
        <v>1697.2</v>
      </c>
      <c r="G1163" s="11">
        <f>VLOOKUP(A1163,'Operational Data'!$A$2:$E$201,3,FALSE)</f>
        <v>19265</v>
      </c>
      <c r="H1163" s="11">
        <f>VLOOKUP(A1163,'Operational Data'!$A$2:$E$201,4,FALSE)</f>
        <v>776.6</v>
      </c>
      <c r="I1163" s="11">
        <f>VLOOKUP(A1163,'Operational Data'!$A$2:$E$201,5,FALSE)</f>
        <v>39.75</v>
      </c>
      <c r="J1163" s="21">
        <f t="shared" si="18"/>
        <v>8.809758629639243E-2</v>
      </c>
    </row>
    <row r="1164" spans="1:10" x14ac:dyDescent="0.25">
      <c r="A1164" s="20" t="s">
        <v>57</v>
      </c>
      <c r="B1164" s="20" t="s">
        <v>19</v>
      </c>
      <c r="C1164" s="20" t="s">
        <v>8</v>
      </c>
      <c r="D1164" s="20" t="s">
        <v>9</v>
      </c>
      <c r="E1164" s="20" t="s">
        <v>24</v>
      </c>
      <c r="F1164" s="20">
        <v>4105.0089230000003</v>
      </c>
      <c r="G1164" s="11">
        <f>VLOOKUP(A1164,'Operational Data'!$A$2:$E$201,3,FALSE)</f>
        <v>41027</v>
      </c>
      <c r="H1164" s="11">
        <f>VLOOKUP(A1164,'Operational Data'!$A$2:$E$201,4,FALSE)</f>
        <v>7285.85</v>
      </c>
      <c r="I1164" s="11">
        <f>VLOOKUP(A1164,'Operational Data'!$A$2:$E$201,5,FALSE)</f>
        <v>59.87</v>
      </c>
      <c r="J1164" s="21">
        <f t="shared" si="18"/>
        <v>0.10005627813391182</v>
      </c>
    </row>
    <row r="1165" spans="1:10" ht="30" x14ac:dyDescent="0.25">
      <c r="A1165" s="20" t="s">
        <v>80</v>
      </c>
      <c r="B1165" s="20" t="s">
        <v>17</v>
      </c>
      <c r="C1165" s="20" t="s">
        <v>13</v>
      </c>
      <c r="D1165" s="20" t="s">
        <v>28</v>
      </c>
      <c r="E1165" s="20" t="s">
        <v>10</v>
      </c>
      <c r="F1165" s="20">
        <v>4095.94</v>
      </c>
      <c r="G1165" s="11">
        <f>VLOOKUP(A1165,'Operational Data'!$A$2:$E$201,3,FALSE)</f>
        <v>75508</v>
      </c>
      <c r="H1165" s="11">
        <f>VLOOKUP(A1165,'Operational Data'!$A$2:$E$201,4,FALSE)</f>
        <v>6856.22</v>
      </c>
      <c r="I1165" s="11">
        <f>VLOOKUP(A1165,'Operational Data'!$A$2:$E$201,5,FALSE)</f>
        <v>18.2</v>
      </c>
      <c r="J1165" s="21">
        <f t="shared" si="18"/>
        <v>5.424511310059861E-2</v>
      </c>
    </row>
    <row r="1166" spans="1:10" x14ac:dyDescent="0.25">
      <c r="A1166" s="20" t="s">
        <v>99</v>
      </c>
      <c r="B1166" s="20" t="s">
        <v>19</v>
      </c>
      <c r="C1166" s="20" t="s">
        <v>8</v>
      </c>
      <c r="D1166" s="20" t="s">
        <v>14</v>
      </c>
      <c r="E1166" s="20" t="s">
        <v>24</v>
      </c>
      <c r="F1166" s="20">
        <v>1094.42</v>
      </c>
      <c r="G1166" s="11">
        <f>VLOOKUP(A1166,'Operational Data'!$A$2:$E$201,3,FALSE)</f>
        <v>77400</v>
      </c>
      <c r="H1166" s="11">
        <f>VLOOKUP(A1166,'Operational Data'!$A$2:$E$201,4,FALSE)</f>
        <v>7504.8</v>
      </c>
      <c r="I1166" s="11">
        <f>VLOOKUP(A1166,'Operational Data'!$A$2:$E$201,5,FALSE)</f>
        <v>68.819999999999993</v>
      </c>
      <c r="J1166" s="21">
        <f t="shared" si="18"/>
        <v>1.4139793281653748E-2</v>
      </c>
    </row>
    <row r="1167" spans="1:10" x14ac:dyDescent="0.25">
      <c r="A1167" s="20" t="s">
        <v>178</v>
      </c>
      <c r="B1167" s="20" t="s">
        <v>30</v>
      </c>
      <c r="C1167" s="20" t="s">
        <v>34</v>
      </c>
      <c r="D1167" s="20" t="s">
        <v>9</v>
      </c>
      <c r="E1167" s="20" t="s">
        <v>15</v>
      </c>
      <c r="F1167" s="20">
        <v>2501.4700050000001</v>
      </c>
      <c r="G1167" s="11">
        <f>VLOOKUP(A1167,'Operational Data'!$A$2:$E$201,3,FALSE)</f>
        <v>88188</v>
      </c>
      <c r="H1167" s="11">
        <f>VLOOKUP(A1167,'Operational Data'!$A$2:$E$201,4,FALSE)</f>
        <v>815.86</v>
      </c>
      <c r="I1167" s="11">
        <f>VLOOKUP(A1167,'Operational Data'!$A$2:$E$201,5,FALSE)</f>
        <v>57.53</v>
      </c>
      <c r="J1167" s="21">
        <f t="shared" si="18"/>
        <v>2.8365197135664717E-2</v>
      </c>
    </row>
    <row r="1168" spans="1:10" x14ac:dyDescent="0.25">
      <c r="A1168" s="20" t="s">
        <v>138</v>
      </c>
      <c r="B1168" s="20" t="s">
        <v>12</v>
      </c>
      <c r="C1168" s="20" t="s">
        <v>34</v>
      </c>
      <c r="D1168" s="20" t="s">
        <v>14</v>
      </c>
      <c r="E1168" s="20" t="s">
        <v>24</v>
      </c>
      <c r="F1168" s="20">
        <v>1137.71</v>
      </c>
      <c r="G1168" s="11">
        <f>VLOOKUP(A1168,'Operational Data'!$A$2:$E$201,3,FALSE)</f>
        <v>57353</v>
      </c>
      <c r="H1168" s="11">
        <f>VLOOKUP(A1168,'Operational Data'!$A$2:$E$201,4,FALSE)</f>
        <v>2274.71</v>
      </c>
      <c r="I1168" s="11">
        <f>VLOOKUP(A1168,'Operational Data'!$A$2:$E$201,5,FALSE)</f>
        <v>65.34</v>
      </c>
      <c r="J1168" s="21">
        <f t="shared" si="18"/>
        <v>1.9836974526179975E-2</v>
      </c>
    </row>
    <row r="1169" spans="1:10" x14ac:dyDescent="0.25">
      <c r="A1169" s="20" t="s">
        <v>113</v>
      </c>
      <c r="B1169" s="20" t="s">
        <v>30</v>
      </c>
      <c r="C1169" s="20" t="s">
        <v>23</v>
      </c>
      <c r="D1169" s="20" t="s">
        <v>28</v>
      </c>
      <c r="E1169" s="20" t="s">
        <v>15</v>
      </c>
      <c r="F1169" s="20">
        <v>2685.34</v>
      </c>
      <c r="G1169" s="11">
        <f>VLOOKUP(A1169,'Operational Data'!$A$2:$E$201,3,FALSE)</f>
        <v>90679</v>
      </c>
      <c r="H1169" s="11">
        <f>VLOOKUP(A1169,'Operational Data'!$A$2:$E$201,4,FALSE)</f>
        <v>7266.82</v>
      </c>
      <c r="I1169" s="11">
        <f>VLOOKUP(A1169,'Operational Data'!$A$2:$E$201,5,FALSE)</f>
        <v>23.3</v>
      </c>
      <c r="J1169" s="21">
        <f t="shared" si="18"/>
        <v>2.9613692255097655E-2</v>
      </c>
    </row>
    <row r="1170" spans="1:10" x14ac:dyDescent="0.25">
      <c r="A1170" s="20" t="s">
        <v>184</v>
      </c>
      <c r="B1170" s="20" t="s">
        <v>30</v>
      </c>
      <c r="C1170" s="20" t="s">
        <v>13</v>
      </c>
      <c r="D1170" s="20" t="s">
        <v>14</v>
      </c>
      <c r="E1170" s="20" t="s">
        <v>24</v>
      </c>
      <c r="F1170" s="20">
        <v>3561.14</v>
      </c>
      <c r="G1170" s="11">
        <f>VLOOKUP(A1170,'Operational Data'!$A$2:$E$201,3,FALSE)</f>
        <v>13543</v>
      </c>
      <c r="H1170" s="11">
        <f>VLOOKUP(A1170,'Operational Data'!$A$2:$E$201,4,FALSE)</f>
        <v>7854.96</v>
      </c>
      <c r="I1170" s="11">
        <f>VLOOKUP(A1170,'Operational Data'!$A$2:$E$201,5,FALSE)</f>
        <v>85.57</v>
      </c>
      <c r="J1170" s="21">
        <f t="shared" si="18"/>
        <v>0.26295060178690099</v>
      </c>
    </row>
    <row r="1171" spans="1:10" x14ac:dyDescent="0.25">
      <c r="A1171" s="20" t="s">
        <v>55</v>
      </c>
      <c r="B1171" s="20" t="s">
        <v>12</v>
      </c>
      <c r="C1171" s="20" t="s">
        <v>23</v>
      </c>
      <c r="D1171" s="20" t="s">
        <v>9</v>
      </c>
      <c r="E1171" s="20" t="s">
        <v>10</v>
      </c>
      <c r="F1171" s="20">
        <v>135.56644890000001</v>
      </c>
      <c r="G1171" s="11">
        <f>VLOOKUP(A1171,'Operational Data'!$A$2:$E$201,3,FALSE)</f>
        <v>38181</v>
      </c>
      <c r="H1171" s="11">
        <f>VLOOKUP(A1171,'Operational Data'!$A$2:$E$201,4,FALSE)</f>
        <v>691.84</v>
      </c>
      <c r="I1171" s="11">
        <f>VLOOKUP(A1171,'Operational Data'!$A$2:$E$201,5,FALSE)</f>
        <v>33.53</v>
      </c>
      <c r="J1171" s="21">
        <f t="shared" si="18"/>
        <v>3.5506259369843642E-3</v>
      </c>
    </row>
    <row r="1172" spans="1:10" x14ac:dyDescent="0.25">
      <c r="A1172" s="20" t="s">
        <v>201</v>
      </c>
      <c r="B1172" s="20" t="s">
        <v>12</v>
      </c>
      <c r="C1172" s="20" t="s">
        <v>8</v>
      </c>
      <c r="D1172" s="20" t="s">
        <v>28</v>
      </c>
      <c r="E1172" s="20" t="s">
        <v>15</v>
      </c>
      <c r="F1172" s="20">
        <v>651.62</v>
      </c>
      <c r="G1172" s="11">
        <f>VLOOKUP(A1172,'Operational Data'!$A$2:$E$201,3,FALSE)</f>
        <v>58439</v>
      </c>
      <c r="H1172" s="11">
        <f>VLOOKUP(A1172,'Operational Data'!$A$2:$E$201,4,FALSE)</f>
        <v>5817.93</v>
      </c>
      <c r="I1172" s="11">
        <f>VLOOKUP(A1172,'Operational Data'!$A$2:$E$201,5,FALSE)</f>
        <v>63.77</v>
      </c>
      <c r="J1172" s="21">
        <f t="shared" si="18"/>
        <v>1.1150430363284792E-2</v>
      </c>
    </row>
    <row r="1173" spans="1:10" x14ac:dyDescent="0.25">
      <c r="A1173" s="20" t="s">
        <v>189</v>
      </c>
      <c r="B1173" s="20" t="s">
        <v>19</v>
      </c>
      <c r="C1173" s="20" t="s">
        <v>34</v>
      </c>
      <c r="D1173" s="20" t="s">
        <v>9</v>
      </c>
      <c r="E1173" s="20" t="s">
        <v>10</v>
      </c>
      <c r="F1173" s="20">
        <v>243.88</v>
      </c>
      <c r="G1173" s="11">
        <f>VLOOKUP(A1173,'Operational Data'!$A$2:$E$201,3,FALSE)</f>
        <v>27681</v>
      </c>
      <c r="H1173" s="11">
        <f>VLOOKUP(A1173,'Operational Data'!$A$2:$E$201,4,FALSE)</f>
        <v>928.26</v>
      </c>
      <c r="I1173" s="11">
        <f>VLOOKUP(A1173,'Operational Data'!$A$2:$E$201,5,FALSE)</f>
        <v>44.97</v>
      </c>
      <c r="J1173" s="21">
        <f t="shared" si="18"/>
        <v>8.8103753477114261E-3</v>
      </c>
    </row>
    <row r="1174" spans="1:10" ht="30" x14ac:dyDescent="0.25">
      <c r="A1174" s="20" t="s">
        <v>215</v>
      </c>
      <c r="B1174" s="20" t="s">
        <v>17</v>
      </c>
      <c r="C1174" s="20" t="s">
        <v>34</v>
      </c>
      <c r="D1174" s="20" t="s">
        <v>28</v>
      </c>
      <c r="E1174" s="20" t="s">
        <v>24</v>
      </c>
      <c r="F1174" s="20">
        <v>2204.12</v>
      </c>
      <c r="G1174" s="11">
        <f>VLOOKUP(A1174,'Operational Data'!$A$2:$E$201,3,FALSE)</f>
        <v>72813</v>
      </c>
      <c r="H1174" s="11">
        <f>VLOOKUP(A1174,'Operational Data'!$A$2:$E$201,4,FALSE)</f>
        <v>8818.16</v>
      </c>
      <c r="I1174" s="11">
        <f>VLOOKUP(A1174,'Operational Data'!$A$2:$E$201,5,FALSE)</f>
        <v>54.12</v>
      </c>
      <c r="J1174" s="21">
        <f t="shared" si="18"/>
        <v>3.0270968096356418E-2</v>
      </c>
    </row>
    <row r="1175" spans="1:10" x14ac:dyDescent="0.25">
      <c r="A1175" s="20" t="s">
        <v>77</v>
      </c>
      <c r="B1175" s="20" t="s">
        <v>30</v>
      </c>
      <c r="C1175" s="20" t="s">
        <v>34</v>
      </c>
      <c r="D1175" s="20" t="s">
        <v>9</v>
      </c>
      <c r="E1175" s="20" t="s">
        <v>24</v>
      </c>
      <c r="F1175" s="20">
        <v>4031.3117550000002</v>
      </c>
      <c r="G1175" s="11">
        <f>VLOOKUP(A1175,'Operational Data'!$A$2:$E$201,3,FALSE)</f>
        <v>61942</v>
      </c>
      <c r="H1175" s="11">
        <f>VLOOKUP(A1175,'Operational Data'!$A$2:$E$201,4,FALSE)</f>
        <v>4891.32</v>
      </c>
      <c r="I1175" s="11">
        <f>VLOOKUP(A1175,'Operational Data'!$A$2:$E$201,5,FALSE)</f>
        <v>91.59</v>
      </c>
      <c r="J1175" s="21">
        <f t="shared" si="18"/>
        <v>6.5082040537922575E-2</v>
      </c>
    </row>
    <row r="1176" spans="1:10" ht="30" x14ac:dyDescent="0.25">
      <c r="A1176" s="20" t="s">
        <v>37</v>
      </c>
      <c r="B1176" s="20" t="s">
        <v>17</v>
      </c>
      <c r="C1176" s="20" t="s">
        <v>8</v>
      </c>
      <c r="D1176" s="20" t="s">
        <v>14</v>
      </c>
      <c r="E1176" s="20" t="s">
        <v>24</v>
      </c>
      <c r="F1176" s="20">
        <v>1311.25</v>
      </c>
      <c r="G1176" s="11">
        <f>VLOOKUP(A1176,'Operational Data'!$A$2:$E$201,3,FALSE)</f>
        <v>71747</v>
      </c>
      <c r="H1176" s="11">
        <f>VLOOKUP(A1176,'Operational Data'!$A$2:$E$201,4,FALSE)</f>
        <v>9838.66</v>
      </c>
      <c r="I1176" s="11">
        <f>VLOOKUP(A1176,'Operational Data'!$A$2:$E$201,5,FALSE)</f>
        <v>7.25</v>
      </c>
      <c r="J1176" s="21">
        <f t="shared" si="18"/>
        <v>1.8276025478417217E-2</v>
      </c>
    </row>
    <row r="1177" spans="1:10" x14ac:dyDescent="0.25">
      <c r="A1177" s="20" t="s">
        <v>96</v>
      </c>
      <c r="B1177" s="20" t="s">
        <v>19</v>
      </c>
      <c r="C1177" s="20" t="s">
        <v>8</v>
      </c>
      <c r="D1177" s="20" t="s">
        <v>9</v>
      </c>
      <c r="E1177" s="20" t="s">
        <v>10</v>
      </c>
      <c r="F1177" s="20">
        <v>496.00451520000001</v>
      </c>
      <c r="G1177" s="11">
        <f>VLOOKUP(A1177,'Operational Data'!$A$2:$E$201,3,FALSE)</f>
        <v>53942</v>
      </c>
      <c r="H1177" s="11">
        <f>VLOOKUP(A1177,'Operational Data'!$A$2:$E$201,4,FALSE)</f>
        <v>5904.31</v>
      </c>
      <c r="I1177" s="11">
        <f>VLOOKUP(A1177,'Operational Data'!$A$2:$E$201,5,FALSE)</f>
        <v>32.78</v>
      </c>
      <c r="J1177" s="21">
        <f t="shared" si="18"/>
        <v>9.195145066923734E-3</v>
      </c>
    </row>
    <row r="1178" spans="1:10" ht="30" x14ac:dyDescent="0.25">
      <c r="A1178" s="20" t="s">
        <v>136</v>
      </c>
      <c r="B1178" s="20" t="s">
        <v>17</v>
      </c>
      <c r="C1178" s="20" t="s">
        <v>8</v>
      </c>
      <c r="D1178" s="20" t="s">
        <v>14</v>
      </c>
      <c r="E1178" s="20" t="s">
        <v>10</v>
      </c>
      <c r="F1178" s="20">
        <v>3182.6</v>
      </c>
      <c r="G1178" s="11">
        <f>VLOOKUP(A1178,'Operational Data'!$A$2:$E$201,3,FALSE)</f>
        <v>15128</v>
      </c>
      <c r="H1178" s="11">
        <f>VLOOKUP(A1178,'Operational Data'!$A$2:$E$201,4,FALSE)</f>
        <v>8847.09</v>
      </c>
      <c r="I1178" s="11">
        <f>VLOOKUP(A1178,'Operational Data'!$A$2:$E$201,5,FALSE)</f>
        <v>5.25</v>
      </c>
      <c r="J1178" s="21">
        <f t="shared" si="18"/>
        <v>0.2103781068217874</v>
      </c>
    </row>
    <row r="1179" spans="1:10" x14ac:dyDescent="0.25">
      <c r="A1179" s="20" t="s">
        <v>182</v>
      </c>
      <c r="B1179" s="20" t="s">
        <v>12</v>
      </c>
      <c r="C1179" s="20" t="s">
        <v>23</v>
      </c>
      <c r="D1179" s="20" t="s">
        <v>14</v>
      </c>
      <c r="E1179" s="20" t="s">
        <v>15</v>
      </c>
      <c r="F1179" s="20">
        <v>1935.31</v>
      </c>
      <c r="G1179" s="11">
        <f>VLOOKUP(A1179,'Operational Data'!$A$2:$E$201,3,FALSE)</f>
        <v>21081</v>
      </c>
      <c r="H1179" s="11">
        <f>VLOOKUP(A1179,'Operational Data'!$A$2:$E$201,4,FALSE)</f>
        <v>9001.77</v>
      </c>
      <c r="I1179" s="11">
        <f>VLOOKUP(A1179,'Operational Data'!$A$2:$E$201,5,FALSE)</f>
        <v>49.27</v>
      </c>
      <c r="J1179" s="21">
        <f t="shared" si="18"/>
        <v>9.1803519757127264E-2</v>
      </c>
    </row>
    <row r="1180" spans="1:10" x14ac:dyDescent="0.25">
      <c r="A1180" s="20" t="s">
        <v>103</v>
      </c>
      <c r="B1180" s="20" t="s">
        <v>19</v>
      </c>
      <c r="C1180" s="20" t="s">
        <v>34</v>
      </c>
      <c r="D1180" s="20" t="s">
        <v>9</v>
      </c>
      <c r="E1180" s="20" t="s">
        <v>10</v>
      </c>
      <c r="F1180" s="20">
        <v>4354.07557</v>
      </c>
      <c r="G1180" s="11">
        <f>VLOOKUP(A1180,'Operational Data'!$A$2:$E$201,3,FALSE)</f>
        <v>38869</v>
      </c>
      <c r="H1180" s="11">
        <f>VLOOKUP(A1180,'Operational Data'!$A$2:$E$201,4,FALSE)</f>
        <v>5109.76</v>
      </c>
      <c r="I1180" s="11">
        <f>VLOOKUP(A1180,'Operational Data'!$A$2:$E$201,5,FALSE)</f>
        <v>35.270000000000003</v>
      </c>
      <c r="J1180" s="21">
        <f t="shared" si="18"/>
        <v>0.11201923306491034</v>
      </c>
    </row>
    <row r="1181" spans="1:10" x14ac:dyDescent="0.25">
      <c r="A1181" s="20" t="s">
        <v>144</v>
      </c>
      <c r="B1181" s="20" t="s">
        <v>30</v>
      </c>
      <c r="C1181" s="20" t="s">
        <v>13</v>
      </c>
      <c r="D1181" s="20" t="s">
        <v>28</v>
      </c>
      <c r="E1181" s="20" t="s">
        <v>15</v>
      </c>
      <c r="F1181" s="20">
        <v>4545.6899999999996</v>
      </c>
      <c r="G1181" s="11">
        <f>VLOOKUP(A1181,'Operational Data'!$A$2:$E$201,3,FALSE)</f>
        <v>11426</v>
      </c>
      <c r="H1181" s="11">
        <f>VLOOKUP(A1181,'Operational Data'!$A$2:$E$201,4,FALSE)</f>
        <v>4439.5600000000004</v>
      </c>
      <c r="I1181" s="11">
        <f>VLOOKUP(A1181,'Operational Data'!$A$2:$E$201,5,FALSE)</f>
        <v>52.71</v>
      </c>
      <c r="J1181" s="21">
        <f t="shared" si="18"/>
        <v>0.39783738841239275</v>
      </c>
    </row>
    <row r="1182" spans="1:10" x14ac:dyDescent="0.25">
      <c r="A1182" s="20" t="s">
        <v>126</v>
      </c>
      <c r="B1182" s="20" t="s">
        <v>30</v>
      </c>
      <c r="C1182" s="20" t="s">
        <v>13</v>
      </c>
      <c r="D1182" s="20" t="s">
        <v>28</v>
      </c>
      <c r="E1182" s="20" t="s">
        <v>10</v>
      </c>
      <c r="F1182" s="20">
        <v>1019.91</v>
      </c>
      <c r="G1182" s="11">
        <f>VLOOKUP(A1182,'Operational Data'!$A$2:$E$201,3,FALSE)</f>
        <v>35506</v>
      </c>
      <c r="H1182" s="11">
        <f>VLOOKUP(A1182,'Operational Data'!$A$2:$E$201,4,FALSE)</f>
        <v>1892.04</v>
      </c>
      <c r="I1182" s="11">
        <f>VLOOKUP(A1182,'Operational Data'!$A$2:$E$201,5,FALSE)</f>
        <v>61.53</v>
      </c>
      <c r="J1182" s="21">
        <f t="shared" si="18"/>
        <v>2.8725004224638088E-2</v>
      </c>
    </row>
    <row r="1183" spans="1:10" ht="30" x14ac:dyDescent="0.25">
      <c r="A1183" s="20" t="s">
        <v>205</v>
      </c>
      <c r="B1183" s="20" t="s">
        <v>17</v>
      </c>
      <c r="C1183" s="20" t="s">
        <v>34</v>
      </c>
      <c r="D1183" s="20" t="s">
        <v>9</v>
      </c>
      <c r="E1183" s="20" t="s">
        <v>24</v>
      </c>
      <c r="F1183" s="20">
        <v>3313.0768830000002</v>
      </c>
      <c r="G1183" s="11">
        <f>VLOOKUP(A1183,'Operational Data'!$A$2:$E$201,3,FALSE)</f>
        <v>52594</v>
      </c>
      <c r="H1183" s="11">
        <f>VLOOKUP(A1183,'Operational Data'!$A$2:$E$201,4,FALSE)</f>
        <v>8715.0400000000009</v>
      </c>
      <c r="I1183" s="11">
        <f>VLOOKUP(A1183,'Operational Data'!$A$2:$E$201,5,FALSE)</f>
        <v>90.54</v>
      </c>
      <c r="J1183" s="21">
        <f t="shared" si="18"/>
        <v>6.2993438091797541E-2</v>
      </c>
    </row>
    <row r="1184" spans="1:10" x14ac:dyDescent="0.25">
      <c r="A1184" s="20" t="s">
        <v>72</v>
      </c>
      <c r="B1184" s="20" t="s">
        <v>19</v>
      </c>
      <c r="C1184" s="20" t="s">
        <v>34</v>
      </c>
      <c r="D1184" s="20" t="s">
        <v>28</v>
      </c>
      <c r="E1184" s="20" t="s">
        <v>24</v>
      </c>
      <c r="F1184" s="20">
        <v>2988.27</v>
      </c>
      <c r="G1184" s="11">
        <f>VLOOKUP(A1184,'Operational Data'!$A$2:$E$201,3,FALSE)</f>
        <v>29318</v>
      </c>
      <c r="H1184" s="11">
        <f>VLOOKUP(A1184,'Operational Data'!$A$2:$E$201,4,FALSE)</f>
        <v>9860.6200000000008</v>
      </c>
      <c r="I1184" s="11">
        <f>VLOOKUP(A1184,'Operational Data'!$A$2:$E$201,5,FALSE)</f>
        <v>14.58</v>
      </c>
      <c r="J1184" s="21">
        <f t="shared" si="18"/>
        <v>0.10192612047206494</v>
      </c>
    </row>
    <row r="1185" spans="1:10" x14ac:dyDescent="0.25">
      <c r="A1185" s="20" t="s">
        <v>146</v>
      </c>
      <c r="B1185" s="20" t="s">
        <v>7</v>
      </c>
      <c r="C1185" s="20" t="s">
        <v>34</v>
      </c>
      <c r="D1185" s="20" t="s">
        <v>9</v>
      </c>
      <c r="E1185" s="20" t="s">
        <v>24</v>
      </c>
      <c r="F1185" s="20">
        <v>4688.4712579999996</v>
      </c>
      <c r="G1185" s="11">
        <f>VLOOKUP(A1185,'Operational Data'!$A$2:$E$201,3,FALSE)</f>
        <v>14170</v>
      </c>
      <c r="H1185" s="11">
        <f>VLOOKUP(A1185,'Operational Data'!$A$2:$E$201,4,FALSE)</f>
        <v>5455.23</v>
      </c>
      <c r="I1185" s="11">
        <f>VLOOKUP(A1185,'Operational Data'!$A$2:$E$201,5,FALSE)</f>
        <v>25.46</v>
      </c>
      <c r="J1185" s="21">
        <f t="shared" si="18"/>
        <v>0.33087305984474236</v>
      </c>
    </row>
    <row r="1186" spans="1:10" ht="30" x14ac:dyDescent="0.25">
      <c r="A1186" s="20" t="s">
        <v>76</v>
      </c>
      <c r="B1186" s="20" t="s">
        <v>17</v>
      </c>
      <c r="C1186" s="20" t="s">
        <v>34</v>
      </c>
      <c r="D1186" s="20" t="s">
        <v>9</v>
      </c>
      <c r="E1186" s="20" t="s">
        <v>24</v>
      </c>
      <c r="F1186" s="20">
        <v>4159.3606559999998</v>
      </c>
      <c r="G1186" s="11">
        <f>VLOOKUP(A1186,'Operational Data'!$A$2:$E$201,3,FALSE)</f>
        <v>59617</v>
      </c>
      <c r="H1186" s="11">
        <f>VLOOKUP(A1186,'Operational Data'!$A$2:$E$201,4,FALSE)</f>
        <v>5000.95</v>
      </c>
      <c r="I1186" s="11">
        <f>VLOOKUP(A1186,'Operational Data'!$A$2:$E$201,5,FALSE)</f>
        <v>80.36</v>
      </c>
      <c r="J1186" s="21">
        <f t="shared" si="18"/>
        <v>6.9768030192730257E-2</v>
      </c>
    </row>
    <row r="1187" spans="1:10" x14ac:dyDescent="0.25">
      <c r="A1187" s="20" t="s">
        <v>146</v>
      </c>
      <c r="B1187" s="20" t="s">
        <v>7</v>
      </c>
      <c r="C1187" s="20" t="s">
        <v>13</v>
      </c>
      <c r="D1187" s="20" t="s">
        <v>14</v>
      </c>
      <c r="E1187" s="20" t="s">
        <v>24</v>
      </c>
      <c r="F1187" s="20">
        <v>3142.22</v>
      </c>
      <c r="G1187" s="11">
        <f>VLOOKUP(A1187,'Operational Data'!$A$2:$E$201,3,FALSE)</f>
        <v>14170</v>
      </c>
      <c r="H1187" s="11">
        <f>VLOOKUP(A1187,'Operational Data'!$A$2:$E$201,4,FALSE)</f>
        <v>5455.23</v>
      </c>
      <c r="I1187" s="11">
        <f>VLOOKUP(A1187,'Operational Data'!$A$2:$E$201,5,FALSE)</f>
        <v>25.46</v>
      </c>
      <c r="J1187" s="21">
        <f t="shared" si="18"/>
        <v>0.22175158786167959</v>
      </c>
    </row>
    <row r="1188" spans="1:10" x14ac:dyDescent="0.25">
      <c r="A1188" s="20" t="s">
        <v>193</v>
      </c>
      <c r="B1188" s="20" t="s">
        <v>12</v>
      </c>
      <c r="C1188" s="20" t="s">
        <v>34</v>
      </c>
      <c r="D1188" s="20" t="s">
        <v>9</v>
      </c>
      <c r="E1188" s="20" t="s">
        <v>15</v>
      </c>
      <c r="F1188" s="20">
        <v>4654.5582059999997</v>
      </c>
      <c r="G1188" s="11">
        <f>VLOOKUP(A1188,'Operational Data'!$A$2:$E$201,3,FALSE)</f>
        <v>13333</v>
      </c>
      <c r="H1188" s="11">
        <f>VLOOKUP(A1188,'Operational Data'!$A$2:$E$201,4,FALSE)</f>
        <v>6102.15</v>
      </c>
      <c r="I1188" s="11">
        <f>VLOOKUP(A1188,'Operational Data'!$A$2:$E$201,5,FALSE)</f>
        <v>17.670000000000002</v>
      </c>
      <c r="J1188" s="21">
        <f t="shared" si="18"/>
        <v>0.3491005929648241</v>
      </c>
    </row>
    <row r="1189" spans="1:10" ht="30" x14ac:dyDescent="0.25">
      <c r="A1189" s="20" t="s">
        <v>76</v>
      </c>
      <c r="B1189" s="20" t="s">
        <v>17</v>
      </c>
      <c r="C1189" s="20" t="s">
        <v>13</v>
      </c>
      <c r="D1189" s="20" t="s">
        <v>9</v>
      </c>
      <c r="E1189" s="20" t="s">
        <v>15</v>
      </c>
      <c r="F1189" s="20">
        <v>348.73387589999999</v>
      </c>
      <c r="G1189" s="11">
        <f>VLOOKUP(A1189,'Operational Data'!$A$2:$E$201,3,FALSE)</f>
        <v>59617</v>
      </c>
      <c r="H1189" s="11">
        <f>VLOOKUP(A1189,'Operational Data'!$A$2:$E$201,4,FALSE)</f>
        <v>5000.95</v>
      </c>
      <c r="I1189" s="11">
        <f>VLOOKUP(A1189,'Operational Data'!$A$2:$E$201,5,FALSE)</f>
        <v>80.36</v>
      </c>
      <c r="J1189" s="21">
        <f t="shared" si="18"/>
        <v>5.8495710267205663E-3</v>
      </c>
    </row>
    <row r="1190" spans="1:10" x14ac:dyDescent="0.25">
      <c r="A1190" s="20" t="s">
        <v>109</v>
      </c>
      <c r="B1190" s="20" t="s">
        <v>12</v>
      </c>
      <c r="C1190" s="20" t="s">
        <v>23</v>
      </c>
      <c r="D1190" s="20" t="s">
        <v>14</v>
      </c>
      <c r="E1190" s="20" t="s">
        <v>15</v>
      </c>
      <c r="F1190" s="20">
        <v>4243.12</v>
      </c>
      <c r="G1190" s="11">
        <f>VLOOKUP(A1190,'Operational Data'!$A$2:$E$201,3,FALSE)</f>
        <v>84721</v>
      </c>
      <c r="H1190" s="11">
        <f>VLOOKUP(A1190,'Operational Data'!$A$2:$E$201,4,FALSE)</f>
        <v>2278.9699999999998</v>
      </c>
      <c r="I1190" s="11">
        <f>VLOOKUP(A1190,'Operational Data'!$A$2:$E$201,5,FALSE)</f>
        <v>68.53</v>
      </c>
      <c r="J1190" s="21">
        <f t="shared" si="18"/>
        <v>5.0083450384202262E-2</v>
      </c>
    </row>
    <row r="1191" spans="1:10" x14ac:dyDescent="0.25">
      <c r="A1191" s="20" t="s">
        <v>52</v>
      </c>
      <c r="B1191" s="20" t="s">
        <v>19</v>
      </c>
      <c r="C1191" s="20" t="s">
        <v>8</v>
      </c>
      <c r="D1191" s="20" t="s">
        <v>14</v>
      </c>
      <c r="E1191" s="20" t="s">
        <v>24</v>
      </c>
      <c r="F1191" s="20">
        <v>4673.26</v>
      </c>
      <c r="G1191" s="11">
        <f>VLOOKUP(A1191,'Operational Data'!$A$2:$E$201,3,FALSE)</f>
        <v>94949</v>
      </c>
      <c r="H1191" s="11">
        <f>VLOOKUP(A1191,'Operational Data'!$A$2:$E$201,4,FALSE)</f>
        <v>9714.76</v>
      </c>
      <c r="I1191" s="11">
        <f>VLOOKUP(A1191,'Operational Data'!$A$2:$E$201,5,FALSE)</f>
        <v>64.900000000000006</v>
      </c>
      <c r="J1191" s="21">
        <f t="shared" si="18"/>
        <v>4.9218633160960097E-2</v>
      </c>
    </row>
    <row r="1192" spans="1:10" x14ac:dyDescent="0.25">
      <c r="A1192" s="20" t="s">
        <v>85</v>
      </c>
      <c r="B1192" s="20" t="s">
        <v>30</v>
      </c>
      <c r="C1192" s="20" t="s">
        <v>8</v>
      </c>
      <c r="D1192" s="20" t="s">
        <v>28</v>
      </c>
      <c r="E1192" s="20" t="s">
        <v>10</v>
      </c>
      <c r="F1192" s="20">
        <v>1127.24</v>
      </c>
      <c r="G1192" s="11">
        <f>VLOOKUP(A1192,'Operational Data'!$A$2:$E$201,3,FALSE)</f>
        <v>45519</v>
      </c>
      <c r="H1192" s="11">
        <f>VLOOKUP(A1192,'Operational Data'!$A$2:$E$201,4,FALSE)</f>
        <v>7987.69</v>
      </c>
      <c r="I1192" s="11">
        <f>VLOOKUP(A1192,'Operational Data'!$A$2:$E$201,5,FALSE)</f>
        <v>10.86</v>
      </c>
      <c r="J1192" s="21">
        <f t="shared" si="18"/>
        <v>2.4764164414859728E-2</v>
      </c>
    </row>
    <row r="1193" spans="1:10" x14ac:dyDescent="0.25">
      <c r="A1193" s="20" t="s">
        <v>185</v>
      </c>
      <c r="B1193" s="20" t="s">
        <v>30</v>
      </c>
      <c r="C1193" s="20" t="s">
        <v>34</v>
      </c>
      <c r="D1193" s="20" t="s">
        <v>9</v>
      </c>
      <c r="E1193" s="20" t="s">
        <v>24</v>
      </c>
      <c r="F1193" s="20">
        <v>884.52</v>
      </c>
      <c r="G1193" s="11">
        <f>VLOOKUP(A1193,'Operational Data'!$A$2:$E$201,3,FALSE)</f>
        <v>24913</v>
      </c>
      <c r="H1193" s="11">
        <f>VLOOKUP(A1193,'Operational Data'!$A$2:$E$201,4,FALSE)</f>
        <v>5727.27</v>
      </c>
      <c r="I1193" s="11">
        <f>VLOOKUP(A1193,'Operational Data'!$A$2:$E$201,5,FALSE)</f>
        <v>78.849999999999994</v>
      </c>
      <c r="J1193" s="21">
        <f t="shared" si="18"/>
        <v>3.5504355155942677E-2</v>
      </c>
    </row>
    <row r="1194" spans="1:10" ht="30" x14ac:dyDescent="0.25">
      <c r="A1194" s="20" t="s">
        <v>131</v>
      </c>
      <c r="B1194" s="20" t="s">
        <v>17</v>
      </c>
      <c r="C1194" s="20" t="s">
        <v>34</v>
      </c>
      <c r="D1194" s="20" t="s">
        <v>9</v>
      </c>
      <c r="E1194" s="20" t="s">
        <v>24</v>
      </c>
      <c r="F1194" s="20">
        <v>692.69108289999997</v>
      </c>
      <c r="G1194" s="11">
        <f>VLOOKUP(A1194,'Operational Data'!$A$2:$E$201,3,FALSE)</f>
        <v>94128</v>
      </c>
      <c r="H1194" s="11">
        <f>VLOOKUP(A1194,'Operational Data'!$A$2:$E$201,4,FALSE)</f>
        <v>8117.82</v>
      </c>
      <c r="I1194" s="11">
        <f>VLOOKUP(A1194,'Operational Data'!$A$2:$E$201,5,FALSE)</f>
        <v>73.83</v>
      </c>
      <c r="J1194" s="21">
        <f t="shared" si="18"/>
        <v>7.3590332621536626E-3</v>
      </c>
    </row>
    <row r="1195" spans="1:10" ht="30" x14ac:dyDescent="0.25">
      <c r="A1195" s="20" t="s">
        <v>149</v>
      </c>
      <c r="B1195" s="20" t="s">
        <v>17</v>
      </c>
      <c r="C1195" s="20" t="s">
        <v>8</v>
      </c>
      <c r="D1195" s="20" t="s">
        <v>9</v>
      </c>
      <c r="E1195" s="20" t="s">
        <v>15</v>
      </c>
      <c r="F1195" s="20">
        <v>1097.7746549999999</v>
      </c>
      <c r="G1195" s="11">
        <f>VLOOKUP(A1195,'Operational Data'!$A$2:$E$201,3,FALSE)</f>
        <v>49885</v>
      </c>
      <c r="H1195" s="11">
        <f>VLOOKUP(A1195,'Operational Data'!$A$2:$E$201,4,FALSE)</f>
        <v>6845.46</v>
      </c>
      <c r="I1195" s="11">
        <f>VLOOKUP(A1195,'Operational Data'!$A$2:$E$201,5,FALSE)</f>
        <v>58.4</v>
      </c>
      <c r="J1195" s="21">
        <f t="shared" si="18"/>
        <v>2.2006107146436804E-2</v>
      </c>
    </row>
    <row r="1196" spans="1:10" x14ac:dyDescent="0.25">
      <c r="A1196" s="20" t="s">
        <v>41</v>
      </c>
      <c r="B1196" s="20" t="s">
        <v>30</v>
      </c>
      <c r="C1196" s="20" t="s">
        <v>8</v>
      </c>
      <c r="D1196" s="20" t="s">
        <v>9</v>
      </c>
      <c r="E1196" s="20" t="s">
        <v>15</v>
      </c>
      <c r="F1196" s="20">
        <v>3601.7124260000001</v>
      </c>
      <c r="G1196" s="11">
        <f>VLOOKUP(A1196,'Operational Data'!$A$2:$E$201,3,FALSE)</f>
        <v>61743</v>
      </c>
      <c r="H1196" s="11">
        <f>VLOOKUP(A1196,'Operational Data'!$A$2:$E$201,4,FALSE)</f>
        <v>7426.75</v>
      </c>
      <c r="I1196" s="11">
        <f>VLOOKUP(A1196,'Operational Data'!$A$2:$E$201,5,FALSE)</f>
        <v>26.39</v>
      </c>
      <c r="J1196" s="21">
        <f t="shared" si="18"/>
        <v>5.8333939491116406E-2</v>
      </c>
    </row>
    <row r="1197" spans="1:10" x14ac:dyDescent="0.25">
      <c r="A1197" s="20" t="s">
        <v>130</v>
      </c>
      <c r="B1197" s="20" t="s">
        <v>12</v>
      </c>
      <c r="C1197" s="20" t="s">
        <v>23</v>
      </c>
      <c r="D1197" s="20" t="s">
        <v>14</v>
      </c>
      <c r="E1197" s="20" t="s">
        <v>15</v>
      </c>
      <c r="F1197" s="20">
        <v>4661.5</v>
      </c>
      <c r="G1197" s="11">
        <f>VLOOKUP(A1197,'Operational Data'!$A$2:$E$201,3,FALSE)</f>
        <v>82332</v>
      </c>
      <c r="H1197" s="11">
        <f>VLOOKUP(A1197,'Operational Data'!$A$2:$E$201,4,FALSE)</f>
        <v>7134.86</v>
      </c>
      <c r="I1197" s="11">
        <f>VLOOKUP(A1197,'Operational Data'!$A$2:$E$201,5,FALSE)</f>
        <v>22.44</v>
      </c>
      <c r="J1197" s="21">
        <f t="shared" si="18"/>
        <v>5.6618325802847008E-2</v>
      </c>
    </row>
    <row r="1198" spans="1:10" x14ac:dyDescent="0.25">
      <c r="A1198" s="20" t="s">
        <v>25</v>
      </c>
      <c r="B1198" s="20" t="s">
        <v>19</v>
      </c>
      <c r="C1198" s="20" t="s">
        <v>23</v>
      </c>
      <c r="D1198" s="20" t="s">
        <v>14</v>
      </c>
      <c r="E1198" s="20" t="s">
        <v>10</v>
      </c>
      <c r="F1198" s="20">
        <v>4163.95</v>
      </c>
      <c r="G1198" s="11">
        <f>VLOOKUP(A1198,'Operational Data'!$A$2:$E$201,3,FALSE)</f>
        <v>95306</v>
      </c>
      <c r="H1198" s="11">
        <f>VLOOKUP(A1198,'Operational Data'!$A$2:$E$201,4,FALSE)</f>
        <v>9037.76</v>
      </c>
      <c r="I1198" s="11">
        <f>VLOOKUP(A1198,'Operational Data'!$A$2:$E$201,5,FALSE)</f>
        <v>13.35</v>
      </c>
      <c r="J1198" s="21">
        <f t="shared" si="18"/>
        <v>4.3690323799131216E-2</v>
      </c>
    </row>
    <row r="1199" spans="1:10" x14ac:dyDescent="0.25">
      <c r="A1199" s="20" t="s">
        <v>40</v>
      </c>
      <c r="B1199" s="20" t="s">
        <v>19</v>
      </c>
      <c r="C1199" s="20" t="s">
        <v>23</v>
      </c>
      <c r="D1199" s="20" t="s">
        <v>14</v>
      </c>
      <c r="E1199" s="20" t="s">
        <v>15</v>
      </c>
      <c r="F1199" s="20">
        <v>2018.59</v>
      </c>
      <c r="G1199" s="11">
        <f>VLOOKUP(A1199,'Operational Data'!$A$2:$E$201,3,FALSE)</f>
        <v>96474</v>
      </c>
      <c r="H1199" s="11">
        <f>VLOOKUP(A1199,'Operational Data'!$A$2:$E$201,4,FALSE)</f>
        <v>7574.39</v>
      </c>
      <c r="I1199" s="11">
        <f>VLOOKUP(A1199,'Operational Data'!$A$2:$E$201,5,FALSE)</f>
        <v>95.54</v>
      </c>
      <c r="J1199" s="21">
        <f t="shared" si="18"/>
        <v>2.0923668553185313E-2</v>
      </c>
    </row>
    <row r="1200" spans="1:10" x14ac:dyDescent="0.25">
      <c r="A1200" s="20" t="s">
        <v>118</v>
      </c>
      <c r="B1200" s="20" t="s">
        <v>30</v>
      </c>
      <c r="C1200" s="20" t="s">
        <v>13</v>
      </c>
      <c r="D1200" s="20" t="s">
        <v>28</v>
      </c>
      <c r="E1200" s="20" t="s">
        <v>10</v>
      </c>
      <c r="F1200" s="20">
        <v>1373.09</v>
      </c>
      <c r="G1200" s="11">
        <f>VLOOKUP(A1200,'Operational Data'!$A$2:$E$201,3,FALSE)</f>
        <v>68492</v>
      </c>
      <c r="H1200" s="11">
        <f>VLOOKUP(A1200,'Operational Data'!$A$2:$E$201,4,FALSE)</f>
        <v>3533.88</v>
      </c>
      <c r="I1200" s="11">
        <f>VLOOKUP(A1200,'Operational Data'!$A$2:$E$201,5,FALSE)</f>
        <v>52.99</v>
      </c>
      <c r="J1200" s="21">
        <f t="shared" si="18"/>
        <v>2.0047450797173391E-2</v>
      </c>
    </row>
    <row r="1201" spans="1:10" x14ac:dyDescent="0.25">
      <c r="A1201" s="20" t="s">
        <v>65</v>
      </c>
      <c r="B1201" s="20" t="s">
        <v>30</v>
      </c>
      <c r="C1201" s="20" t="s">
        <v>13</v>
      </c>
      <c r="D1201" s="20" t="s">
        <v>14</v>
      </c>
      <c r="E1201" s="20" t="s">
        <v>10</v>
      </c>
      <c r="F1201" s="20">
        <v>1419.59</v>
      </c>
      <c r="G1201" s="11">
        <f>VLOOKUP(A1201,'Operational Data'!$A$2:$E$201,3,FALSE)</f>
        <v>99026</v>
      </c>
      <c r="H1201" s="11">
        <f>VLOOKUP(A1201,'Operational Data'!$A$2:$E$201,4,FALSE)</f>
        <v>5453.2</v>
      </c>
      <c r="I1201" s="11">
        <f>VLOOKUP(A1201,'Operational Data'!$A$2:$E$201,5,FALSE)</f>
        <v>57.49</v>
      </c>
      <c r="J1201" s="21">
        <f t="shared" si="18"/>
        <v>1.4335528043140184E-2</v>
      </c>
    </row>
    <row r="1202" spans="1:10" x14ac:dyDescent="0.25">
      <c r="A1202" s="20" t="s">
        <v>47</v>
      </c>
      <c r="B1202" s="20" t="s">
        <v>30</v>
      </c>
      <c r="C1202" s="20" t="s">
        <v>34</v>
      </c>
      <c r="D1202" s="20" t="s">
        <v>14</v>
      </c>
      <c r="E1202" s="20" t="s">
        <v>24</v>
      </c>
      <c r="F1202" s="20">
        <v>3946.93</v>
      </c>
      <c r="G1202" s="11">
        <f>VLOOKUP(A1202,'Operational Data'!$A$2:$E$201,3,FALSE)</f>
        <v>53661</v>
      </c>
      <c r="H1202" s="11">
        <f>VLOOKUP(A1202,'Operational Data'!$A$2:$E$201,4,FALSE)</f>
        <v>6965.81</v>
      </c>
      <c r="I1202" s="11">
        <f>VLOOKUP(A1202,'Operational Data'!$A$2:$E$201,5,FALSE)</f>
        <v>69.400000000000006</v>
      </c>
      <c r="J1202" s="21">
        <f t="shared" si="18"/>
        <v>7.355304597379847E-2</v>
      </c>
    </row>
    <row r="1203" spans="1:10" x14ac:dyDescent="0.25">
      <c r="A1203" s="20" t="s">
        <v>32</v>
      </c>
      <c r="B1203" s="20" t="s">
        <v>7</v>
      </c>
      <c r="C1203" s="20" t="s">
        <v>34</v>
      </c>
      <c r="D1203" s="20" t="s">
        <v>14</v>
      </c>
      <c r="E1203" s="20" t="s">
        <v>24</v>
      </c>
      <c r="F1203" s="20">
        <v>685.73</v>
      </c>
      <c r="G1203" s="11">
        <f>VLOOKUP(A1203,'Operational Data'!$A$2:$E$201,3,FALSE)</f>
        <v>10933</v>
      </c>
      <c r="H1203" s="11">
        <f>VLOOKUP(A1203,'Operational Data'!$A$2:$E$201,4,FALSE)</f>
        <v>9004.3700000000008</v>
      </c>
      <c r="I1203" s="11">
        <f>VLOOKUP(A1203,'Operational Data'!$A$2:$E$201,5,FALSE)</f>
        <v>26.84</v>
      </c>
      <c r="J1203" s="21">
        <f t="shared" si="18"/>
        <v>6.2721119546327628E-2</v>
      </c>
    </row>
    <row r="1204" spans="1:10" x14ac:dyDescent="0.25">
      <c r="A1204" s="20" t="s">
        <v>108</v>
      </c>
      <c r="B1204" s="20" t="s">
        <v>7</v>
      </c>
      <c r="C1204" s="20" t="s">
        <v>8</v>
      </c>
      <c r="D1204" s="20" t="s">
        <v>14</v>
      </c>
      <c r="E1204" s="20" t="s">
        <v>10</v>
      </c>
      <c r="F1204" s="20">
        <v>4879.25</v>
      </c>
      <c r="G1204" s="11">
        <f>VLOOKUP(A1204,'Operational Data'!$A$2:$E$201,3,FALSE)</f>
        <v>22201</v>
      </c>
      <c r="H1204" s="11">
        <f>VLOOKUP(A1204,'Operational Data'!$A$2:$E$201,4,FALSE)</f>
        <v>2853.66</v>
      </c>
      <c r="I1204" s="11">
        <f>VLOOKUP(A1204,'Operational Data'!$A$2:$E$201,5,FALSE)</f>
        <v>71.94</v>
      </c>
      <c r="J1204" s="21">
        <f t="shared" si="18"/>
        <v>0.21977613621008063</v>
      </c>
    </row>
    <row r="1205" spans="1:10" x14ac:dyDescent="0.25">
      <c r="A1205" s="20" t="s">
        <v>64</v>
      </c>
      <c r="B1205" s="20" t="s">
        <v>30</v>
      </c>
      <c r="C1205" s="20" t="s">
        <v>8</v>
      </c>
      <c r="D1205" s="20" t="s">
        <v>9</v>
      </c>
      <c r="E1205" s="20" t="s">
        <v>10</v>
      </c>
      <c r="F1205" s="20">
        <v>3667.49</v>
      </c>
      <c r="G1205" s="11">
        <f>VLOOKUP(A1205,'Operational Data'!$A$2:$E$201,3,FALSE)</f>
        <v>52836</v>
      </c>
      <c r="H1205" s="11">
        <f>VLOOKUP(A1205,'Operational Data'!$A$2:$E$201,4,FALSE)</f>
        <v>9330.2999999999993</v>
      </c>
      <c r="I1205" s="11">
        <f>VLOOKUP(A1205,'Operational Data'!$A$2:$E$201,5,FALSE)</f>
        <v>87.27</v>
      </c>
      <c r="J1205" s="21">
        <f t="shared" si="18"/>
        <v>6.9412711030358079E-2</v>
      </c>
    </row>
    <row r="1206" spans="1:10" x14ac:dyDescent="0.25">
      <c r="A1206" s="20" t="s">
        <v>150</v>
      </c>
      <c r="B1206" s="20" t="s">
        <v>30</v>
      </c>
      <c r="C1206" s="20" t="s">
        <v>13</v>
      </c>
      <c r="D1206" s="20" t="s">
        <v>28</v>
      </c>
      <c r="E1206" s="20" t="s">
        <v>15</v>
      </c>
      <c r="F1206" s="20">
        <v>1085.32</v>
      </c>
      <c r="G1206" s="11">
        <f>VLOOKUP(A1206,'Operational Data'!$A$2:$E$201,3,FALSE)</f>
        <v>98356</v>
      </c>
      <c r="H1206" s="11">
        <f>VLOOKUP(A1206,'Operational Data'!$A$2:$E$201,4,FALSE)</f>
        <v>6968.69</v>
      </c>
      <c r="I1206" s="11">
        <f>VLOOKUP(A1206,'Operational Data'!$A$2:$E$201,5,FALSE)</f>
        <v>81.72</v>
      </c>
      <c r="J1206" s="21">
        <f t="shared" si="18"/>
        <v>1.1034608971491316E-2</v>
      </c>
    </row>
    <row r="1207" spans="1:10" x14ac:dyDescent="0.25">
      <c r="A1207" s="20" t="s">
        <v>175</v>
      </c>
      <c r="B1207" s="20" t="s">
        <v>7</v>
      </c>
      <c r="C1207" s="20" t="s">
        <v>23</v>
      </c>
      <c r="D1207" s="20" t="s">
        <v>14</v>
      </c>
      <c r="E1207" s="20" t="s">
        <v>10</v>
      </c>
      <c r="F1207" s="20">
        <v>4510.42</v>
      </c>
      <c r="G1207" s="11">
        <f>VLOOKUP(A1207,'Operational Data'!$A$2:$E$201,3,FALSE)</f>
        <v>83923</v>
      </c>
      <c r="H1207" s="11">
        <f>VLOOKUP(A1207,'Operational Data'!$A$2:$E$201,4,FALSE)</f>
        <v>8768.7999999999993</v>
      </c>
      <c r="I1207" s="11">
        <f>VLOOKUP(A1207,'Operational Data'!$A$2:$E$201,5,FALSE)</f>
        <v>65.290000000000006</v>
      </c>
      <c r="J1207" s="21">
        <f t="shared" si="18"/>
        <v>5.3744742204163344E-2</v>
      </c>
    </row>
    <row r="1208" spans="1:10" x14ac:dyDescent="0.25">
      <c r="A1208" s="20" t="s">
        <v>84</v>
      </c>
      <c r="B1208" s="20" t="s">
        <v>30</v>
      </c>
      <c r="C1208" s="20" t="s">
        <v>34</v>
      </c>
      <c r="D1208" s="20" t="s">
        <v>14</v>
      </c>
      <c r="E1208" s="20" t="s">
        <v>24</v>
      </c>
      <c r="F1208" s="20">
        <v>499.33</v>
      </c>
      <c r="G1208" s="11">
        <f>VLOOKUP(A1208,'Operational Data'!$A$2:$E$201,3,FALSE)</f>
        <v>85444</v>
      </c>
      <c r="H1208" s="11">
        <f>VLOOKUP(A1208,'Operational Data'!$A$2:$E$201,4,FALSE)</f>
        <v>852.57</v>
      </c>
      <c r="I1208" s="11">
        <f>VLOOKUP(A1208,'Operational Data'!$A$2:$E$201,5,FALSE)</f>
        <v>72.650000000000006</v>
      </c>
      <c r="J1208" s="21">
        <f t="shared" si="18"/>
        <v>5.8439445718833386E-3</v>
      </c>
    </row>
    <row r="1209" spans="1:10" x14ac:dyDescent="0.25">
      <c r="A1209" s="20" t="s">
        <v>153</v>
      </c>
      <c r="B1209" s="20" t="s">
        <v>7</v>
      </c>
      <c r="C1209" s="20" t="s">
        <v>8</v>
      </c>
      <c r="D1209" s="20" t="s">
        <v>9</v>
      </c>
      <c r="E1209" s="20" t="s">
        <v>15</v>
      </c>
      <c r="F1209" s="20">
        <v>1951.9222400000001</v>
      </c>
      <c r="G1209" s="11">
        <f>VLOOKUP(A1209,'Operational Data'!$A$2:$E$201,3,FALSE)</f>
        <v>21388</v>
      </c>
      <c r="H1209" s="11">
        <f>VLOOKUP(A1209,'Operational Data'!$A$2:$E$201,4,FALSE)</f>
        <v>5249.39</v>
      </c>
      <c r="I1209" s="11">
        <f>VLOOKUP(A1209,'Operational Data'!$A$2:$E$201,5,FALSE)</f>
        <v>64.2</v>
      </c>
      <c r="J1209" s="21">
        <f t="shared" si="18"/>
        <v>9.1262494856929124E-2</v>
      </c>
    </row>
    <row r="1210" spans="1:10" x14ac:dyDescent="0.25">
      <c r="A1210" s="20" t="s">
        <v>93</v>
      </c>
      <c r="B1210" s="20" t="s">
        <v>30</v>
      </c>
      <c r="C1210" s="20" t="s">
        <v>23</v>
      </c>
      <c r="D1210" s="20" t="s">
        <v>9</v>
      </c>
      <c r="E1210" s="20" t="s">
        <v>15</v>
      </c>
      <c r="F1210" s="20">
        <v>1473.5947920000001</v>
      </c>
      <c r="G1210" s="11">
        <f>VLOOKUP(A1210,'Operational Data'!$A$2:$E$201,3,FALSE)</f>
        <v>26378</v>
      </c>
      <c r="H1210" s="11">
        <f>VLOOKUP(A1210,'Operational Data'!$A$2:$E$201,4,FALSE)</f>
        <v>2915.44</v>
      </c>
      <c r="I1210" s="11">
        <f>VLOOKUP(A1210,'Operational Data'!$A$2:$E$201,5,FALSE)</f>
        <v>29.84</v>
      </c>
      <c r="J1210" s="21">
        <f t="shared" si="18"/>
        <v>5.5864538327394041E-2</v>
      </c>
    </row>
    <row r="1211" spans="1:10" x14ac:dyDescent="0.25">
      <c r="A1211" s="20" t="s">
        <v>97</v>
      </c>
      <c r="B1211" s="20" t="s">
        <v>7</v>
      </c>
      <c r="C1211" s="20" t="s">
        <v>13</v>
      </c>
      <c r="D1211" s="20" t="s">
        <v>14</v>
      </c>
      <c r="E1211" s="20" t="s">
        <v>15</v>
      </c>
      <c r="F1211" s="20">
        <v>3545.05</v>
      </c>
      <c r="G1211" s="11">
        <f>VLOOKUP(A1211,'Operational Data'!$A$2:$E$201,3,FALSE)</f>
        <v>78624</v>
      </c>
      <c r="H1211" s="11">
        <f>VLOOKUP(A1211,'Operational Data'!$A$2:$E$201,4,FALSE)</f>
        <v>2373.27</v>
      </c>
      <c r="I1211" s="11">
        <f>VLOOKUP(A1211,'Operational Data'!$A$2:$E$201,5,FALSE)</f>
        <v>25.07</v>
      </c>
      <c r="J1211" s="21">
        <f t="shared" si="18"/>
        <v>4.5088649776149778E-2</v>
      </c>
    </row>
    <row r="1212" spans="1:10" x14ac:dyDescent="0.25">
      <c r="A1212" s="20" t="s">
        <v>115</v>
      </c>
      <c r="B1212" s="20" t="s">
        <v>19</v>
      </c>
      <c r="C1212" s="20" t="s">
        <v>34</v>
      </c>
      <c r="D1212" s="20" t="s">
        <v>28</v>
      </c>
      <c r="E1212" s="20" t="s">
        <v>24</v>
      </c>
      <c r="F1212" s="20">
        <v>84.78</v>
      </c>
      <c r="G1212" s="11">
        <f>VLOOKUP(A1212,'Operational Data'!$A$2:$E$201,3,FALSE)</f>
        <v>17162</v>
      </c>
      <c r="H1212" s="11">
        <f>VLOOKUP(A1212,'Operational Data'!$A$2:$E$201,4,FALSE)</f>
        <v>5079.95</v>
      </c>
      <c r="I1212" s="11">
        <f>VLOOKUP(A1212,'Operational Data'!$A$2:$E$201,5,FALSE)</f>
        <v>19.239999999999998</v>
      </c>
      <c r="J1212" s="21">
        <f t="shared" si="18"/>
        <v>4.9399836848852113E-3</v>
      </c>
    </row>
    <row r="1213" spans="1:10" x14ac:dyDescent="0.25">
      <c r="A1213" s="20" t="s">
        <v>102</v>
      </c>
      <c r="B1213" s="20" t="s">
        <v>19</v>
      </c>
      <c r="C1213" s="20" t="s">
        <v>23</v>
      </c>
      <c r="D1213" s="20" t="s">
        <v>28</v>
      </c>
      <c r="E1213" s="20" t="s">
        <v>10</v>
      </c>
      <c r="F1213" s="20">
        <v>1941.65</v>
      </c>
      <c r="G1213" s="11">
        <f>VLOOKUP(A1213,'Operational Data'!$A$2:$E$201,3,FALSE)</f>
        <v>86263</v>
      </c>
      <c r="H1213" s="11">
        <f>VLOOKUP(A1213,'Operational Data'!$A$2:$E$201,4,FALSE)</f>
        <v>3213.71</v>
      </c>
      <c r="I1213" s="11">
        <f>VLOOKUP(A1213,'Operational Data'!$A$2:$E$201,5,FALSE)</f>
        <v>98.39</v>
      </c>
      <c r="J1213" s="21">
        <f t="shared" si="18"/>
        <v>2.2508491473748886E-2</v>
      </c>
    </row>
    <row r="1214" spans="1:10" x14ac:dyDescent="0.25">
      <c r="A1214" s="20" t="s">
        <v>191</v>
      </c>
      <c r="B1214" s="20" t="s">
        <v>12</v>
      </c>
      <c r="C1214" s="20" t="s">
        <v>34</v>
      </c>
      <c r="D1214" s="20" t="s">
        <v>14</v>
      </c>
      <c r="E1214" s="20" t="s">
        <v>10</v>
      </c>
      <c r="F1214" s="20">
        <v>2646.36</v>
      </c>
      <c r="G1214" s="11">
        <f>VLOOKUP(A1214,'Operational Data'!$A$2:$E$201,3,FALSE)</f>
        <v>43346</v>
      </c>
      <c r="H1214" s="11">
        <f>VLOOKUP(A1214,'Operational Data'!$A$2:$E$201,4,FALSE)</f>
        <v>5559.12</v>
      </c>
      <c r="I1214" s="11">
        <f>VLOOKUP(A1214,'Operational Data'!$A$2:$E$201,5,FALSE)</f>
        <v>39.4</v>
      </c>
      <c r="J1214" s="21">
        <f t="shared" si="18"/>
        <v>6.1052000184561438E-2</v>
      </c>
    </row>
    <row r="1215" spans="1:10" x14ac:dyDescent="0.25">
      <c r="A1215" s="20" t="s">
        <v>101</v>
      </c>
      <c r="B1215" s="20" t="s">
        <v>19</v>
      </c>
      <c r="C1215" s="20" t="s">
        <v>23</v>
      </c>
      <c r="D1215" s="20" t="s">
        <v>9</v>
      </c>
      <c r="E1215" s="20" t="s">
        <v>24</v>
      </c>
      <c r="F1215" s="20">
        <v>1257.0845320000001</v>
      </c>
      <c r="G1215" s="11">
        <f>VLOOKUP(A1215,'Operational Data'!$A$2:$E$201,3,FALSE)</f>
        <v>39050</v>
      </c>
      <c r="H1215" s="11">
        <f>VLOOKUP(A1215,'Operational Data'!$A$2:$E$201,4,FALSE)</f>
        <v>5885.73</v>
      </c>
      <c r="I1215" s="11">
        <f>VLOOKUP(A1215,'Operational Data'!$A$2:$E$201,5,FALSE)</f>
        <v>93.04</v>
      </c>
      <c r="J1215" s="21">
        <f t="shared" si="18"/>
        <v>3.2191665352112681E-2</v>
      </c>
    </row>
    <row r="1216" spans="1:10" x14ac:dyDescent="0.25">
      <c r="A1216" s="20" t="s">
        <v>49</v>
      </c>
      <c r="B1216" s="20" t="s">
        <v>19</v>
      </c>
      <c r="C1216" s="20" t="s">
        <v>13</v>
      </c>
      <c r="D1216" s="20" t="s">
        <v>14</v>
      </c>
      <c r="E1216" s="20" t="s">
        <v>10</v>
      </c>
      <c r="F1216" s="20">
        <v>4445.1499999999996</v>
      </c>
      <c r="G1216" s="11">
        <f>VLOOKUP(A1216,'Operational Data'!$A$2:$E$201,3,FALSE)</f>
        <v>50306</v>
      </c>
      <c r="H1216" s="11">
        <f>VLOOKUP(A1216,'Operational Data'!$A$2:$E$201,4,FALSE)</f>
        <v>7031.37</v>
      </c>
      <c r="I1216" s="11">
        <f>VLOOKUP(A1216,'Operational Data'!$A$2:$E$201,5,FALSE)</f>
        <v>13.27</v>
      </c>
      <c r="J1216" s="21">
        <f t="shared" si="18"/>
        <v>8.8362223194052389E-2</v>
      </c>
    </row>
    <row r="1217" spans="1:10" x14ac:dyDescent="0.25">
      <c r="A1217" s="20" t="s">
        <v>84</v>
      </c>
      <c r="B1217" s="20" t="s">
        <v>30</v>
      </c>
      <c r="C1217" s="20" t="s">
        <v>13</v>
      </c>
      <c r="D1217" s="20" t="s">
        <v>28</v>
      </c>
      <c r="E1217" s="20" t="s">
        <v>15</v>
      </c>
      <c r="F1217" s="20">
        <v>3717.99</v>
      </c>
      <c r="G1217" s="11">
        <f>VLOOKUP(A1217,'Operational Data'!$A$2:$E$201,3,FALSE)</f>
        <v>85444</v>
      </c>
      <c r="H1217" s="11">
        <f>VLOOKUP(A1217,'Operational Data'!$A$2:$E$201,4,FALSE)</f>
        <v>852.57</v>
      </c>
      <c r="I1217" s="11">
        <f>VLOOKUP(A1217,'Operational Data'!$A$2:$E$201,5,FALSE)</f>
        <v>72.650000000000006</v>
      </c>
      <c r="J1217" s="21">
        <f t="shared" si="18"/>
        <v>4.3513763400589857E-2</v>
      </c>
    </row>
    <row r="1218" spans="1:10" x14ac:dyDescent="0.25">
      <c r="A1218" s="20" t="s">
        <v>196</v>
      </c>
      <c r="B1218" s="20" t="s">
        <v>30</v>
      </c>
      <c r="C1218" s="20" t="s">
        <v>23</v>
      </c>
      <c r="D1218" s="20" t="s">
        <v>9</v>
      </c>
      <c r="E1218" s="20" t="s">
        <v>24</v>
      </c>
      <c r="F1218" s="20">
        <v>4588.6389289999997</v>
      </c>
      <c r="G1218" s="11">
        <f>VLOOKUP(A1218,'Operational Data'!$A$2:$E$201,3,FALSE)</f>
        <v>12262</v>
      </c>
      <c r="H1218" s="11">
        <f>VLOOKUP(A1218,'Operational Data'!$A$2:$E$201,4,FALSE)</f>
        <v>7106.18</v>
      </c>
      <c r="I1218" s="11">
        <f>VLOOKUP(A1218,'Operational Data'!$A$2:$E$201,5,FALSE)</f>
        <v>45.69</v>
      </c>
      <c r="J1218" s="21">
        <f t="shared" si="18"/>
        <v>0.37421619058881095</v>
      </c>
    </row>
    <row r="1219" spans="1:10" x14ac:dyDescent="0.25">
      <c r="A1219" s="20" t="s">
        <v>161</v>
      </c>
      <c r="B1219" s="20" t="s">
        <v>7</v>
      </c>
      <c r="C1219" s="20" t="s">
        <v>8</v>
      </c>
      <c r="D1219" s="20" t="s">
        <v>9</v>
      </c>
      <c r="E1219" s="20" t="s">
        <v>10</v>
      </c>
      <c r="F1219" s="20">
        <v>1806.876945</v>
      </c>
      <c r="G1219" s="11">
        <f>VLOOKUP(A1219,'Operational Data'!$A$2:$E$201,3,FALSE)</f>
        <v>15788</v>
      </c>
      <c r="H1219" s="11">
        <f>VLOOKUP(A1219,'Operational Data'!$A$2:$E$201,4,FALSE)</f>
        <v>1824.14</v>
      </c>
      <c r="I1219" s="11">
        <f>VLOOKUP(A1219,'Operational Data'!$A$2:$E$201,5,FALSE)</f>
        <v>52.78</v>
      </c>
      <c r="J1219" s="21">
        <f t="shared" ref="J1219:J1282" si="19">F1219/G1219</f>
        <v>0.11444622149733975</v>
      </c>
    </row>
    <row r="1220" spans="1:10" ht="30" x14ac:dyDescent="0.25">
      <c r="A1220" s="20" t="s">
        <v>83</v>
      </c>
      <c r="B1220" s="20" t="s">
        <v>17</v>
      </c>
      <c r="C1220" s="20" t="s">
        <v>8</v>
      </c>
      <c r="D1220" s="20" t="s">
        <v>9</v>
      </c>
      <c r="E1220" s="20" t="s">
        <v>15</v>
      </c>
      <c r="F1220" s="20">
        <v>1893.445913</v>
      </c>
      <c r="G1220" s="11">
        <f>VLOOKUP(A1220,'Operational Data'!$A$2:$E$201,3,FALSE)</f>
        <v>30934</v>
      </c>
      <c r="H1220" s="11">
        <f>VLOOKUP(A1220,'Operational Data'!$A$2:$E$201,4,FALSE)</f>
        <v>4175.6499999999996</v>
      </c>
      <c r="I1220" s="11">
        <f>VLOOKUP(A1220,'Operational Data'!$A$2:$E$201,5,FALSE)</f>
        <v>77.290000000000006</v>
      </c>
      <c r="J1220" s="21">
        <f t="shared" si="19"/>
        <v>6.120921681644792E-2</v>
      </c>
    </row>
    <row r="1221" spans="1:10" x14ac:dyDescent="0.25">
      <c r="A1221" s="20" t="s">
        <v>87</v>
      </c>
      <c r="B1221" s="20" t="s">
        <v>12</v>
      </c>
      <c r="C1221" s="20" t="s">
        <v>23</v>
      </c>
      <c r="D1221" s="20" t="s">
        <v>28</v>
      </c>
      <c r="E1221" s="20" t="s">
        <v>15</v>
      </c>
      <c r="F1221" s="20">
        <v>2906.15</v>
      </c>
      <c r="G1221" s="11">
        <f>VLOOKUP(A1221,'Operational Data'!$A$2:$E$201,3,FALSE)</f>
        <v>15333</v>
      </c>
      <c r="H1221" s="11">
        <f>VLOOKUP(A1221,'Operational Data'!$A$2:$E$201,4,FALSE)</f>
        <v>2570.54</v>
      </c>
      <c r="I1221" s="11">
        <f>VLOOKUP(A1221,'Operational Data'!$A$2:$E$201,5,FALSE)</f>
        <v>41.07</v>
      </c>
      <c r="J1221" s="21">
        <f t="shared" si="19"/>
        <v>0.18953564207917564</v>
      </c>
    </row>
    <row r="1222" spans="1:10" ht="30" x14ac:dyDescent="0.25">
      <c r="A1222" s="20" t="s">
        <v>205</v>
      </c>
      <c r="B1222" s="20" t="s">
        <v>17</v>
      </c>
      <c r="C1222" s="20" t="s">
        <v>23</v>
      </c>
      <c r="D1222" s="20" t="s">
        <v>9</v>
      </c>
      <c r="E1222" s="20" t="s">
        <v>10</v>
      </c>
      <c r="F1222" s="20">
        <v>4352.6233110000003</v>
      </c>
      <c r="G1222" s="11">
        <f>VLOOKUP(A1222,'Operational Data'!$A$2:$E$201,3,FALSE)</f>
        <v>52594</v>
      </c>
      <c r="H1222" s="11">
        <f>VLOOKUP(A1222,'Operational Data'!$A$2:$E$201,4,FALSE)</f>
        <v>8715.0400000000009</v>
      </c>
      <c r="I1222" s="11">
        <f>VLOOKUP(A1222,'Operational Data'!$A$2:$E$201,5,FALSE)</f>
        <v>90.54</v>
      </c>
      <c r="J1222" s="21">
        <f t="shared" si="19"/>
        <v>8.2758932787009937E-2</v>
      </c>
    </row>
    <row r="1223" spans="1:10" x14ac:dyDescent="0.25">
      <c r="A1223" s="20" t="s">
        <v>40</v>
      </c>
      <c r="B1223" s="20" t="s">
        <v>19</v>
      </c>
      <c r="C1223" s="20" t="s">
        <v>8</v>
      </c>
      <c r="D1223" s="20" t="s">
        <v>14</v>
      </c>
      <c r="E1223" s="20" t="s">
        <v>10</v>
      </c>
      <c r="F1223" s="20">
        <v>750.01</v>
      </c>
      <c r="G1223" s="11">
        <f>VLOOKUP(A1223,'Operational Data'!$A$2:$E$201,3,FALSE)</f>
        <v>96474</v>
      </c>
      <c r="H1223" s="11">
        <f>VLOOKUP(A1223,'Operational Data'!$A$2:$E$201,4,FALSE)</f>
        <v>7574.39</v>
      </c>
      <c r="I1223" s="11">
        <f>VLOOKUP(A1223,'Operational Data'!$A$2:$E$201,5,FALSE)</f>
        <v>95.54</v>
      </c>
      <c r="J1223" s="21">
        <f t="shared" si="19"/>
        <v>7.7742189605489558E-3</v>
      </c>
    </row>
    <row r="1224" spans="1:10" x14ac:dyDescent="0.25">
      <c r="A1224" s="20" t="s">
        <v>78</v>
      </c>
      <c r="B1224" s="20" t="s">
        <v>7</v>
      </c>
      <c r="C1224" s="20" t="s">
        <v>13</v>
      </c>
      <c r="D1224" s="20" t="s">
        <v>28</v>
      </c>
      <c r="E1224" s="20" t="s">
        <v>15</v>
      </c>
      <c r="F1224" s="20">
        <v>1435.13</v>
      </c>
      <c r="G1224" s="11">
        <f>VLOOKUP(A1224,'Operational Data'!$A$2:$E$201,3,FALSE)</f>
        <v>86557</v>
      </c>
      <c r="H1224" s="11">
        <f>VLOOKUP(A1224,'Operational Data'!$A$2:$E$201,4,FALSE)</f>
        <v>8631.2800000000007</v>
      </c>
      <c r="I1224" s="11">
        <f>VLOOKUP(A1224,'Operational Data'!$A$2:$E$201,5,FALSE)</f>
        <v>69.53</v>
      </c>
      <c r="J1224" s="21">
        <f t="shared" si="19"/>
        <v>1.6580172603024596E-2</v>
      </c>
    </row>
    <row r="1225" spans="1:10" x14ac:dyDescent="0.25">
      <c r="A1225" s="20" t="s">
        <v>181</v>
      </c>
      <c r="B1225" s="20" t="s">
        <v>30</v>
      </c>
      <c r="C1225" s="20" t="s">
        <v>13</v>
      </c>
      <c r="D1225" s="20" t="s">
        <v>14</v>
      </c>
      <c r="E1225" s="20" t="s">
        <v>24</v>
      </c>
      <c r="F1225" s="20">
        <v>3346.28</v>
      </c>
      <c r="G1225" s="11">
        <f>VLOOKUP(A1225,'Operational Data'!$A$2:$E$201,3,FALSE)</f>
        <v>28704</v>
      </c>
      <c r="H1225" s="11">
        <f>VLOOKUP(A1225,'Operational Data'!$A$2:$E$201,4,FALSE)</f>
        <v>6009.24</v>
      </c>
      <c r="I1225" s="11">
        <f>VLOOKUP(A1225,'Operational Data'!$A$2:$E$201,5,FALSE)</f>
        <v>39.31</v>
      </c>
      <c r="J1225" s="21">
        <f t="shared" si="19"/>
        <v>0.1165788740245262</v>
      </c>
    </row>
    <row r="1226" spans="1:10" x14ac:dyDescent="0.25">
      <c r="A1226" s="20" t="s">
        <v>74</v>
      </c>
      <c r="B1226" s="20" t="s">
        <v>19</v>
      </c>
      <c r="C1226" s="20" t="s">
        <v>8</v>
      </c>
      <c r="D1226" s="20" t="s">
        <v>9</v>
      </c>
      <c r="E1226" s="20" t="s">
        <v>15</v>
      </c>
      <c r="F1226" s="20">
        <v>3975.6861549999999</v>
      </c>
      <c r="G1226" s="11">
        <f>VLOOKUP(A1226,'Operational Data'!$A$2:$E$201,3,FALSE)</f>
        <v>18175</v>
      </c>
      <c r="H1226" s="11">
        <f>VLOOKUP(A1226,'Operational Data'!$A$2:$E$201,4,FALSE)</f>
        <v>8349.49</v>
      </c>
      <c r="I1226" s="11">
        <f>VLOOKUP(A1226,'Operational Data'!$A$2:$E$201,5,FALSE)</f>
        <v>39.97</v>
      </c>
      <c r="J1226" s="21">
        <f t="shared" si="19"/>
        <v>0.21874476781292984</v>
      </c>
    </row>
    <row r="1227" spans="1:10" x14ac:dyDescent="0.25">
      <c r="A1227" s="20" t="s">
        <v>88</v>
      </c>
      <c r="B1227" s="20" t="s">
        <v>7</v>
      </c>
      <c r="C1227" s="20" t="s">
        <v>23</v>
      </c>
      <c r="D1227" s="20" t="s">
        <v>14</v>
      </c>
      <c r="E1227" s="20" t="s">
        <v>24</v>
      </c>
      <c r="F1227" s="20">
        <v>3453.13</v>
      </c>
      <c r="G1227" s="11">
        <f>VLOOKUP(A1227,'Operational Data'!$A$2:$E$201,3,FALSE)</f>
        <v>44825</v>
      </c>
      <c r="H1227" s="11">
        <f>VLOOKUP(A1227,'Operational Data'!$A$2:$E$201,4,FALSE)</f>
        <v>6023.03</v>
      </c>
      <c r="I1227" s="11">
        <f>VLOOKUP(A1227,'Operational Data'!$A$2:$E$201,5,FALSE)</f>
        <v>27.2</v>
      </c>
      <c r="J1227" s="21">
        <f t="shared" si="19"/>
        <v>7.7035805911879529E-2</v>
      </c>
    </row>
    <row r="1228" spans="1:10" x14ac:dyDescent="0.25">
      <c r="A1228" s="20" t="s">
        <v>151</v>
      </c>
      <c r="B1228" s="20" t="s">
        <v>12</v>
      </c>
      <c r="C1228" s="20" t="s">
        <v>34</v>
      </c>
      <c r="D1228" s="20" t="s">
        <v>9</v>
      </c>
      <c r="E1228" s="20" t="s">
        <v>24</v>
      </c>
      <c r="F1228" s="20">
        <v>626.03</v>
      </c>
      <c r="G1228" s="11">
        <f>VLOOKUP(A1228,'Operational Data'!$A$2:$E$201,3,FALSE)</f>
        <v>61207</v>
      </c>
      <c r="H1228" s="11">
        <f>VLOOKUP(A1228,'Operational Data'!$A$2:$E$201,4,FALSE)</f>
        <v>6922.33</v>
      </c>
      <c r="I1228" s="11">
        <f>VLOOKUP(A1228,'Operational Data'!$A$2:$E$201,5,FALSE)</f>
        <v>9.1999999999999993</v>
      </c>
      <c r="J1228" s="21">
        <f t="shared" si="19"/>
        <v>1.0228078487754668E-2</v>
      </c>
    </row>
    <row r="1229" spans="1:10" x14ac:dyDescent="0.25">
      <c r="A1229" s="20" t="s">
        <v>123</v>
      </c>
      <c r="B1229" s="20" t="s">
        <v>30</v>
      </c>
      <c r="C1229" s="20" t="s">
        <v>13</v>
      </c>
      <c r="D1229" s="20" t="s">
        <v>14</v>
      </c>
      <c r="E1229" s="20" t="s">
        <v>15</v>
      </c>
      <c r="F1229" s="20">
        <v>3255.93</v>
      </c>
      <c r="G1229" s="11">
        <f>VLOOKUP(A1229,'Operational Data'!$A$2:$E$201,3,FALSE)</f>
        <v>73977</v>
      </c>
      <c r="H1229" s="11">
        <f>VLOOKUP(A1229,'Operational Data'!$A$2:$E$201,4,FALSE)</f>
        <v>1646.75</v>
      </c>
      <c r="I1229" s="11">
        <f>VLOOKUP(A1229,'Operational Data'!$A$2:$E$201,5,FALSE)</f>
        <v>43.77</v>
      </c>
      <c r="J1229" s="21">
        <f t="shared" si="19"/>
        <v>4.401273368749746E-2</v>
      </c>
    </row>
    <row r="1230" spans="1:10" x14ac:dyDescent="0.25">
      <c r="A1230" s="20" t="s">
        <v>219</v>
      </c>
      <c r="B1230" s="20" t="s">
        <v>12</v>
      </c>
      <c r="C1230" s="20" t="s">
        <v>8</v>
      </c>
      <c r="D1230" s="20" t="s">
        <v>28</v>
      </c>
      <c r="E1230" s="20" t="s">
        <v>24</v>
      </c>
      <c r="F1230" s="20">
        <v>4437.74</v>
      </c>
      <c r="G1230" s="11">
        <f>VLOOKUP(A1230,'Operational Data'!$A$2:$E$201,3,FALSE)</f>
        <v>84524</v>
      </c>
      <c r="H1230" s="11">
        <f>VLOOKUP(A1230,'Operational Data'!$A$2:$E$201,4,FALSE)</f>
        <v>9350.11</v>
      </c>
      <c r="I1230" s="11">
        <f>VLOOKUP(A1230,'Operational Data'!$A$2:$E$201,5,FALSE)</f>
        <v>27.53</v>
      </c>
      <c r="J1230" s="21">
        <f t="shared" si="19"/>
        <v>5.2502721120628461E-2</v>
      </c>
    </row>
    <row r="1231" spans="1:10" x14ac:dyDescent="0.25">
      <c r="A1231" s="20" t="s">
        <v>62</v>
      </c>
      <c r="B1231" s="20" t="s">
        <v>30</v>
      </c>
      <c r="C1231" s="20" t="s">
        <v>23</v>
      </c>
      <c r="D1231" s="20" t="s">
        <v>28</v>
      </c>
      <c r="E1231" s="20" t="s">
        <v>10</v>
      </c>
      <c r="F1231" s="20">
        <v>1531</v>
      </c>
      <c r="G1231" s="11">
        <f>VLOOKUP(A1231,'Operational Data'!$A$2:$E$201,3,FALSE)</f>
        <v>22309</v>
      </c>
      <c r="H1231" s="11">
        <f>VLOOKUP(A1231,'Operational Data'!$A$2:$E$201,4,FALSE)</f>
        <v>3656.29</v>
      </c>
      <c r="I1231" s="11">
        <f>VLOOKUP(A1231,'Operational Data'!$A$2:$E$201,5,FALSE)</f>
        <v>75.25</v>
      </c>
      <c r="J1231" s="21">
        <f t="shared" si="19"/>
        <v>6.8627011520014339E-2</v>
      </c>
    </row>
    <row r="1232" spans="1:10" ht="30" x14ac:dyDescent="0.25">
      <c r="A1232" s="20" t="s">
        <v>142</v>
      </c>
      <c r="B1232" s="20" t="s">
        <v>17</v>
      </c>
      <c r="C1232" s="20" t="s">
        <v>8</v>
      </c>
      <c r="D1232" s="20" t="s">
        <v>28</v>
      </c>
      <c r="E1232" s="20" t="s">
        <v>24</v>
      </c>
      <c r="F1232" s="20">
        <v>3938.07</v>
      </c>
      <c r="G1232" s="11">
        <f>VLOOKUP(A1232,'Operational Data'!$A$2:$E$201,3,FALSE)</f>
        <v>75736</v>
      </c>
      <c r="H1232" s="11">
        <f>VLOOKUP(A1232,'Operational Data'!$A$2:$E$201,4,FALSE)</f>
        <v>6287.07</v>
      </c>
      <c r="I1232" s="11">
        <f>VLOOKUP(A1232,'Operational Data'!$A$2:$E$201,5,FALSE)</f>
        <v>63.11</v>
      </c>
      <c r="J1232" s="21">
        <f t="shared" si="19"/>
        <v>5.1997332840392943E-2</v>
      </c>
    </row>
    <row r="1233" spans="1:10" x14ac:dyDescent="0.25">
      <c r="A1233" s="20" t="s">
        <v>141</v>
      </c>
      <c r="B1233" s="20" t="s">
        <v>7</v>
      </c>
      <c r="C1233" s="20" t="s">
        <v>13</v>
      </c>
      <c r="D1233" s="20" t="s">
        <v>14</v>
      </c>
      <c r="E1233" s="20" t="s">
        <v>10</v>
      </c>
      <c r="F1233" s="20">
        <v>1999.93</v>
      </c>
      <c r="G1233" s="11">
        <f>VLOOKUP(A1233,'Operational Data'!$A$2:$E$201,3,FALSE)</f>
        <v>45644</v>
      </c>
      <c r="H1233" s="11">
        <f>VLOOKUP(A1233,'Operational Data'!$A$2:$E$201,4,FALSE)</f>
        <v>7724.73</v>
      </c>
      <c r="I1233" s="11">
        <f>VLOOKUP(A1233,'Operational Data'!$A$2:$E$201,5,FALSE)</f>
        <v>31</v>
      </c>
      <c r="J1233" s="21">
        <f t="shared" si="19"/>
        <v>4.3815835597230741E-2</v>
      </c>
    </row>
    <row r="1234" spans="1:10" x14ac:dyDescent="0.25">
      <c r="A1234" s="20" t="s">
        <v>214</v>
      </c>
      <c r="B1234" s="20" t="s">
        <v>30</v>
      </c>
      <c r="C1234" s="20" t="s">
        <v>13</v>
      </c>
      <c r="D1234" s="20" t="s">
        <v>9</v>
      </c>
      <c r="E1234" s="20" t="s">
        <v>15</v>
      </c>
      <c r="F1234" s="20">
        <v>379.85075039999998</v>
      </c>
      <c r="G1234" s="11">
        <f>VLOOKUP(A1234,'Operational Data'!$A$2:$E$201,3,FALSE)</f>
        <v>79330</v>
      </c>
      <c r="H1234" s="11">
        <f>VLOOKUP(A1234,'Operational Data'!$A$2:$E$201,4,FALSE)</f>
        <v>6075.23</v>
      </c>
      <c r="I1234" s="11">
        <f>VLOOKUP(A1234,'Operational Data'!$A$2:$E$201,5,FALSE)</f>
        <v>83.97</v>
      </c>
      <c r="J1234" s="21">
        <f t="shared" si="19"/>
        <v>4.7882358552880375E-3</v>
      </c>
    </row>
    <row r="1235" spans="1:10" x14ac:dyDescent="0.25">
      <c r="A1235" s="20" t="s">
        <v>55</v>
      </c>
      <c r="B1235" s="20" t="s">
        <v>12</v>
      </c>
      <c r="C1235" s="20" t="s">
        <v>13</v>
      </c>
      <c r="D1235" s="20" t="s">
        <v>9</v>
      </c>
      <c r="E1235" s="20" t="s">
        <v>24</v>
      </c>
      <c r="F1235" s="20">
        <v>4069.5413589999998</v>
      </c>
      <c r="G1235" s="11">
        <f>VLOOKUP(A1235,'Operational Data'!$A$2:$E$201,3,FALSE)</f>
        <v>38181</v>
      </c>
      <c r="H1235" s="11">
        <f>VLOOKUP(A1235,'Operational Data'!$A$2:$E$201,4,FALSE)</f>
        <v>691.84</v>
      </c>
      <c r="I1235" s="11">
        <f>VLOOKUP(A1235,'Operational Data'!$A$2:$E$201,5,FALSE)</f>
        <v>33.53</v>
      </c>
      <c r="J1235" s="21">
        <f t="shared" si="19"/>
        <v>0.10658551004426285</v>
      </c>
    </row>
    <row r="1236" spans="1:10" ht="30" x14ac:dyDescent="0.25">
      <c r="A1236" s="20" t="s">
        <v>171</v>
      </c>
      <c r="B1236" s="20" t="s">
        <v>17</v>
      </c>
      <c r="C1236" s="20" t="s">
        <v>34</v>
      </c>
      <c r="D1236" s="20" t="s">
        <v>28</v>
      </c>
      <c r="E1236" s="20" t="s">
        <v>15</v>
      </c>
      <c r="F1236" s="20">
        <v>2664.95</v>
      </c>
      <c r="G1236" s="11">
        <f>VLOOKUP(A1236,'Operational Data'!$A$2:$E$201,3,FALSE)</f>
        <v>24502</v>
      </c>
      <c r="H1236" s="11">
        <f>VLOOKUP(A1236,'Operational Data'!$A$2:$E$201,4,FALSE)</f>
        <v>7466.86</v>
      </c>
      <c r="I1236" s="11">
        <f>VLOOKUP(A1236,'Operational Data'!$A$2:$E$201,5,FALSE)</f>
        <v>88.83</v>
      </c>
      <c r="J1236" s="21">
        <f t="shared" si="19"/>
        <v>0.10876459064566157</v>
      </c>
    </row>
    <row r="1237" spans="1:10" x14ac:dyDescent="0.25">
      <c r="A1237" s="20" t="s">
        <v>160</v>
      </c>
      <c r="B1237" s="20" t="s">
        <v>30</v>
      </c>
      <c r="C1237" s="20" t="s">
        <v>34</v>
      </c>
      <c r="D1237" s="20" t="s">
        <v>9</v>
      </c>
      <c r="E1237" s="20" t="s">
        <v>15</v>
      </c>
      <c r="F1237" s="20">
        <v>1975.28</v>
      </c>
      <c r="G1237" s="11">
        <f>VLOOKUP(A1237,'Operational Data'!$A$2:$E$201,3,FALSE)</f>
        <v>18341</v>
      </c>
      <c r="H1237" s="11">
        <f>VLOOKUP(A1237,'Operational Data'!$A$2:$E$201,4,FALSE)</f>
        <v>8465.57</v>
      </c>
      <c r="I1237" s="11">
        <f>VLOOKUP(A1237,'Operational Data'!$A$2:$E$201,5,FALSE)</f>
        <v>38.39</v>
      </c>
      <c r="J1237" s="21">
        <f t="shared" si="19"/>
        <v>0.10769750831470476</v>
      </c>
    </row>
    <row r="1238" spans="1:10" ht="30" x14ac:dyDescent="0.25">
      <c r="A1238" s="20" t="s">
        <v>215</v>
      </c>
      <c r="B1238" s="20" t="s">
        <v>17</v>
      </c>
      <c r="C1238" s="20" t="s">
        <v>8</v>
      </c>
      <c r="D1238" s="20" t="s">
        <v>14</v>
      </c>
      <c r="E1238" s="20" t="s">
        <v>24</v>
      </c>
      <c r="F1238" s="20">
        <v>4697.13</v>
      </c>
      <c r="G1238" s="11">
        <f>VLOOKUP(A1238,'Operational Data'!$A$2:$E$201,3,FALSE)</f>
        <v>72813</v>
      </c>
      <c r="H1238" s="11">
        <f>VLOOKUP(A1238,'Operational Data'!$A$2:$E$201,4,FALSE)</f>
        <v>8818.16</v>
      </c>
      <c r="I1238" s="11">
        <f>VLOOKUP(A1238,'Operational Data'!$A$2:$E$201,5,FALSE)</f>
        <v>54.12</v>
      </c>
      <c r="J1238" s="21">
        <f t="shared" si="19"/>
        <v>6.4509496930493182E-2</v>
      </c>
    </row>
    <row r="1239" spans="1:10" x14ac:dyDescent="0.25">
      <c r="A1239" s="20" t="s">
        <v>204</v>
      </c>
      <c r="B1239" s="20" t="s">
        <v>30</v>
      </c>
      <c r="C1239" s="20" t="s">
        <v>13</v>
      </c>
      <c r="D1239" s="20" t="s">
        <v>14</v>
      </c>
      <c r="E1239" s="20" t="s">
        <v>15</v>
      </c>
      <c r="F1239" s="20">
        <v>2932.94</v>
      </c>
      <c r="G1239" s="11">
        <f>VLOOKUP(A1239,'Operational Data'!$A$2:$E$201,3,FALSE)</f>
        <v>36423</v>
      </c>
      <c r="H1239" s="11">
        <f>VLOOKUP(A1239,'Operational Data'!$A$2:$E$201,4,FALSE)</f>
        <v>589.96</v>
      </c>
      <c r="I1239" s="11">
        <f>VLOOKUP(A1239,'Operational Data'!$A$2:$E$201,5,FALSE)</f>
        <v>30.9</v>
      </c>
      <c r="J1239" s="21">
        <f t="shared" si="19"/>
        <v>8.0524393926914309E-2</v>
      </c>
    </row>
    <row r="1240" spans="1:10" ht="30" x14ac:dyDescent="0.25">
      <c r="A1240" s="20" t="s">
        <v>190</v>
      </c>
      <c r="B1240" s="20" t="s">
        <v>17</v>
      </c>
      <c r="C1240" s="20" t="s">
        <v>8</v>
      </c>
      <c r="D1240" s="20" t="s">
        <v>28</v>
      </c>
      <c r="E1240" s="20" t="s">
        <v>15</v>
      </c>
      <c r="F1240" s="20">
        <v>1869.13</v>
      </c>
      <c r="G1240" s="11">
        <f>VLOOKUP(A1240,'Operational Data'!$A$2:$E$201,3,FALSE)</f>
        <v>41953</v>
      </c>
      <c r="H1240" s="11">
        <f>VLOOKUP(A1240,'Operational Data'!$A$2:$E$201,4,FALSE)</f>
        <v>2379.14</v>
      </c>
      <c r="I1240" s="11">
        <f>VLOOKUP(A1240,'Operational Data'!$A$2:$E$201,5,FALSE)</f>
        <v>65.67</v>
      </c>
      <c r="J1240" s="21">
        <f t="shared" si="19"/>
        <v>4.4552952113078921E-2</v>
      </c>
    </row>
    <row r="1241" spans="1:10" x14ac:dyDescent="0.25">
      <c r="A1241" s="20" t="s">
        <v>87</v>
      </c>
      <c r="B1241" s="20" t="s">
        <v>12</v>
      </c>
      <c r="C1241" s="20" t="s">
        <v>8</v>
      </c>
      <c r="D1241" s="20" t="s">
        <v>14</v>
      </c>
      <c r="E1241" s="20" t="s">
        <v>15</v>
      </c>
      <c r="F1241" s="20">
        <v>3433.46</v>
      </c>
      <c r="G1241" s="11">
        <f>VLOOKUP(A1241,'Operational Data'!$A$2:$E$201,3,FALSE)</f>
        <v>15333</v>
      </c>
      <c r="H1241" s="11">
        <f>VLOOKUP(A1241,'Operational Data'!$A$2:$E$201,4,FALSE)</f>
        <v>2570.54</v>
      </c>
      <c r="I1241" s="11">
        <f>VLOOKUP(A1241,'Operational Data'!$A$2:$E$201,5,FALSE)</f>
        <v>41.07</v>
      </c>
      <c r="J1241" s="21">
        <f t="shared" si="19"/>
        <v>0.22392617230809367</v>
      </c>
    </row>
    <row r="1242" spans="1:10" ht="30" x14ac:dyDescent="0.25">
      <c r="A1242" s="20" t="s">
        <v>218</v>
      </c>
      <c r="B1242" s="20" t="s">
        <v>17</v>
      </c>
      <c r="C1242" s="20" t="s">
        <v>23</v>
      </c>
      <c r="D1242" s="20" t="s">
        <v>14</v>
      </c>
      <c r="E1242" s="20" t="s">
        <v>10</v>
      </c>
      <c r="F1242" s="20">
        <v>3234.84</v>
      </c>
      <c r="G1242" s="11">
        <f>VLOOKUP(A1242,'Operational Data'!$A$2:$E$201,3,FALSE)</f>
        <v>22525</v>
      </c>
      <c r="H1242" s="11">
        <f>VLOOKUP(A1242,'Operational Data'!$A$2:$E$201,4,FALSE)</f>
        <v>9465.65</v>
      </c>
      <c r="I1242" s="11">
        <f>VLOOKUP(A1242,'Operational Data'!$A$2:$E$201,5,FALSE)</f>
        <v>37.79</v>
      </c>
      <c r="J1242" s="21">
        <f t="shared" si="19"/>
        <v>0.14361109877913431</v>
      </c>
    </row>
    <row r="1243" spans="1:10" x14ac:dyDescent="0.25">
      <c r="A1243" s="20" t="s">
        <v>31</v>
      </c>
      <c r="B1243" s="20" t="s">
        <v>30</v>
      </c>
      <c r="C1243" s="20" t="s">
        <v>8</v>
      </c>
      <c r="D1243" s="20" t="s">
        <v>14</v>
      </c>
      <c r="E1243" s="20" t="s">
        <v>24</v>
      </c>
      <c r="F1243" s="20">
        <v>2947.36</v>
      </c>
      <c r="G1243" s="11">
        <f>VLOOKUP(A1243,'Operational Data'!$A$2:$E$201,3,FALSE)</f>
        <v>84851</v>
      </c>
      <c r="H1243" s="11">
        <f>VLOOKUP(A1243,'Operational Data'!$A$2:$E$201,4,FALSE)</f>
        <v>560.75</v>
      </c>
      <c r="I1243" s="11">
        <f>VLOOKUP(A1243,'Operational Data'!$A$2:$E$201,5,FALSE)</f>
        <v>80.23</v>
      </c>
      <c r="J1243" s="21">
        <f t="shared" si="19"/>
        <v>3.4735713191358972E-2</v>
      </c>
    </row>
    <row r="1244" spans="1:10" x14ac:dyDescent="0.25">
      <c r="A1244" s="20" t="s">
        <v>204</v>
      </c>
      <c r="B1244" s="20" t="s">
        <v>30</v>
      </c>
      <c r="C1244" s="20" t="s">
        <v>34</v>
      </c>
      <c r="D1244" s="20" t="s">
        <v>9</v>
      </c>
      <c r="E1244" s="20" t="s">
        <v>24</v>
      </c>
      <c r="F1244" s="20">
        <v>4189.4613179999997</v>
      </c>
      <c r="G1244" s="11">
        <f>VLOOKUP(A1244,'Operational Data'!$A$2:$E$201,3,FALSE)</f>
        <v>36423</v>
      </c>
      <c r="H1244" s="11">
        <f>VLOOKUP(A1244,'Operational Data'!$A$2:$E$201,4,FALSE)</f>
        <v>589.96</v>
      </c>
      <c r="I1244" s="11">
        <f>VLOOKUP(A1244,'Operational Data'!$A$2:$E$201,5,FALSE)</f>
        <v>30.9</v>
      </c>
      <c r="J1244" s="21">
        <f t="shared" si="19"/>
        <v>0.11502241215715343</v>
      </c>
    </row>
    <row r="1245" spans="1:10" x14ac:dyDescent="0.25">
      <c r="A1245" s="20" t="s">
        <v>31</v>
      </c>
      <c r="B1245" s="20" t="s">
        <v>30</v>
      </c>
      <c r="C1245" s="20" t="s">
        <v>8</v>
      </c>
      <c r="D1245" s="20" t="s">
        <v>14</v>
      </c>
      <c r="E1245" s="20" t="s">
        <v>15</v>
      </c>
      <c r="F1245" s="20">
        <v>4346.51</v>
      </c>
      <c r="G1245" s="11">
        <f>VLOOKUP(A1245,'Operational Data'!$A$2:$E$201,3,FALSE)</f>
        <v>84851</v>
      </c>
      <c r="H1245" s="11">
        <f>VLOOKUP(A1245,'Operational Data'!$A$2:$E$201,4,FALSE)</f>
        <v>560.75</v>
      </c>
      <c r="I1245" s="11">
        <f>VLOOKUP(A1245,'Operational Data'!$A$2:$E$201,5,FALSE)</f>
        <v>80.23</v>
      </c>
      <c r="J1245" s="21">
        <f t="shared" si="19"/>
        <v>5.1225206538520467E-2</v>
      </c>
    </row>
    <row r="1246" spans="1:10" x14ac:dyDescent="0.25">
      <c r="A1246" s="20" t="s">
        <v>124</v>
      </c>
      <c r="B1246" s="20" t="s">
        <v>12</v>
      </c>
      <c r="C1246" s="20" t="s">
        <v>34</v>
      </c>
      <c r="D1246" s="20" t="s">
        <v>14</v>
      </c>
      <c r="E1246" s="20" t="s">
        <v>15</v>
      </c>
      <c r="F1246" s="20">
        <v>1356.94</v>
      </c>
      <c r="G1246" s="11">
        <f>VLOOKUP(A1246,'Operational Data'!$A$2:$E$201,3,FALSE)</f>
        <v>47491</v>
      </c>
      <c r="H1246" s="11">
        <f>VLOOKUP(A1246,'Operational Data'!$A$2:$E$201,4,FALSE)</f>
        <v>5781.05</v>
      </c>
      <c r="I1246" s="11">
        <f>VLOOKUP(A1246,'Operational Data'!$A$2:$E$201,5,FALSE)</f>
        <v>92.18</v>
      </c>
      <c r="J1246" s="21">
        <f t="shared" si="19"/>
        <v>2.8572571645153821E-2</v>
      </c>
    </row>
    <row r="1247" spans="1:10" x14ac:dyDescent="0.25">
      <c r="A1247" s="20" t="s">
        <v>197</v>
      </c>
      <c r="B1247" s="20" t="s">
        <v>30</v>
      </c>
      <c r="C1247" s="20" t="s">
        <v>8</v>
      </c>
      <c r="D1247" s="20" t="s">
        <v>28</v>
      </c>
      <c r="E1247" s="20" t="s">
        <v>10</v>
      </c>
      <c r="F1247" s="20">
        <v>50.06</v>
      </c>
      <c r="G1247" s="11">
        <f>VLOOKUP(A1247,'Operational Data'!$A$2:$E$201,3,FALSE)</f>
        <v>56752</v>
      </c>
      <c r="H1247" s="11">
        <f>VLOOKUP(A1247,'Operational Data'!$A$2:$E$201,4,FALSE)</f>
        <v>4177.68</v>
      </c>
      <c r="I1247" s="11">
        <f>VLOOKUP(A1247,'Operational Data'!$A$2:$E$201,5,FALSE)</f>
        <v>10.96</v>
      </c>
      <c r="J1247" s="21">
        <f t="shared" si="19"/>
        <v>8.8208345080349596E-4</v>
      </c>
    </row>
    <row r="1248" spans="1:10" x14ac:dyDescent="0.25">
      <c r="A1248" s="20" t="s">
        <v>202</v>
      </c>
      <c r="B1248" s="20" t="s">
        <v>12</v>
      </c>
      <c r="C1248" s="20" t="s">
        <v>13</v>
      </c>
      <c r="D1248" s="20" t="s">
        <v>28</v>
      </c>
      <c r="E1248" s="20" t="s">
        <v>15</v>
      </c>
      <c r="F1248" s="20">
        <v>3795.55</v>
      </c>
      <c r="G1248" s="11">
        <f>VLOOKUP(A1248,'Operational Data'!$A$2:$E$201,3,FALSE)</f>
        <v>28400</v>
      </c>
      <c r="H1248" s="11">
        <f>VLOOKUP(A1248,'Operational Data'!$A$2:$E$201,4,FALSE)</f>
        <v>3056.67</v>
      </c>
      <c r="I1248" s="11">
        <f>VLOOKUP(A1248,'Operational Data'!$A$2:$E$201,5,FALSE)</f>
        <v>52.68</v>
      </c>
      <c r="J1248" s="21">
        <f t="shared" si="19"/>
        <v>0.13364612676056339</v>
      </c>
    </row>
    <row r="1249" spans="1:10" x14ac:dyDescent="0.25">
      <c r="A1249" s="20" t="s">
        <v>60</v>
      </c>
      <c r="B1249" s="20" t="s">
        <v>12</v>
      </c>
      <c r="C1249" s="20" t="s">
        <v>34</v>
      </c>
      <c r="D1249" s="20" t="s">
        <v>9</v>
      </c>
      <c r="E1249" s="20" t="s">
        <v>10</v>
      </c>
      <c r="F1249" s="20">
        <v>4134.2097940000003</v>
      </c>
      <c r="G1249" s="11">
        <f>VLOOKUP(A1249,'Operational Data'!$A$2:$E$201,3,FALSE)</f>
        <v>25148</v>
      </c>
      <c r="H1249" s="11">
        <f>VLOOKUP(A1249,'Operational Data'!$A$2:$E$201,4,FALSE)</f>
        <v>9604.5499999999993</v>
      </c>
      <c r="I1249" s="11">
        <f>VLOOKUP(A1249,'Operational Data'!$A$2:$E$201,5,FALSE)</f>
        <v>63.47</v>
      </c>
      <c r="J1249" s="21">
        <f t="shared" si="19"/>
        <v>0.16439517233974871</v>
      </c>
    </row>
    <row r="1250" spans="1:10" x14ac:dyDescent="0.25">
      <c r="A1250" s="20" t="s">
        <v>214</v>
      </c>
      <c r="B1250" s="20" t="s">
        <v>30</v>
      </c>
      <c r="C1250" s="20" t="s">
        <v>34</v>
      </c>
      <c r="D1250" s="20" t="s">
        <v>9</v>
      </c>
      <c r="E1250" s="20" t="s">
        <v>24</v>
      </c>
      <c r="F1250" s="20">
        <v>2597.355055</v>
      </c>
      <c r="G1250" s="11">
        <f>VLOOKUP(A1250,'Operational Data'!$A$2:$E$201,3,FALSE)</f>
        <v>79330</v>
      </c>
      <c r="H1250" s="11">
        <f>VLOOKUP(A1250,'Operational Data'!$A$2:$E$201,4,FALSE)</f>
        <v>6075.23</v>
      </c>
      <c r="I1250" s="11">
        <f>VLOOKUP(A1250,'Operational Data'!$A$2:$E$201,5,FALSE)</f>
        <v>83.97</v>
      </c>
      <c r="J1250" s="21">
        <f t="shared" si="19"/>
        <v>3.2741145279213416E-2</v>
      </c>
    </row>
    <row r="1251" spans="1:10" x14ac:dyDescent="0.25">
      <c r="A1251" s="20" t="s">
        <v>219</v>
      </c>
      <c r="B1251" s="20" t="s">
        <v>12</v>
      </c>
      <c r="C1251" s="20" t="s">
        <v>8</v>
      </c>
      <c r="D1251" s="20" t="s">
        <v>14</v>
      </c>
      <c r="E1251" s="20" t="s">
        <v>24</v>
      </c>
      <c r="F1251" s="20">
        <v>2151.91</v>
      </c>
      <c r="G1251" s="11">
        <f>VLOOKUP(A1251,'Operational Data'!$A$2:$E$201,3,FALSE)</f>
        <v>84524</v>
      </c>
      <c r="H1251" s="11">
        <f>VLOOKUP(A1251,'Operational Data'!$A$2:$E$201,4,FALSE)</f>
        <v>9350.11</v>
      </c>
      <c r="I1251" s="11">
        <f>VLOOKUP(A1251,'Operational Data'!$A$2:$E$201,5,FALSE)</f>
        <v>27.53</v>
      </c>
      <c r="J1251" s="21">
        <f t="shared" si="19"/>
        <v>2.545915952865458E-2</v>
      </c>
    </row>
    <row r="1252" spans="1:10" x14ac:dyDescent="0.25">
      <c r="A1252" s="20" t="s">
        <v>164</v>
      </c>
      <c r="B1252" s="20" t="s">
        <v>19</v>
      </c>
      <c r="C1252" s="20" t="s">
        <v>34</v>
      </c>
      <c r="D1252" s="20" t="s">
        <v>14</v>
      </c>
      <c r="E1252" s="20" t="s">
        <v>10</v>
      </c>
      <c r="F1252" s="20">
        <v>3338.56</v>
      </c>
      <c r="G1252" s="11">
        <f>VLOOKUP(A1252,'Operational Data'!$A$2:$E$201,3,FALSE)</f>
        <v>69636</v>
      </c>
      <c r="H1252" s="11">
        <f>VLOOKUP(A1252,'Operational Data'!$A$2:$E$201,4,FALSE)</f>
        <v>4246.55</v>
      </c>
      <c r="I1252" s="11">
        <f>VLOOKUP(A1252,'Operational Data'!$A$2:$E$201,5,FALSE)</f>
        <v>69.290000000000006</v>
      </c>
      <c r="J1252" s="21">
        <f t="shared" si="19"/>
        <v>4.7943017979206158E-2</v>
      </c>
    </row>
    <row r="1253" spans="1:10" x14ac:dyDescent="0.25">
      <c r="A1253" s="20" t="s">
        <v>123</v>
      </c>
      <c r="B1253" s="20" t="s">
        <v>30</v>
      </c>
      <c r="C1253" s="20" t="s">
        <v>23</v>
      </c>
      <c r="D1253" s="20" t="s">
        <v>9</v>
      </c>
      <c r="E1253" s="20" t="s">
        <v>15</v>
      </c>
      <c r="F1253" s="20">
        <v>284.86</v>
      </c>
      <c r="G1253" s="11">
        <f>VLOOKUP(A1253,'Operational Data'!$A$2:$E$201,3,FALSE)</f>
        <v>73977</v>
      </c>
      <c r="H1253" s="11">
        <f>VLOOKUP(A1253,'Operational Data'!$A$2:$E$201,4,FALSE)</f>
        <v>1646.75</v>
      </c>
      <c r="I1253" s="11">
        <f>VLOOKUP(A1253,'Operational Data'!$A$2:$E$201,5,FALSE)</f>
        <v>43.77</v>
      </c>
      <c r="J1253" s="21">
        <f t="shared" si="19"/>
        <v>3.8506562850615733E-3</v>
      </c>
    </row>
    <row r="1254" spans="1:10" ht="30" x14ac:dyDescent="0.25">
      <c r="A1254" s="20" t="s">
        <v>149</v>
      </c>
      <c r="B1254" s="20" t="s">
        <v>17</v>
      </c>
      <c r="C1254" s="20" t="s">
        <v>34</v>
      </c>
      <c r="D1254" s="20" t="s">
        <v>14</v>
      </c>
      <c r="E1254" s="20" t="s">
        <v>15</v>
      </c>
      <c r="F1254" s="20">
        <v>4418.62</v>
      </c>
      <c r="G1254" s="11">
        <f>VLOOKUP(A1254,'Operational Data'!$A$2:$E$201,3,FALSE)</f>
        <v>49885</v>
      </c>
      <c r="H1254" s="11">
        <f>VLOOKUP(A1254,'Operational Data'!$A$2:$E$201,4,FALSE)</f>
        <v>6845.46</v>
      </c>
      <c r="I1254" s="11">
        <f>VLOOKUP(A1254,'Operational Data'!$A$2:$E$201,5,FALSE)</f>
        <v>58.4</v>
      </c>
      <c r="J1254" s="21">
        <f t="shared" si="19"/>
        <v>8.8576125087701713E-2</v>
      </c>
    </row>
    <row r="1255" spans="1:10" ht="30" x14ac:dyDescent="0.25">
      <c r="A1255" s="20" t="s">
        <v>194</v>
      </c>
      <c r="B1255" s="20" t="s">
        <v>17</v>
      </c>
      <c r="C1255" s="20" t="s">
        <v>23</v>
      </c>
      <c r="D1255" s="20" t="s">
        <v>14</v>
      </c>
      <c r="E1255" s="20" t="s">
        <v>24</v>
      </c>
      <c r="F1255" s="20">
        <v>1452.21</v>
      </c>
      <c r="G1255" s="11">
        <f>VLOOKUP(A1255,'Operational Data'!$A$2:$E$201,3,FALSE)</f>
        <v>95165</v>
      </c>
      <c r="H1255" s="11">
        <f>VLOOKUP(A1255,'Operational Data'!$A$2:$E$201,4,FALSE)</f>
        <v>8562.76</v>
      </c>
      <c r="I1255" s="11">
        <f>VLOOKUP(A1255,'Operational Data'!$A$2:$E$201,5,FALSE)</f>
        <v>37.54</v>
      </c>
      <c r="J1255" s="21">
        <f t="shared" si="19"/>
        <v>1.5259916986286976E-2</v>
      </c>
    </row>
    <row r="1256" spans="1:10" x14ac:dyDescent="0.25">
      <c r="A1256" s="20" t="s">
        <v>35</v>
      </c>
      <c r="B1256" s="20" t="s">
        <v>19</v>
      </c>
      <c r="C1256" s="20" t="s">
        <v>23</v>
      </c>
      <c r="D1256" s="20" t="s">
        <v>28</v>
      </c>
      <c r="E1256" s="20" t="s">
        <v>15</v>
      </c>
      <c r="F1256" s="20">
        <v>1001.43</v>
      </c>
      <c r="G1256" s="11">
        <f>VLOOKUP(A1256,'Operational Data'!$A$2:$E$201,3,FALSE)</f>
        <v>42382</v>
      </c>
      <c r="H1256" s="11">
        <f>VLOOKUP(A1256,'Operational Data'!$A$2:$E$201,4,FALSE)</f>
        <v>5116.6899999999996</v>
      </c>
      <c r="I1256" s="11">
        <f>VLOOKUP(A1256,'Operational Data'!$A$2:$E$201,5,FALSE)</f>
        <v>80.42</v>
      </c>
      <c r="J1256" s="21">
        <f t="shared" si="19"/>
        <v>2.362866311169836E-2</v>
      </c>
    </row>
    <row r="1257" spans="1:10" x14ac:dyDescent="0.25">
      <c r="A1257" s="20" t="s">
        <v>123</v>
      </c>
      <c r="B1257" s="20" t="s">
        <v>30</v>
      </c>
      <c r="C1257" s="20" t="s">
        <v>8</v>
      </c>
      <c r="D1257" s="20" t="s">
        <v>28</v>
      </c>
      <c r="E1257" s="20" t="s">
        <v>15</v>
      </c>
      <c r="F1257" s="20">
        <v>3280.78</v>
      </c>
      <c r="G1257" s="11">
        <f>VLOOKUP(A1257,'Operational Data'!$A$2:$E$201,3,FALSE)</f>
        <v>73977</v>
      </c>
      <c r="H1257" s="11">
        <f>VLOOKUP(A1257,'Operational Data'!$A$2:$E$201,4,FALSE)</f>
        <v>1646.75</v>
      </c>
      <c r="I1257" s="11">
        <f>VLOOKUP(A1257,'Operational Data'!$A$2:$E$201,5,FALSE)</f>
        <v>43.77</v>
      </c>
      <c r="J1257" s="21">
        <f t="shared" si="19"/>
        <v>4.4348648904389207E-2</v>
      </c>
    </row>
    <row r="1258" spans="1:10" x14ac:dyDescent="0.25">
      <c r="A1258" s="20" t="s">
        <v>209</v>
      </c>
      <c r="B1258" s="20" t="s">
        <v>7</v>
      </c>
      <c r="C1258" s="20" t="s">
        <v>8</v>
      </c>
      <c r="D1258" s="20" t="s">
        <v>14</v>
      </c>
      <c r="E1258" s="20" t="s">
        <v>24</v>
      </c>
      <c r="F1258" s="20">
        <v>2429.6</v>
      </c>
      <c r="G1258" s="11">
        <f>VLOOKUP(A1258,'Operational Data'!$A$2:$E$201,3,FALSE)</f>
        <v>52357</v>
      </c>
      <c r="H1258" s="11">
        <f>VLOOKUP(A1258,'Operational Data'!$A$2:$E$201,4,FALSE)</f>
        <v>5643.16</v>
      </c>
      <c r="I1258" s="11">
        <f>VLOOKUP(A1258,'Operational Data'!$A$2:$E$201,5,FALSE)</f>
        <v>37.130000000000003</v>
      </c>
      <c r="J1258" s="21">
        <f t="shared" si="19"/>
        <v>4.6404492235995187E-2</v>
      </c>
    </row>
    <row r="1259" spans="1:10" x14ac:dyDescent="0.25">
      <c r="A1259" s="20" t="s">
        <v>103</v>
      </c>
      <c r="B1259" s="20" t="s">
        <v>19</v>
      </c>
      <c r="C1259" s="20" t="s">
        <v>13</v>
      </c>
      <c r="D1259" s="20" t="s">
        <v>9</v>
      </c>
      <c r="E1259" s="20" t="s">
        <v>10</v>
      </c>
      <c r="F1259" s="20">
        <v>4025.991227</v>
      </c>
      <c r="G1259" s="11">
        <f>VLOOKUP(A1259,'Operational Data'!$A$2:$E$201,3,FALSE)</f>
        <v>38869</v>
      </c>
      <c r="H1259" s="11">
        <f>VLOOKUP(A1259,'Operational Data'!$A$2:$E$201,4,FALSE)</f>
        <v>5109.76</v>
      </c>
      <c r="I1259" s="11">
        <f>VLOOKUP(A1259,'Operational Data'!$A$2:$E$201,5,FALSE)</f>
        <v>35.270000000000003</v>
      </c>
      <c r="J1259" s="21">
        <f t="shared" si="19"/>
        <v>0.10357846167897296</v>
      </c>
    </row>
    <row r="1260" spans="1:10" x14ac:dyDescent="0.25">
      <c r="A1260" s="20" t="s">
        <v>209</v>
      </c>
      <c r="B1260" s="20" t="s">
        <v>7</v>
      </c>
      <c r="C1260" s="20" t="s">
        <v>13</v>
      </c>
      <c r="D1260" s="20" t="s">
        <v>14</v>
      </c>
      <c r="E1260" s="20" t="s">
        <v>15</v>
      </c>
      <c r="F1260" s="20">
        <v>1880.25</v>
      </c>
      <c r="G1260" s="11">
        <f>VLOOKUP(A1260,'Operational Data'!$A$2:$E$201,3,FALSE)</f>
        <v>52357</v>
      </c>
      <c r="H1260" s="11">
        <f>VLOOKUP(A1260,'Operational Data'!$A$2:$E$201,4,FALSE)</f>
        <v>5643.16</v>
      </c>
      <c r="I1260" s="11">
        <f>VLOOKUP(A1260,'Operational Data'!$A$2:$E$201,5,FALSE)</f>
        <v>37.130000000000003</v>
      </c>
      <c r="J1260" s="21">
        <f t="shared" si="19"/>
        <v>3.5912103443665605E-2</v>
      </c>
    </row>
    <row r="1261" spans="1:10" x14ac:dyDescent="0.25">
      <c r="A1261" s="20" t="s">
        <v>132</v>
      </c>
      <c r="B1261" s="20" t="s">
        <v>19</v>
      </c>
      <c r="C1261" s="20" t="s">
        <v>23</v>
      </c>
      <c r="D1261" s="20" t="s">
        <v>28</v>
      </c>
      <c r="E1261" s="20" t="s">
        <v>15</v>
      </c>
      <c r="F1261" s="20">
        <v>3107.51</v>
      </c>
      <c r="G1261" s="11">
        <f>VLOOKUP(A1261,'Operational Data'!$A$2:$E$201,3,FALSE)</f>
        <v>29860</v>
      </c>
      <c r="H1261" s="11">
        <f>VLOOKUP(A1261,'Operational Data'!$A$2:$E$201,4,FALSE)</f>
        <v>3956.23</v>
      </c>
      <c r="I1261" s="11">
        <f>VLOOKUP(A1261,'Operational Data'!$A$2:$E$201,5,FALSE)</f>
        <v>57.5</v>
      </c>
      <c r="J1261" s="21">
        <f t="shared" si="19"/>
        <v>0.104069323509712</v>
      </c>
    </row>
    <row r="1262" spans="1:10" x14ac:dyDescent="0.25">
      <c r="A1262" s="20" t="s">
        <v>107</v>
      </c>
      <c r="B1262" s="20" t="s">
        <v>30</v>
      </c>
      <c r="C1262" s="20" t="s">
        <v>23</v>
      </c>
      <c r="D1262" s="20" t="s">
        <v>9</v>
      </c>
      <c r="E1262" s="20" t="s">
        <v>15</v>
      </c>
      <c r="F1262" s="20">
        <v>1430.937486</v>
      </c>
      <c r="G1262" s="11">
        <f>VLOOKUP(A1262,'Operational Data'!$A$2:$E$201,3,FALSE)</f>
        <v>69305</v>
      </c>
      <c r="H1262" s="11">
        <f>VLOOKUP(A1262,'Operational Data'!$A$2:$E$201,4,FALSE)</f>
        <v>3203.67</v>
      </c>
      <c r="I1262" s="11">
        <f>VLOOKUP(A1262,'Operational Data'!$A$2:$E$201,5,FALSE)</f>
        <v>83.65</v>
      </c>
      <c r="J1262" s="21">
        <f t="shared" si="19"/>
        <v>2.0646958891854843E-2</v>
      </c>
    </row>
    <row r="1263" spans="1:10" x14ac:dyDescent="0.25">
      <c r="A1263" s="20" t="s">
        <v>169</v>
      </c>
      <c r="B1263" s="20" t="s">
        <v>12</v>
      </c>
      <c r="C1263" s="20" t="s">
        <v>34</v>
      </c>
      <c r="D1263" s="20" t="s">
        <v>28</v>
      </c>
      <c r="E1263" s="20" t="s">
        <v>15</v>
      </c>
      <c r="F1263" s="20">
        <v>4735.9399999999996</v>
      </c>
      <c r="G1263" s="11">
        <f>VLOOKUP(A1263,'Operational Data'!$A$2:$E$201,3,FALSE)</f>
        <v>82377</v>
      </c>
      <c r="H1263" s="11">
        <f>VLOOKUP(A1263,'Operational Data'!$A$2:$E$201,4,FALSE)</f>
        <v>7974.74</v>
      </c>
      <c r="I1263" s="11">
        <f>VLOOKUP(A1263,'Operational Data'!$A$2:$E$201,5,FALSE)</f>
        <v>9.17</v>
      </c>
      <c r="J1263" s="21">
        <f t="shared" si="19"/>
        <v>5.7491047258336668E-2</v>
      </c>
    </row>
    <row r="1264" spans="1:10" x14ac:dyDescent="0.25">
      <c r="A1264" s="20" t="s">
        <v>177</v>
      </c>
      <c r="B1264" s="20" t="s">
        <v>7</v>
      </c>
      <c r="C1264" s="20" t="s">
        <v>8</v>
      </c>
      <c r="D1264" s="20" t="s">
        <v>28</v>
      </c>
      <c r="E1264" s="20" t="s">
        <v>15</v>
      </c>
      <c r="F1264" s="20">
        <v>419.21</v>
      </c>
      <c r="G1264" s="11">
        <f>VLOOKUP(A1264,'Operational Data'!$A$2:$E$201,3,FALSE)</f>
        <v>17097</v>
      </c>
      <c r="H1264" s="11">
        <f>VLOOKUP(A1264,'Operational Data'!$A$2:$E$201,4,FALSE)</f>
        <v>9061.7800000000007</v>
      </c>
      <c r="I1264" s="11">
        <f>VLOOKUP(A1264,'Operational Data'!$A$2:$E$201,5,FALSE)</f>
        <v>95.92</v>
      </c>
      <c r="J1264" s="21">
        <f t="shared" si="19"/>
        <v>2.4519506346142597E-2</v>
      </c>
    </row>
    <row r="1265" spans="1:10" x14ac:dyDescent="0.25">
      <c r="A1265" s="20" t="s">
        <v>208</v>
      </c>
      <c r="B1265" s="20" t="s">
        <v>19</v>
      </c>
      <c r="C1265" s="20" t="s">
        <v>34</v>
      </c>
      <c r="D1265" s="20" t="s">
        <v>9</v>
      </c>
      <c r="E1265" s="20" t="s">
        <v>24</v>
      </c>
      <c r="F1265" s="20">
        <v>3952.788094</v>
      </c>
      <c r="G1265" s="11">
        <f>VLOOKUP(A1265,'Operational Data'!$A$2:$E$201,3,FALSE)</f>
        <v>40553</v>
      </c>
      <c r="H1265" s="11">
        <f>VLOOKUP(A1265,'Operational Data'!$A$2:$E$201,4,FALSE)</f>
        <v>4875.2299999999996</v>
      </c>
      <c r="I1265" s="11">
        <f>VLOOKUP(A1265,'Operational Data'!$A$2:$E$201,5,FALSE)</f>
        <v>23.33</v>
      </c>
      <c r="J1265" s="21">
        <f t="shared" si="19"/>
        <v>9.7472149877937508E-2</v>
      </c>
    </row>
    <row r="1266" spans="1:10" x14ac:dyDescent="0.25">
      <c r="A1266" s="20" t="s">
        <v>170</v>
      </c>
      <c r="B1266" s="20" t="s">
        <v>12</v>
      </c>
      <c r="C1266" s="20" t="s">
        <v>8</v>
      </c>
      <c r="D1266" s="20" t="s">
        <v>28</v>
      </c>
      <c r="E1266" s="20" t="s">
        <v>10</v>
      </c>
      <c r="F1266" s="20">
        <v>2905.28</v>
      </c>
      <c r="G1266" s="11">
        <f>VLOOKUP(A1266,'Operational Data'!$A$2:$E$201,3,FALSE)</f>
        <v>54133</v>
      </c>
      <c r="H1266" s="11">
        <f>VLOOKUP(A1266,'Operational Data'!$A$2:$E$201,4,FALSE)</f>
        <v>8543.68</v>
      </c>
      <c r="I1266" s="11">
        <f>VLOOKUP(A1266,'Operational Data'!$A$2:$E$201,5,FALSE)</f>
        <v>24</v>
      </c>
      <c r="J1266" s="21">
        <f t="shared" si="19"/>
        <v>5.3669295993201929E-2</v>
      </c>
    </row>
    <row r="1267" spans="1:10" x14ac:dyDescent="0.25">
      <c r="A1267" s="20" t="s">
        <v>101</v>
      </c>
      <c r="B1267" s="20" t="s">
        <v>19</v>
      </c>
      <c r="C1267" s="20" t="s">
        <v>13</v>
      </c>
      <c r="D1267" s="20" t="s">
        <v>28</v>
      </c>
      <c r="E1267" s="20" t="s">
        <v>24</v>
      </c>
      <c r="F1267" s="20">
        <v>2595.02</v>
      </c>
      <c r="G1267" s="11">
        <f>VLOOKUP(A1267,'Operational Data'!$A$2:$E$201,3,FALSE)</f>
        <v>39050</v>
      </c>
      <c r="H1267" s="11">
        <f>VLOOKUP(A1267,'Operational Data'!$A$2:$E$201,4,FALSE)</f>
        <v>5885.73</v>
      </c>
      <c r="I1267" s="11">
        <f>VLOOKUP(A1267,'Operational Data'!$A$2:$E$201,5,FALSE)</f>
        <v>93.04</v>
      </c>
      <c r="J1267" s="21">
        <f t="shared" si="19"/>
        <v>6.645377720870678E-2</v>
      </c>
    </row>
    <row r="1268" spans="1:10" x14ac:dyDescent="0.25">
      <c r="A1268" s="20" t="s">
        <v>93</v>
      </c>
      <c r="B1268" s="20" t="s">
        <v>30</v>
      </c>
      <c r="C1268" s="20" t="s">
        <v>34</v>
      </c>
      <c r="D1268" s="20" t="s">
        <v>9</v>
      </c>
      <c r="E1268" s="20" t="s">
        <v>15</v>
      </c>
      <c r="F1268" s="20">
        <v>4395.4888259999998</v>
      </c>
      <c r="G1268" s="11">
        <f>VLOOKUP(A1268,'Operational Data'!$A$2:$E$201,3,FALSE)</f>
        <v>26378</v>
      </c>
      <c r="H1268" s="11">
        <f>VLOOKUP(A1268,'Operational Data'!$A$2:$E$201,4,FALSE)</f>
        <v>2915.44</v>
      </c>
      <c r="I1268" s="11">
        <f>VLOOKUP(A1268,'Operational Data'!$A$2:$E$201,5,FALSE)</f>
        <v>29.84</v>
      </c>
      <c r="J1268" s="21">
        <f t="shared" si="19"/>
        <v>0.16663465107286374</v>
      </c>
    </row>
    <row r="1269" spans="1:10" x14ac:dyDescent="0.25">
      <c r="A1269" s="20" t="s">
        <v>91</v>
      </c>
      <c r="B1269" s="20" t="s">
        <v>30</v>
      </c>
      <c r="C1269" s="20" t="s">
        <v>23</v>
      </c>
      <c r="D1269" s="20" t="s">
        <v>14</v>
      </c>
      <c r="E1269" s="20" t="s">
        <v>24</v>
      </c>
      <c r="F1269" s="20">
        <v>969.03</v>
      </c>
      <c r="G1269" s="11">
        <f>VLOOKUP(A1269,'Operational Data'!$A$2:$E$201,3,FALSE)</f>
        <v>20207</v>
      </c>
      <c r="H1269" s="11">
        <f>VLOOKUP(A1269,'Operational Data'!$A$2:$E$201,4,FALSE)</f>
        <v>5369.46</v>
      </c>
      <c r="I1269" s="11">
        <f>VLOOKUP(A1269,'Operational Data'!$A$2:$E$201,5,FALSE)</f>
        <v>57.51</v>
      </c>
      <c r="J1269" s="21">
        <f t="shared" si="19"/>
        <v>4.7955164052061162E-2</v>
      </c>
    </row>
    <row r="1270" spans="1:10" ht="30" x14ac:dyDescent="0.25">
      <c r="A1270" s="20" t="s">
        <v>218</v>
      </c>
      <c r="B1270" s="20" t="s">
        <v>17</v>
      </c>
      <c r="C1270" s="20" t="s">
        <v>34</v>
      </c>
      <c r="D1270" s="20" t="s">
        <v>14</v>
      </c>
      <c r="E1270" s="20" t="s">
        <v>15</v>
      </c>
      <c r="F1270" s="20">
        <v>4736.7</v>
      </c>
      <c r="G1270" s="11">
        <f>VLOOKUP(A1270,'Operational Data'!$A$2:$E$201,3,FALSE)</f>
        <v>22525</v>
      </c>
      <c r="H1270" s="11">
        <f>VLOOKUP(A1270,'Operational Data'!$A$2:$E$201,4,FALSE)</f>
        <v>9465.65</v>
      </c>
      <c r="I1270" s="11">
        <f>VLOOKUP(A1270,'Operational Data'!$A$2:$E$201,5,FALSE)</f>
        <v>37.79</v>
      </c>
      <c r="J1270" s="21">
        <f t="shared" si="19"/>
        <v>0.2102863485016648</v>
      </c>
    </row>
    <row r="1271" spans="1:10" x14ac:dyDescent="0.25">
      <c r="A1271" s="20" t="s">
        <v>67</v>
      </c>
      <c r="B1271" s="20" t="s">
        <v>7</v>
      </c>
      <c r="C1271" s="20" t="s">
        <v>8</v>
      </c>
      <c r="D1271" s="20" t="s">
        <v>9</v>
      </c>
      <c r="E1271" s="20" t="s">
        <v>15</v>
      </c>
      <c r="F1271" s="20">
        <v>3116.27</v>
      </c>
      <c r="G1271" s="11">
        <f>VLOOKUP(A1271,'Operational Data'!$A$2:$E$201,3,FALSE)</f>
        <v>70582</v>
      </c>
      <c r="H1271" s="11">
        <f>VLOOKUP(A1271,'Operational Data'!$A$2:$E$201,4,FALSE)</f>
        <v>7517.59</v>
      </c>
      <c r="I1271" s="11">
        <f>VLOOKUP(A1271,'Operational Data'!$A$2:$E$201,5,FALSE)</f>
        <v>95.71</v>
      </c>
      <c r="J1271" s="21">
        <f t="shared" si="19"/>
        <v>4.415105834348701E-2</v>
      </c>
    </row>
    <row r="1272" spans="1:10" x14ac:dyDescent="0.25">
      <c r="A1272" s="20" t="s">
        <v>150</v>
      </c>
      <c r="B1272" s="20" t="s">
        <v>30</v>
      </c>
      <c r="C1272" s="20" t="s">
        <v>34</v>
      </c>
      <c r="D1272" s="20" t="s">
        <v>28</v>
      </c>
      <c r="E1272" s="20" t="s">
        <v>15</v>
      </c>
      <c r="F1272" s="20">
        <v>3048.92</v>
      </c>
      <c r="G1272" s="11">
        <f>VLOOKUP(A1272,'Operational Data'!$A$2:$E$201,3,FALSE)</f>
        <v>98356</v>
      </c>
      <c r="H1272" s="11">
        <f>VLOOKUP(A1272,'Operational Data'!$A$2:$E$201,4,FALSE)</f>
        <v>6968.69</v>
      </c>
      <c r="I1272" s="11">
        <f>VLOOKUP(A1272,'Operational Data'!$A$2:$E$201,5,FALSE)</f>
        <v>81.72</v>
      </c>
      <c r="J1272" s="21">
        <f t="shared" si="19"/>
        <v>3.0998820610842248E-2</v>
      </c>
    </row>
    <row r="1273" spans="1:10" x14ac:dyDescent="0.25">
      <c r="A1273" s="20" t="s">
        <v>75</v>
      </c>
      <c r="B1273" s="20" t="s">
        <v>19</v>
      </c>
      <c r="C1273" s="20" t="s">
        <v>34</v>
      </c>
      <c r="D1273" s="20" t="s">
        <v>9</v>
      </c>
      <c r="E1273" s="20" t="s">
        <v>15</v>
      </c>
      <c r="F1273" s="20">
        <v>4792.2007899999999</v>
      </c>
      <c r="G1273" s="11">
        <f>VLOOKUP(A1273,'Operational Data'!$A$2:$E$201,3,FALSE)</f>
        <v>54136</v>
      </c>
      <c r="H1273" s="11">
        <f>VLOOKUP(A1273,'Operational Data'!$A$2:$E$201,4,FALSE)</f>
        <v>2775.38</v>
      </c>
      <c r="I1273" s="11">
        <f>VLOOKUP(A1273,'Operational Data'!$A$2:$E$201,5,FALSE)</f>
        <v>75.459999999999994</v>
      </c>
      <c r="J1273" s="21">
        <f t="shared" si="19"/>
        <v>8.8521515996748928E-2</v>
      </c>
    </row>
    <row r="1274" spans="1:10" ht="30" x14ac:dyDescent="0.25">
      <c r="A1274" s="20" t="s">
        <v>205</v>
      </c>
      <c r="B1274" s="20" t="s">
        <v>17</v>
      </c>
      <c r="C1274" s="20" t="s">
        <v>34</v>
      </c>
      <c r="D1274" s="20" t="s">
        <v>14</v>
      </c>
      <c r="E1274" s="20" t="s">
        <v>15</v>
      </c>
      <c r="F1274" s="20">
        <v>1851.08</v>
      </c>
      <c r="G1274" s="11">
        <f>VLOOKUP(A1274,'Operational Data'!$A$2:$E$201,3,FALSE)</f>
        <v>52594</v>
      </c>
      <c r="H1274" s="11">
        <f>VLOOKUP(A1274,'Operational Data'!$A$2:$E$201,4,FALSE)</f>
        <v>8715.0400000000009</v>
      </c>
      <c r="I1274" s="11">
        <f>VLOOKUP(A1274,'Operational Data'!$A$2:$E$201,5,FALSE)</f>
        <v>90.54</v>
      </c>
      <c r="J1274" s="21">
        <f t="shared" si="19"/>
        <v>3.5195649693881427E-2</v>
      </c>
    </row>
    <row r="1275" spans="1:10" ht="30" x14ac:dyDescent="0.25">
      <c r="A1275" s="20" t="s">
        <v>79</v>
      </c>
      <c r="B1275" s="20" t="s">
        <v>17</v>
      </c>
      <c r="C1275" s="20" t="s">
        <v>34</v>
      </c>
      <c r="D1275" s="20" t="s">
        <v>14</v>
      </c>
      <c r="E1275" s="20" t="s">
        <v>10</v>
      </c>
      <c r="F1275" s="20">
        <v>331.53</v>
      </c>
      <c r="G1275" s="11">
        <f>VLOOKUP(A1275,'Operational Data'!$A$2:$E$201,3,FALSE)</f>
        <v>40503</v>
      </c>
      <c r="H1275" s="11">
        <f>VLOOKUP(A1275,'Operational Data'!$A$2:$E$201,4,FALSE)</f>
        <v>7447.46</v>
      </c>
      <c r="I1275" s="11">
        <f>VLOOKUP(A1275,'Operational Data'!$A$2:$E$201,5,FALSE)</f>
        <v>98.27</v>
      </c>
      <c r="J1275" s="21">
        <f t="shared" si="19"/>
        <v>8.1853196059551141E-3</v>
      </c>
    </row>
    <row r="1276" spans="1:10" x14ac:dyDescent="0.25">
      <c r="A1276" s="20" t="s">
        <v>179</v>
      </c>
      <c r="B1276" s="20" t="s">
        <v>7</v>
      </c>
      <c r="C1276" s="20" t="s">
        <v>13</v>
      </c>
      <c r="D1276" s="20" t="s">
        <v>28</v>
      </c>
      <c r="E1276" s="20" t="s">
        <v>24</v>
      </c>
      <c r="F1276" s="20">
        <v>2756.07</v>
      </c>
      <c r="G1276" s="11">
        <f>VLOOKUP(A1276,'Operational Data'!$A$2:$E$201,3,FALSE)</f>
        <v>94393</v>
      </c>
      <c r="H1276" s="11">
        <f>VLOOKUP(A1276,'Operational Data'!$A$2:$E$201,4,FALSE)</f>
        <v>6691.7</v>
      </c>
      <c r="I1276" s="11">
        <f>VLOOKUP(A1276,'Operational Data'!$A$2:$E$201,5,FALSE)</f>
        <v>74.790000000000006</v>
      </c>
      <c r="J1276" s="21">
        <f t="shared" si="19"/>
        <v>2.9197821872384608E-2</v>
      </c>
    </row>
    <row r="1277" spans="1:10" x14ac:dyDescent="0.25">
      <c r="A1277" s="20" t="s">
        <v>138</v>
      </c>
      <c r="B1277" s="20" t="s">
        <v>12</v>
      </c>
      <c r="C1277" s="20" t="s">
        <v>13</v>
      </c>
      <c r="D1277" s="20" t="s">
        <v>9</v>
      </c>
      <c r="E1277" s="20" t="s">
        <v>15</v>
      </c>
      <c r="F1277" s="20">
        <v>1185.144685</v>
      </c>
      <c r="G1277" s="11">
        <f>VLOOKUP(A1277,'Operational Data'!$A$2:$E$201,3,FALSE)</f>
        <v>57353</v>
      </c>
      <c r="H1277" s="11">
        <f>VLOOKUP(A1277,'Operational Data'!$A$2:$E$201,4,FALSE)</f>
        <v>2274.71</v>
      </c>
      <c r="I1277" s="11">
        <f>VLOOKUP(A1277,'Operational Data'!$A$2:$E$201,5,FALSE)</f>
        <v>65.34</v>
      </c>
      <c r="J1277" s="21">
        <f t="shared" si="19"/>
        <v>2.0664039980471813E-2</v>
      </c>
    </row>
    <row r="1278" spans="1:10" x14ac:dyDescent="0.25">
      <c r="A1278" s="20" t="s">
        <v>31</v>
      </c>
      <c r="B1278" s="20" t="s">
        <v>30</v>
      </c>
      <c r="C1278" s="20" t="s">
        <v>13</v>
      </c>
      <c r="D1278" s="20" t="s">
        <v>14</v>
      </c>
      <c r="E1278" s="20" t="s">
        <v>15</v>
      </c>
      <c r="F1278" s="20">
        <v>770.82</v>
      </c>
      <c r="G1278" s="11">
        <f>VLOOKUP(A1278,'Operational Data'!$A$2:$E$201,3,FALSE)</f>
        <v>84851</v>
      </c>
      <c r="H1278" s="11">
        <f>VLOOKUP(A1278,'Operational Data'!$A$2:$E$201,4,FALSE)</f>
        <v>560.75</v>
      </c>
      <c r="I1278" s="11">
        <f>VLOOKUP(A1278,'Operational Data'!$A$2:$E$201,5,FALSE)</f>
        <v>80.23</v>
      </c>
      <c r="J1278" s="21">
        <f t="shared" si="19"/>
        <v>9.0843949982911225E-3</v>
      </c>
    </row>
    <row r="1279" spans="1:10" x14ac:dyDescent="0.25">
      <c r="A1279" s="20" t="s">
        <v>69</v>
      </c>
      <c r="B1279" s="20" t="s">
        <v>7</v>
      </c>
      <c r="C1279" s="20" t="s">
        <v>8</v>
      </c>
      <c r="D1279" s="20" t="s">
        <v>14</v>
      </c>
      <c r="E1279" s="20" t="s">
        <v>24</v>
      </c>
      <c r="F1279" s="20">
        <v>1735.38</v>
      </c>
      <c r="G1279" s="11">
        <f>VLOOKUP(A1279,'Operational Data'!$A$2:$E$201,3,FALSE)</f>
        <v>34725</v>
      </c>
      <c r="H1279" s="11">
        <f>VLOOKUP(A1279,'Operational Data'!$A$2:$E$201,4,FALSE)</f>
        <v>3269.89</v>
      </c>
      <c r="I1279" s="11">
        <f>VLOOKUP(A1279,'Operational Data'!$A$2:$E$201,5,FALSE)</f>
        <v>78.86</v>
      </c>
      <c r="J1279" s="21">
        <f t="shared" si="19"/>
        <v>4.9974946004319655E-2</v>
      </c>
    </row>
    <row r="1280" spans="1:10" x14ac:dyDescent="0.25">
      <c r="A1280" s="20" t="s">
        <v>211</v>
      </c>
      <c r="B1280" s="20" t="s">
        <v>7</v>
      </c>
      <c r="C1280" s="20" t="s">
        <v>8</v>
      </c>
      <c r="D1280" s="20" t="s">
        <v>9</v>
      </c>
      <c r="E1280" s="20" t="s">
        <v>15</v>
      </c>
      <c r="F1280" s="20">
        <v>2191.312218</v>
      </c>
      <c r="G1280" s="11">
        <f>VLOOKUP(A1280,'Operational Data'!$A$2:$E$201,3,FALSE)</f>
        <v>27028</v>
      </c>
      <c r="H1280" s="11">
        <f>VLOOKUP(A1280,'Operational Data'!$A$2:$E$201,4,FALSE)</f>
        <v>4617.92</v>
      </c>
      <c r="I1280" s="11">
        <f>VLOOKUP(A1280,'Operational Data'!$A$2:$E$201,5,FALSE)</f>
        <v>57.62</v>
      </c>
      <c r="J1280" s="21">
        <f t="shared" si="19"/>
        <v>8.1075633343199643E-2</v>
      </c>
    </row>
    <row r="1281" spans="1:10" x14ac:dyDescent="0.25">
      <c r="A1281" s="20" t="s">
        <v>212</v>
      </c>
      <c r="B1281" s="20" t="s">
        <v>7</v>
      </c>
      <c r="C1281" s="20" t="s">
        <v>13</v>
      </c>
      <c r="D1281" s="20" t="s">
        <v>28</v>
      </c>
      <c r="E1281" s="20" t="s">
        <v>15</v>
      </c>
      <c r="F1281" s="20">
        <v>759.32</v>
      </c>
      <c r="G1281" s="11">
        <f>VLOOKUP(A1281,'Operational Data'!$A$2:$E$201,3,FALSE)</f>
        <v>67820</v>
      </c>
      <c r="H1281" s="11">
        <f>VLOOKUP(A1281,'Operational Data'!$A$2:$E$201,4,FALSE)</f>
        <v>8177.95</v>
      </c>
      <c r="I1281" s="11">
        <f>VLOOKUP(A1281,'Operational Data'!$A$2:$E$201,5,FALSE)</f>
        <v>40.69</v>
      </c>
      <c r="J1281" s="21">
        <f t="shared" si="19"/>
        <v>1.1196107342966678E-2</v>
      </c>
    </row>
    <row r="1282" spans="1:10" ht="30" x14ac:dyDescent="0.25">
      <c r="A1282" s="20" t="s">
        <v>207</v>
      </c>
      <c r="B1282" s="20" t="s">
        <v>17</v>
      </c>
      <c r="C1282" s="20" t="s">
        <v>23</v>
      </c>
      <c r="D1282" s="20" t="s">
        <v>14</v>
      </c>
      <c r="E1282" s="20" t="s">
        <v>15</v>
      </c>
      <c r="F1282" s="20">
        <v>1954.05</v>
      </c>
      <c r="G1282" s="11">
        <f>VLOOKUP(A1282,'Operational Data'!$A$2:$E$201,3,FALSE)</f>
        <v>99115</v>
      </c>
      <c r="H1282" s="11">
        <f>VLOOKUP(A1282,'Operational Data'!$A$2:$E$201,4,FALSE)</f>
        <v>827.26</v>
      </c>
      <c r="I1282" s="11">
        <f>VLOOKUP(A1282,'Operational Data'!$A$2:$E$201,5,FALSE)</f>
        <v>28.88</v>
      </c>
      <c r="J1282" s="21">
        <f t="shared" si="19"/>
        <v>1.9714977551329265E-2</v>
      </c>
    </row>
    <row r="1283" spans="1:10" x14ac:dyDescent="0.25">
      <c r="A1283" s="20" t="s">
        <v>144</v>
      </c>
      <c r="B1283" s="20" t="s">
        <v>30</v>
      </c>
      <c r="C1283" s="20" t="s">
        <v>34</v>
      </c>
      <c r="D1283" s="20" t="s">
        <v>9</v>
      </c>
      <c r="E1283" s="20" t="s">
        <v>15</v>
      </c>
      <c r="F1283" s="20">
        <v>4153</v>
      </c>
      <c r="G1283" s="11">
        <f>VLOOKUP(A1283,'Operational Data'!$A$2:$E$201,3,FALSE)</f>
        <v>11426</v>
      </c>
      <c r="H1283" s="11">
        <f>VLOOKUP(A1283,'Operational Data'!$A$2:$E$201,4,FALSE)</f>
        <v>4439.5600000000004</v>
      </c>
      <c r="I1283" s="11">
        <f>VLOOKUP(A1283,'Operational Data'!$A$2:$E$201,5,FALSE)</f>
        <v>52.71</v>
      </c>
      <c r="J1283" s="21">
        <f t="shared" ref="J1283:J1346" si="20">F1283/G1283</f>
        <v>0.36346928058813233</v>
      </c>
    </row>
    <row r="1284" spans="1:10" x14ac:dyDescent="0.25">
      <c r="A1284" s="20" t="s">
        <v>71</v>
      </c>
      <c r="B1284" s="20" t="s">
        <v>7</v>
      </c>
      <c r="C1284" s="20" t="s">
        <v>23</v>
      </c>
      <c r="D1284" s="20" t="s">
        <v>9</v>
      </c>
      <c r="E1284" s="20" t="s">
        <v>15</v>
      </c>
      <c r="F1284" s="20">
        <v>3571.7574920000002</v>
      </c>
      <c r="G1284" s="11">
        <f>VLOOKUP(A1284,'Operational Data'!$A$2:$E$201,3,FALSE)</f>
        <v>68018</v>
      </c>
      <c r="H1284" s="11">
        <f>VLOOKUP(A1284,'Operational Data'!$A$2:$E$201,4,FALSE)</f>
        <v>3523.4</v>
      </c>
      <c r="I1284" s="11">
        <f>VLOOKUP(A1284,'Operational Data'!$A$2:$E$201,5,FALSE)</f>
        <v>92.26</v>
      </c>
      <c r="J1284" s="21">
        <f t="shared" si="20"/>
        <v>5.2511945249786821E-2</v>
      </c>
    </row>
    <row r="1285" spans="1:10" x14ac:dyDescent="0.25">
      <c r="A1285" s="20" t="s">
        <v>193</v>
      </c>
      <c r="B1285" s="20" t="s">
        <v>12</v>
      </c>
      <c r="C1285" s="20" t="s">
        <v>8</v>
      </c>
      <c r="D1285" s="20" t="s">
        <v>28</v>
      </c>
      <c r="E1285" s="20" t="s">
        <v>24</v>
      </c>
      <c r="F1285" s="20">
        <v>3705.85</v>
      </c>
      <c r="G1285" s="11">
        <f>VLOOKUP(A1285,'Operational Data'!$A$2:$E$201,3,FALSE)</f>
        <v>13333</v>
      </c>
      <c r="H1285" s="11">
        <f>VLOOKUP(A1285,'Operational Data'!$A$2:$E$201,4,FALSE)</f>
        <v>6102.15</v>
      </c>
      <c r="I1285" s="11">
        <f>VLOOKUP(A1285,'Operational Data'!$A$2:$E$201,5,FALSE)</f>
        <v>17.670000000000002</v>
      </c>
      <c r="J1285" s="21">
        <f t="shared" si="20"/>
        <v>0.27794569864246604</v>
      </c>
    </row>
    <row r="1286" spans="1:10" x14ac:dyDescent="0.25">
      <c r="A1286" s="20" t="s">
        <v>158</v>
      </c>
      <c r="B1286" s="20" t="s">
        <v>30</v>
      </c>
      <c r="C1286" s="20" t="s">
        <v>13</v>
      </c>
      <c r="D1286" s="20" t="s">
        <v>14</v>
      </c>
      <c r="E1286" s="20" t="s">
        <v>15</v>
      </c>
      <c r="F1286" s="20">
        <v>4393.54</v>
      </c>
      <c r="G1286" s="11">
        <f>VLOOKUP(A1286,'Operational Data'!$A$2:$E$201,3,FALSE)</f>
        <v>85488</v>
      </c>
      <c r="H1286" s="11">
        <f>VLOOKUP(A1286,'Operational Data'!$A$2:$E$201,4,FALSE)</f>
        <v>9691.57</v>
      </c>
      <c r="I1286" s="11">
        <f>VLOOKUP(A1286,'Operational Data'!$A$2:$E$201,5,FALSE)</f>
        <v>96.98</v>
      </c>
      <c r="J1286" s="21">
        <f t="shared" si="20"/>
        <v>5.1393645891821077E-2</v>
      </c>
    </row>
    <row r="1287" spans="1:10" x14ac:dyDescent="0.25">
      <c r="A1287" s="20" t="s">
        <v>121</v>
      </c>
      <c r="B1287" s="20" t="s">
        <v>30</v>
      </c>
      <c r="C1287" s="20" t="s">
        <v>8</v>
      </c>
      <c r="D1287" s="20" t="s">
        <v>9</v>
      </c>
      <c r="E1287" s="20" t="s">
        <v>24</v>
      </c>
      <c r="F1287" s="20">
        <v>1303.2390740000001</v>
      </c>
      <c r="G1287" s="11">
        <f>VLOOKUP(A1287,'Operational Data'!$A$2:$E$201,3,FALSE)</f>
        <v>58895</v>
      </c>
      <c r="H1287" s="11">
        <f>VLOOKUP(A1287,'Operational Data'!$A$2:$E$201,4,FALSE)</f>
        <v>3039.17</v>
      </c>
      <c r="I1287" s="11">
        <f>VLOOKUP(A1287,'Operational Data'!$A$2:$E$201,5,FALSE)</f>
        <v>59.82</v>
      </c>
      <c r="J1287" s="21">
        <f t="shared" si="20"/>
        <v>2.2128178521096869E-2</v>
      </c>
    </row>
    <row r="1288" spans="1:10" x14ac:dyDescent="0.25">
      <c r="A1288" s="20" t="s">
        <v>42</v>
      </c>
      <c r="B1288" s="20" t="s">
        <v>30</v>
      </c>
      <c r="C1288" s="20" t="s">
        <v>8</v>
      </c>
      <c r="D1288" s="20" t="s">
        <v>28</v>
      </c>
      <c r="E1288" s="20" t="s">
        <v>15</v>
      </c>
      <c r="F1288" s="20">
        <v>1709.14</v>
      </c>
      <c r="G1288" s="11">
        <f>VLOOKUP(A1288,'Operational Data'!$A$2:$E$201,3,FALSE)</f>
        <v>41539</v>
      </c>
      <c r="H1288" s="11">
        <f>VLOOKUP(A1288,'Operational Data'!$A$2:$E$201,4,FALSE)</f>
        <v>982.8</v>
      </c>
      <c r="I1288" s="11">
        <f>VLOOKUP(A1288,'Operational Data'!$A$2:$E$201,5,FALSE)</f>
        <v>79.7</v>
      </c>
      <c r="J1288" s="21">
        <f t="shared" si="20"/>
        <v>4.1145429596283013E-2</v>
      </c>
    </row>
    <row r="1289" spans="1:10" x14ac:dyDescent="0.25">
      <c r="A1289" s="20" t="s">
        <v>144</v>
      </c>
      <c r="B1289" s="20" t="s">
        <v>30</v>
      </c>
      <c r="C1289" s="20" t="s">
        <v>34</v>
      </c>
      <c r="D1289" s="20" t="s">
        <v>9</v>
      </c>
      <c r="E1289" s="20" t="s">
        <v>15</v>
      </c>
      <c r="F1289" s="20">
        <v>4816.54</v>
      </c>
      <c r="G1289" s="11">
        <f>VLOOKUP(A1289,'Operational Data'!$A$2:$E$201,3,FALSE)</f>
        <v>11426</v>
      </c>
      <c r="H1289" s="11">
        <f>VLOOKUP(A1289,'Operational Data'!$A$2:$E$201,4,FALSE)</f>
        <v>4439.5600000000004</v>
      </c>
      <c r="I1289" s="11">
        <f>VLOOKUP(A1289,'Operational Data'!$A$2:$E$201,5,FALSE)</f>
        <v>52.71</v>
      </c>
      <c r="J1289" s="21">
        <f t="shared" si="20"/>
        <v>0.42154209697181866</v>
      </c>
    </row>
    <row r="1290" spans="1:10" x14ac:dyDescent="0.25">
      <c r="A1290" s="20" t="s">
        <v>157</v>
      </c>
      <c r="B1290" s="20" t="s">
        <v>30</v>
      </c>
      <c r="C1290" s="20" t="s">
        <v>23</v>
      </c>
      <c r="D1290" s="20" t="s">
        <v>9</v>
      </c>
      <c r="E1290" s="20" t="s">
        <v>24</v>
      </c>
      <c r="F1290" s="20">
        <v>4237.9135159999996</v>
      </c>
      <c r="G1290" s="11">
        <f>VLOOKUP(A1290,'Operational Data'!$A$2:$E$201,3,FALSE)</f>
        <v>76544</v>
      </c>
      <c r="H1290" s="11">
        <f>VLOOKUP(A1290,'Operational Data'!$A$2:$E$201,4,FALSE)</f>
        <v>8632.77</v>
      </c>
      <c r="I1290" s="11">
        <f>VLOOKUP(A1290,'Operational Data'!$A$2:$E$201,5,FALSE)</f>
        <v>12.87</v>
      </c>
      <c r="J1290" s="21">
        <f t="shared" si="20"/>
        <v>5.5365717966137117E-2</v>
      </c>
    </row>
    <row r="1291" spans="1:10" ht="30" x14ac:dyDescent="0.25">
      <c r="A1291" s="20" t="s">
        <v>215</v>
      </c>
      <c r="B1291" s="20" t="s">
        <v>17</v>
      </c>
      <c r="C1291" s="20" t="s">
        <v>34</v>
      </c>
      <c r="D1291" s="20" t="s">
        <v>14</v>
      </c>
      <c r="E1291" s="20" t="s">
        <v>24</v>
      </c>
      <c r="F1291" s="20">
        <v>2911.32</v>
      </c>
      <c r="G1291" s="11">
        <f>VLOOKUP(A1291,'Operational Data'!$A$2:$E$201,3,FALSE)</f>
        <v>72813</v>
      </c>
      <c r="H1291" s="11">
        <f>VLOOKUP(A1291,'Operational Data'!$A$2:$E$201,4,FALSE)</f>
        <v>8818.16</v>
      </c>
      <c r="I1291" s="11">
        <f>VLOOKUP(A1291,'Operational Data'!$A$2:$E$201,5,FALSE)</f>
        <v>54.12</v>
      </c>
      <c r="J1291" s="21">
        <f t="shared" si="20"/>
        <v>3.9983519426476044E-2</v>
      </c>
    </row>
    <row r="1292" spans="1:10" ht="30" x14ac:dyDescent="0.25">
      <c r="A1292" s="20" t="s">
        <v>43</v>
      </c>
      <c r="B1292" s="20" t="s">
        <v>17</v>
      </c>
      <c r="C1292" s="20" t="s">
        <v>13</v>
      </c>
      <c r="D1292" s="20" t="s">
        <v>14</v>
      </c>
      <c r="E1292" s="20" t="s">
        <v>10</v>
      </c>
      <c r="F1292" s="20">
        <v>1512.18</v>
      </c>
      <c r="G1292" s="11">
        <f>VLOOKUP(A1292,'Operational Data'!$A$2:$E$201,3,FALSE)</f>
        <v>41168</v>
      </c>
      <c r="H1292" s="11">
        <f>VLOOKUP(A1292,'Operational Data'!$A$2:$E$201,4,FALSE)</f>
        <v>8226.77</v>
      </c>
      <c r="I1292" s="11">
        <f>VLOOKUP(A1292,'Operational Data'!$A$2:$E$201,5,FALSE)</f>
        <v>42.55</v>
      </c>
      <c r="J1292" s="21">
        <f t="shared" si="20"/>
        <v>3.6731927710843375E-2</v>
      </c>
    </row>
    <row r="1293" spans="1:10" x14ac:dyDescent="0.25">
      <c r="A1293" s="20" t="s">
        <v>21</v>
      </c>
      <c r="B1293" s="20" t="s">
        <v>19</v>
      </c>
      <c r="C1293" s="20" t="s">
        <v>34</v>
      </c>
      <c r="D1293" s="20" t="s">
        <v>28</v>
      </c>
      <c r="E1293" s="20" t="s">
        <v>15</v>
      </c>
      <c r="F1293" s="20">
        <v>2308.83</v>
      </c>
      <c r="G1293" s="11">
        <f>VLOOKUP(A1293,'Operational Data'!$A$2:$E$201,3,FALSE)</f>
        <v>61157</v>
      </c>
      <c r="H1293" s="11">
        <f>VLOOKUP(A1293,'Operational Data'!$A$2:$E$201,4,FALSE)</f>
        <v>7331.54</v>
      </c>
      <c r="I1293" s="11">
        <f>VLOOKUP(A1293,'Operational Data'!$A$2:$E$201,5,FALSE)</f>
        <v>55.52</v>
      </c>
      <c r="J1293" s="21">
        <f t="shared" si="20"/>
        <v>3.7752505845610476E-2</v>
      </c>
    </row>
    <row r="1294" spans="1:10" x14ac:dyDescent="0.25">
      <c r="A1294" s="20" t="s">
        <v>144</v>
      </c>
      <c r="B1294" s="20" t="s">
        <v>30</v>
      </c>
      <c r="C1294" s="20" t="s">
        <v>8</v>
      </c>
      <c r="D1294" s="20" t="s">
        <v>28</v>
      </c>
      <c r="E1294" s="20" t="s">
        <v>15</v>
      </c>
      <c r="F1294" s="20">
        <v>4743.8500000000004</v>
      </c>
      <c r="G1294" s="11">
        <f>VLOOKUP(A1294,'Operational Data'!$A$2:$E$201,3,FALSE)</f>
        <v>11426</v>
      </c>
      <c r="H1294" s="11">
        <f>VLOOKUP(A1294,'Operational Data'!$A$2:$E$201,4,FALSE)</f>
        <v>4439.5600000000004</v>
      </c>
      <c r="I1294" s="11">
        <f>VLOOKUP(A1294,'Operational Data'!$A$2:$E$201,5,FALSE)</f>
        <v>52.71</v>
      </c>
      <c r="J1294" s="21">
        <f t="shared" si="20"/>
        <v>0.41518029056537725</v>
      </c>
    </row>
    <row r="1295" spans="1:10" x14ac:dyDescent="0.25">
      <c r="A1295" s="20" t="s">
        <v>123</v>
      </c>
      <c r="B1295" s="20" t="s">
        <v>30</v>
      </c>
      <c r="C1295" s="20" t="s">
        <v>23</v>
      </c>
      <c r="D1295" s="20" t="s">
        <v>9</v>
      </c>
      <c r="E1295" s="20" t="s">
        <v>24</v>
      </c>
      <c r="F1295" s="20">
        <v>3863.8</v>
      </c>
      <c r="G1295" s="11">
        <f>VLOOKUP(A1295,'Operational Data'!$A$2:$E$201,3,FALSE)</f>
        <v>73977</v>
      </c>
      <c r="H1295" s="11">
        <f>VLOOKUP(A1295,'Operational Data'!$A$2:$E$201,4,FALSE)</f>
        <v>1646.75</v>
      </c>
      <c r="I1295" s="11">
        <f>VLOOKUP(A1295,'Operational Data'!$A$2:$E$201,5,FALSE)</f>
        <v>43.77</v>
      </c>
      <c r="J1295" s="21">
        <f t="shared" si="20"/>
        <v>5.2229747083552998E-2</v>
      </c>
    </row>
    <row r="1296" spans="1:10" x14ac:dyDescent="0.25">
      <c r="A1296" s="20" t="s">
        <v>151</v>
      </c>
      <c r="B1296" s="20" t="s">
        <v>12</v>
      </c>
      <c r="C1296" s="20" t="s">
        <v>34</v>
      </c>
      <c r="D1296" s="20" t="s">
        <v>14</v>
      </c>
      <c r="E1296" s="20" t="s">
        <v>10</v>
      </c>
      <c r="F1296" s="20">
        <v>1928.39</v>
      </c>
      <c r="G1296" s="11">
        <f>VLOOKUP(A1296,'Operational Data'!$A$2:$E$201,3,FALSE)</f>
        <v>61207</v>
      </c>
      <c r="H1296" s="11">
        <f>VLOOKUP(A1296,'Operational Data'!$A$2:$E$201,4,FALSE)</f>
        <v>6922.33</v>
      </c>
      <c r="I1296" s="11">
        <f>VLOOKUP(A1296,'Operational Data'!$A$2:$E$201,5,FALSE)</f>
        <v>9.1999999999999993</v>
      </c>
      <c r="J1296" s="21">
        <f t="shared" si="20"/>
        <v>3.1506036891205257E-2</v>
      </c>
    </row>
    <row r="1297" spans="1:10" ht="30" x14ac:dyDescent="0.25">
      <c r="A1297" s="20" t="s">
        <v>116</v>
      </c>
      <c r="B1297" s="20" t="s">
        <v>17</v>
      </c>
      <c r="C1297" s="20" t="s">
        <v>23</v>
      </c>
      <c r="D1297" s="20" t="s">
        <v>28</v>
      </c>
      <c r="E1297" s="20" t="s">
        <v>24</v>
      </c>
      <c r="F1297" s="20">
        <v>2001.66</v>
      </c>
      <c r="G1297" s="11">
        <f>VLOOKUP(A1297,'Operational Data'!$A$2:$E$201,3,FALSE)</f>
        <v>68216</v>
      </c>
      <c r="H1297" s="11">
        <f>VLOOKUP(A1297,'Operational Data'!$A$2:$E$201,4,FALSE)</f>
        <v>9562.33</v>
      </c>
      <c r="I1297" s="11">
        <f>VLOOKUP(A1297,'Operational Data'!$A$2:$E$201,5,FALSE)</f>
        <v>63.59</v>
      </c>
      <c r="J1297" s="21">
        <f t="shared" si="20"/>
        <v>2.934296939134514E-2</v>
      </c>
    </row>
    <row r="1298" spans="1:10" x14ac:dyDescent="0.25">
      <c r="A1298" s="20" t="s">
        <v>167</v>
      </c>
      <c r="B1298" s="20" t="s">
        <v>30</v>
      </c>
      <c r="C1298" s="20" t="s">
        <v>23</v>
      </c>
      <c r="D1298" s="20" t="s">
        <v>14</v>
      </c>
      <c r="E1298" s="20" t="s">
        <v>10</v>
      </c>
      <c r="F1298" s="20">
        <v>1031.08</v>
      </c>
      <c r="G1298" s="11">
        <f>VLOOKUP(A1298,'Operational Data'!$A$2:$E$201,3,FALSE)</f>
        <v>67213</v>
      </c>
      <c r="H1298" s="11">
        <f>VLOOKUP(A1298,'Operational Data'!$A$2:$E$201,4,FALSE)</f>
        <v>5533.81</v>
      </c>
      <c r="I1298" s="11">
        <f>VLOOKUP(A1298,'Operational Data'!$A$2:$E$201,5,FALSE)</f>
        <v>90.88</v>
      </c>
      <c r="J1298" s="21">
        <f t="shared" si="20"/>
        <v>1.5340484727656851E-2</v>
      </c>
    </row>
    <row r="1299" spans="1:10" x14ac:dyDescent="0.25">
      <c r="A1299" s="20" t="s">
        <v>182</v>
      </c>
      <c r="B1299" s="20" t="s">
        <v>12</v>
      </c>
      <c r="C1299" s="20" t="s">
        <v>34</v>
      </c>
      <c r="D1299" s="20" t="s">
        <v>14</v>
      </c>
      <c r="E1299" s="20" t="s">
        <v>10</v>
      </c>
      <c r="F1299" s="20">
        <v>4637.72</v>
      </c>
      <c r="G1299" s="11">
        <f>VLOOKUP(A1299,'Operational Data'!$A$2:$E$201,3,FALSE)</f>
        <v>21081</v>
      </c>
      <c r="H1299" s="11">
        <f>VLOOKUP(A1299,'Operational Data'!$A$2:$E$201,4,FALSE)</f>
        <v>9001.77</v>
      </c>
      <c r="I1299" s="11">
        <f>VLOOKUP(A1299,'Operational Data'!$A$2:$E$201,5,FALSE)</f>
        <v>49.27</v>
      </c>
      <c r="J1299" s="21">
        <f t="shared" si="20"/>
        <v>0.21999525639201178</v>
      </c>
    </row>
    <row r="1300" spans="1:10" x14ac:dyDescent="0.25">
      <c r="A1300" s="20" t="s">
        <v>25</v>
      </c>
      <c r="B1300" s="20" t="s">
        <v>19</v>
      </c>
      <c r="C1300" s="20" t="s">
        <v>34</v>
      </c>
      <c r="D1300" s="20" t="s">
        <v>14</v>
      </c>
      <c r="E1300" s="20" t="s">
        <v>15</v>
      </c>
      <c r="F1300" s="20">
        <v>2119.1</v>
      </c>
      <c r="G1300" s="11">
        <f>VLOOKUP(A1300,'Operational Data'!$A$2:$E$201,3,FALSE)</f>
        <v>95306</v>
      </c>
      <c r="H1300" s="11">
        <f>VLOOKUP(A1300,'Operational Data'!$A$2:$E$201,4,FALSE)</f>
        <v>9037.76</v>
      </c>
      <c r="I1300" s="11">
        <f>VLOOKUP(A1300,'Operational Data'!$A$2:$E$201,5,FALSE)</f>
        <v>13.35</v>
      </c>
      <c r="J1300" s="21">
        <f t="shared" si="20"/>
        <v>2.2234696661280508E-2</v>
      </c>
    </row>
    <row r="1301" spans="1:10" x14ac:dyDescent="0.25">
      <c r="A1301" s="20" t="s">
        <v>172</v>
      </c>
      <c r="B1301" s="20" t="s">
        <v>7</v>
      </c>
      <c r="C1301" s="20" t="s">
        <v>8</v>
      </c>
      <c r="D1301" s="20" t="s">
        <v>9</v>
      </c>
      <c r="E1301" s="20" t="s">
        <v>10</v>
      </c>
      <c r="F1301" s="20">
        <v>672.58975539999994</v>
      </c>
      <c r="G1301" s="11">
        <f>VLOOKUP(A1301,'Operational Data'!$A$2:$E$201,3,FALSE)</f>
        <v>68820</v>
      </c>
      <c r="H1301" s="11">
        <f>VLOOKUP(A1301,'Operational Data'!$A$2:$E$201,4,FALSE)</f>
        <v>9612.25</v>
      </c>
      <c r="I1301" s="11">
        <f>VLOOKUP(A1301,'Operational Data'!$A$2:$E$201,5,FALSE)</f>
        <v>83.51</v>
      </c>
      <c r="J1301" s="21">
        <f t="shared" si="20"/>
        <v>9.7731728480092983E-3</v>
      </c>
    </row>
    <row r="1302" spans="1:10" x14ac:dyDescent="0.25">
      <c r="A1302" s="20" t="s">
        <v>120</v>
      </c>
      <c r="B1302" s="20" t="s">
        <v>30</v>
      </c>
      <c r="C1302" s="20" t="s">
        <v>8</v>
      </c>
      <c r="D1302" s="20" t="s">
        <v>9</v>
      </c>
      <c r="E1302" s="20" t="s">
        <v>15</v>
      </c>
      <c r="F1302" s="20">
        <v>1187.166129</v>
      </c>
      <c r="G1302" s="11">
        <f>VLOOKUP(A1302,'Operational Data'!$A$2:$E$201,3,FALSE)</f>
        <v>79495</v>
      </c>
      <c r="H1302" s="11">
        <f>VLOOKUP(A1302,'Operational Data'!$A$2:$E$201,4,FALSE)</f>
        <v>7157.48</v>
      </c>
      <c r="I1302" s="11">
        <f>VLOOKUP(A1302,'Operational Data'!$A$2:$E$201,5,FALSE)</f>
        <v>26.84</v>
      </c>
      <c r="J1302" s="21">
        <f t="shared" si="20"/>
        <v>1.4933846518648972E-2</v>
      </c>
    </row>
    <row r="1303" spans="1:10" ht="30" x14ac:dyDescent="0.25">
      <c r="A1303" s="20" t="s">
        <v>80</v>
      </c>
      <c r="B1303" s="20" t="s">
        <v>17</v>
      </c>
      <c r="C1303" s="20" t="s">
        <v>13</v>
      </c>
      <c r="D1303" s="20" t="s">
        <v>14</v>
      </c>
      <c r="E1303" s="20" t="s">
        <v>15</v>
      </c>
      <c r="F1303" s="20">
        <v>3253.86</v>
      </c>
      <c r="G1303" s="11">
        <f>VLOOKUP(A1303,'Operational Data'!$A$2:$E$201,3,FALSE)</f>
        <v>75508</v>
      </c>
      <c r="H1303" s="11">
        <f>VLOOKUP(A1303,'Operational Data'!$A$2:$E$201,4,FALSE)</f>
        <v>6856.22</v>
      </c>
      <c r="I1303" s="11">
        <f>VLOOKUP(A1303,'Operational Data'!$A$2:$E$201,5,FALSE)</f>
        <v>18.2</v>
      </c>
      <c r="J1303" s="21">
        <f t="shared" si="20"/>
        <v>4.309291730677544E-2</v>
      </c>
    </row>
    <row r="1304" spans="1:10" ht="30" x14ac:dyDescent="0.25">
      <c r="A1304" s="20" t="s">
        <v>26</v>
      </c>
      <c r="B1304" s="20" t="s">
        <v>17</v>
      </c>
      <c r="C1304" s="20" t="s">
        <v>23</v>
      </c>
      <c r="D1304" s="20" t="s">
        <v>14</v>
      </c>
      <c r="E1304" s="20" t="s">
        <v>10</v>
      </c>
      <c r="F1304" s="20">
        <v>276.16000000000003</v>
      </c>
      <c r="G1304" s="11">
        <f>VLOOKUP(A1304,'Operational Data'!$A$2:$E$201,3,FALSE)</f>
        <v>17311</v>
      </c>
      <c r="H1304" s="11">
        <f>VLOOKUP(A1304,'Operational Data'!$A$2:$E$201,4,FALSE)</f>
        <v>2257.38</v>
      </c>
      <c r="I1304" s="11">
        <f>VLOOKUP(A1304,'Operational Data'!$A$2:$E$201,5,FALSE)</f>
        <v>91.07</v>
      </c>
      <c r="J1304" s="21">
        <f t="shared" si="20"/>
        <v>1.5952862341863557E-2</v>
      </c>
    </row>
    <row r="1305" spans="1:10" x14ac:dyDescent="0.25">
      <c r="A1305" s="20" t="s">
        <v>51</v>
      </c>
      <c r="B1305" s="20" t="s">
        <v>30</v>
      </c>
      <c r="C1305" s="20" t="s">
        <v>34</v>
      </c>
      <c r="D1305" s="20" t="s">
        <v>9</v>
      </c>
      <c r="E1305" s="20" t="s">
        <v>15</v>
      </c>
      <c r="F1305" s="20">
        <v>1988.313803</v>
      </c>
      <c r="G1305" s="11">
        <f>VLOOKUP(A1305,'Operational Data'!$A$2:$E$201,3,FALSE)</f>
        <v>44164</v>
      </c>
      <c r="H1305" s="11">
        <f>VLOOKUP(A1305,'Operational Data'!$A$2:$E$201,4,FALSE)</f>
        <v>3869.32</v>
      </c>
      <c r="I1305" s="11">
        <f>VLOOKUP(A1305,'Operational Data'!$A$2:$E$201,5,FALSE)</f>
        <v>13.81</v>
      </c>
      <c r="J1305" s="21">
        <f t="shared" si="20"/>
        <v>4.502114398605199E-2</v>
      </c>
    </row>
    <row r="1306" spans="1:10" x14ac:dyDescent="0.25">
      <c r="A1306" s="20" t="s">
        <v>67</v>
      </c>
      <c r="B1306" s="20" t="s">
        <v>7</v>
      </c>
      <c r="C1306" s="20" t="s">
        <v>13</v>
      </c>
      <c r="D1306" s="20" t="s">
        <v>28</v>
      </c>
      <c r="E1306" s="20" t="s">
        <v>10</v>
      </c>
      <c r="F1306" s="20">
        <v>1459.49</v>
      </c>
      <c r="G1306" s="11">
        <f>VLOOKUP(A1306,'Operational Data'!$A$2:$E$201,3,FALSE)</f>
        <v>70582</v>
      </c>
      <c r="H1306" s="11">
        <f>VLOOKUP(A1306,'Operational Data'!$A$2:$E$201,4,FALSE)</f>
        <v>7517.59</v>
      </c>
      <c r="I1306" s="11">
        <f>VLOOKUP(A1306,'Operational Data'!$A$2:$E$201,5,FALSE)</f>
        <v>95.71</v>
      </c>
      <c r="J1306" s="21">
        <f t="shared" si="20"/>
        <v>2.0677934884248107E-2</v>
      </c>
    </row>
    <row r="1307" spans="1:10" x14ac:dyDescent="0.25">
      <c r="A1307" s="20" t="s">
        <v>113</v>
      </c>
      <c r="B1307" s="20" t="s">
        <v>30</v>
      </c>
      <c r="C1307" s="20" t="s">
        <v>13</v>
      </c>
      <c r="D1307" s="20" t="s">
        <v>14</v>
      </c>
      <c r="E1307" s="20" t="s">
        <v>15</v>
      </c>
      <c r="F1307" s="20">
        <v>4054.68</v>
      </c>
      <c r="G1307" s="11">
        <f>VLOOKUP(A1307,'Operational Data'!$A$2:$E$201,3,FALSE)</f>
        <v>90679</v>
      </c>
      <c r="H1307" s="11">
        <f>VLOOKUP(A1307,'Operational Data'!$A$2:$E$201,4,FALSE)</f>
        <v>7266.82</v>
      </c>
      <c r="I1307" s="11">
        <f>VLOOKUP(A1307,'Operational Data'!$A$2:$E$201,5,FALSE)</f>
        <v>23.3</v>
      </c>
      <c r="J1307" s="21">
        <f t="shared" si="20"/>
        <v>4.4714652786201875E-2</v>
      </c>
    </row>
    <row r="1308" spans="1:10" x14ac:dyDescent="0.25">
      <c r="A1308" s="20" t="s">
        <v>47</v>
      </c>
      <c r="B1308" s="20" t="s">
        <v>30</v>
      </c>
      <c r="C1308" s="20" t="s">
        <v>13</v>
      </c>
      <c r="D1308" s="20" t="s">
        <v>14</v>
      </c>
      <c r="E1308" s="20" t="s">
        <v>24</v>
      </c>
      <c r="F1308" s="20">
        <v>270.88</v>
      </c>
      <c r="G1308" s="11">
        <f>VLOOKUP(A1308,'Operational Data'!$A$2:$E$201,3,FALSE)</f>
        <v>53661</v>
      </c>
      <c r="H1308" s="11">
        <f>VLOOKUP(A1308,'Operational Data'!$A$2:$E$201,4,FALSE)</f>
        <v>6965.81</v>
      </c>
      <c r="I1308" s="11">
        <f>VLOOKUP(A1308,'Operational Data'!$A$2:$E$201,5,FALSE)</f>
        <v>69.400000000000006</v>
      </c>
      <c r="J1308" s="21">
        <f t="shared" si="20"/>
        <v>5.0479864333501049E-3</v>
      </c>
    </row>
    <row r="1309" spans="1:10" x14ac:dyDescent="0.25">
      <c r="A1309" s="20" t="s">
        <v>33</v>
      </c>
      <c r="B1309" s="20" t="s">
        <v>19</v>
      </c>
      <c r="C1309" s="20" t="s">
        <v>8</v>
      </c>
      <c r="D1309" s="20" t="s">
        <v>14</v>
      </c>
      <c r="E1309" s="20" t="s">
        <v>10</v>
      </c>
      <c r="F1309" s="20">
        <v>1234.77</v>
      </c>
      <c r="G1309" s="11">
        <f>VLOOKUP(A1309,'Operational Data'!$A$2:$E$201,3,FALSE)</f>
        <v>65719</v>
      </c>
      <c r="H1309" s="11">
        <f>VLOOKUP(A1309,'Operational Data'!$A$2:$E$201,4,FALSE)</f>
        <v>9362.41</v>
      </c>
      <c r="I1309" s="11">
        <f>VLOOKUP(A1309,'Operational Data'!$A$2:$E$201,5,FALSE)</f>
        <v>86.55</v>
      </c>
      <c r="J1309" s="21">
        <f t="shared" si="20"/>
        <v>1.878863038086398E-2</v>
      </c>
    </row>
    <row r="1310" spans="1:10" x14ac:dyDescent="0.25">
      <c r="A1310" s="20" t="s">
        <v>6</v>
      </c>
      <c r="B1310" s="20" t="s">
        <v>7</v>
      </c>
      <c r="C1310" s="20" t="s">
        <v>23</v>
      </c>
      <c r="D1310" s="20" t="s">
        <v>14</v>
      </c>
      <c r="E1310" s="20" t="s">
        <v>15</v>
      </c>
      <c r="F1310" s="20">
        <v>4028.89</v>
      </c>
      <c r="G1310" s="11">
        <f>VLOOKUP(A1310,'Operational Data'!$A$2:$E$201,3,FALSE)</f>
        <v>77330</v>
      </c>
      <c r="H1310" s="11">
        <f>VLOOKUP(A1310,'Operational Data'!$A$2:$E$201,4,FALSE)</f>
        <v>6936.58</v>
      </c>
      <c r="I1310" s="11">
        <f>VLOOKUP(A1310,'Operational Data'!$A$2:$E$201,5,FALSE)</f>
        <v>82.3</v>
      </c>
      <c r="J1310" s="21">
        <f t="shared" si="20"/>
        <v>5.2099961205224359E-2</v>
      </c>
    </row>
    <row r="1311" spans="1:10" x14ac:dyDescent="0.25">
      <c r="A1311" s="20" t="s">
        <v>101</v>
      </c>
      <c r="B1311" s="20" t="s">
        <v>19</v>
      </c>
      <c r="C1311" s="20" t="s">
        <v>23</v>
      </c>
      <c r="D1311" s="20" t="s">
        <v>9</v>
      </c>
      <c r="E1311" s="20" t="s">
        <v>15</v>
      </c>
      <c r="F1311" s="20">
        <v>4303.8535140000004</v>
      </c>
      <c r="G1311" s="11">
        <f>VLOOKUP(A1311,'Operational Data'!$A$2:$E$201,3,FALSE)</f>
        <v>39050</v>
      </c>
      <c r="H1311" s="11">
        <f>VLOOKUP(A1311,'Operational Data'!$A$2:$E$201,4,FALSE)</f>
        <v>5885.73</v>
      </c>
      <c r="I1311" s="11">
        <f>VLOOKUP(A1311,'Operational Data'!$A$2:$E$201,5,FALSE)</f>
        <v>93.04</v>
      </c>
      <c r="J1311" s="21">
        <f t="shared" si="20"/>
        <v>0.11021391841229194</v>
      </c>
    </row>
    <row r="1312" spans="1:10" x14ac:dyDescent="0.25">
      <c r="A1312" s="20" t="s">
        <v>173</v>
      </c>
      <c r="B1312" s="20" t="s">
        <v>30</v>
      </c>
      <c r="C1312" s="20" t="s">
        <v>34</v>
      </c>
      <c r="D1312" s="20" t="s">
        <v>14</v>
      </c>
      <c r="E1312" s="20" t="s">
        <v>24</v>
      </c>
      <c r="F1312" s="20">
        <v>2941.43</v>
      </c>
      <c r="G1312" s="11">
        <f>VLOOKUP(A1312,'Operational Data'!$A$2:$E$201,3,FALSE)</f>
        <v>49620</v>
      </c>
      <c r="H1312" s="11">
        <f>VLOOKUP(A1312,'Operational Data'!$A$2:$E$201,4,FALSE)</f>
        <v>2424.31</v>
      </c>
      <c r="I1312" s="11">
        <f>VLOOKUP(A1312,'Operational Data'!$A$2:$E$201,5,FALSE)</f>
        <v>62.09</v>
      </c>
      <c r="J1312" s="21">
        <f t="shared" si="20"/>
        <v>5.9279121322047559E-2</v>
      </c>
    </row>
    <row r="1313" spans="1:10" x14ac:dyDescent="0.25">
      <c r="A1313" s="20" t="s">
        <v>192</v>
      </c>
      <c r="B1313" s="20" t="s">
        <v>19</v>
      </c>
      <c r="C1313" s="20" t="s">
        <v>8</v>
      </c>
      <c r="D1313" s="20" t="s">
        <v>14</v>
      </c>
      <c r="E1313" s="20" t="s">
        <v>24</v>
      </c>
      <c r="F1313" s="20">
        <v>125.18</v>
      </c>
      <c r="G1313" s="11">
        <f>VLOOKUP(A1313,'Operational Data'!$A$2:$E$201,3,FALSE)</f>
        <v>43227</v>
      </c>
      <c r="H1313" s="11">
        <f>VLOOKUP(A1313,'Operational Data'!$A$2:$E$201,4,FALSE)</f>
        <v>5199.53</v>
      </c>
      <c r="I1313" s="11">
        <f>VLOOKUP(A1313,'Operational Data'!$A$2:$E$201,5,FALSE)</f>
        <v>44.09</v>
      </c>
      <c r="J1313" s="21">
        <f t="shared" si="20"/>
        <v>2.8958752631457192E-3</v>
      </c>
    </row>
    <row r="1314" spans="1:10" x14ac:dyDescent="0.25">
      <c r="A1314" s="20" t="s">
        <v>150</v>
      </c>
      <c r="B1314" s="20" t="s">
        <v>30</v>
      </c>
      <c r="C1314" s="20" t="s">
        <v>34</v>
      </c>
      <c r="D1314" s="20" t="s">
        <v>14</v>
      </c>
      <c r="E1314" s="20" t="s">
        <v>15</v>
      </c>
      <c r="F1314" s="20">
        <v>2302.58</v>
      </c>
      <c r="G1314" s="11">
        <f>VLOOKUP(A1314,'Operational Data'!$A$2:$E$201,3,FALSE)</f>
        <v>98356</v>
      </c>
      <c r="H1314" s="11">
        <f>VLOOKUP(A1314,'Operational Data'!$A$2:$E$201,4,FALSE)</f>
        <v>6968.69</v>
      </c>
      <c r="I1314" s="11">
        <f>VLOOKUP(A1314,'Operational Data'!$A$2:$E$201,5,FALSE)</f>
        <v>81.72</v>
      </c>
      <c r="J1314" s="21">
        <f t="shared" si="20"/>
        <v>2.3410671438448084E-2</v>
      </c>
    </row>
    <row r="1315" spans="1:10" x14ac:dyDescent="0.25">
      <c r="A1315" s="20" t="s">
        <v>177</v>
      </c>
      <c r="B1315" s="20" t="s">
        <v>7</v>
      </c>
      <c r="C1315" s="20" t="s">
        <v>23</v>
      </c>
      <c r="D1315" s="20" t="s">
        <v>14</v>
      </c>
      <c r="E1315" s="20" t="s">
        <v>10</v>
      </c>
      <c r="F1315" s="20">
        <v>365.22</v>
      </c>
      <c r="G1315" s="11">
        <f>VLOOKUP(A1315,'Operational Data'!$A$2:$E$201,3,FALSE)</f>
        <v>17097</v>
      </c>
      <c r="H1315" s="11">
        <f>VLOOKUP(A1315,'Operational Data'!$A$2:$E$201,4,FALSE)</f>
        <v>9061.7800000000007</v>
      </c>
      <c r="I1315" s="11">
        <f>VLOOKUP(A1315,'Operational Data'!$A$2:$E$201,5,FALSE)</f>
        <v>95.92</v>
      </c>
      <c r="J1315" s="21">
        <f t="shared" si="20"/>
        <v>2.1361642393402352E-2</v>
      </c>
    </row>
    <row r="1316" spans="1:10" ht="30" x14ac:dyDescent="0.25">
      <c r="A1316" s="20" t="s">
        <v>131</v>
      </c>
      <c r="B1316" s="20" t="s">
        <v>17</v>
      </c>
      <c r="C1316" s="20" t="s">
        <v>34</v>
      </c>
      <c r="D1316" s="20" t="s">
        <v>28</v>
      </c>
      <c r="E1316" s="20" t="s">
        <v>24</v>
      </c>
      <c r="F1316" s="20">
        <v>93.15</v>
      </c>
      <c r="G1316" s="11">
        <f>VLOOKUP(A1316,'Operational Data'!$A$2:$E$201,3,FALSE)</f>
        <v>94128</v>
      </c>
      <c r="H1316" s="11">
        <f>VLOOKUP(A1316,'Operational Data'!$A$2:$E$201,4,FALSE)</f>
        <v>8117.82</v>
      </c>
      <c r="I1316" s="11">
        <f>VLOOKUP(A1316,'Operational Data'!$A$2:$E$201,5,FALSE)</f>
        <v>73.83</v>
      </c>
      <c r="J1316" s="21">
        <f t="shared" si="20"/>
        <v>9.8960989291177969E-4</v>
      </c>
    </row>
    <row r="1317" spans="1:10" x14ac:dyDescent="0.25">
      <c r="A1317" s="20" t="s">
        <v>170</v>
      </c>
      <c r="B1317" s="20" t="s">
        <v>12</v>
      </c>
      <c r="C1317" s="20" t="s">
        <v>13</v>
      </c>
      <c r="D1317" s="20" t="s">
        <v>28</v>
      </c>
      <c r="E1317" s="20" t="s">
        <v>15</v>
      </c>
      <c r="F1317" s="20">
        <v>807.86</v>
      </c>
      <c r="G1317" s="11">
        <f>VLOOKUP(A1317,'Operational Data'!$A$2:$E$201,3,FALSE)</f>
        <v>54133</v>
      </c>
      <c r="H1317" s="11">
        <f>VLOOKUP(A1317,'Operational Data'!$A$2:$E$201,4,FALSE)</f>
        <v>8543.68</v>
      </c>
      <c r="I1317" s="11">
        <f>VLOOKUP(A1317,'Operational Data'!$A$2:$E$201,5,FALSE)</f>
        <v>24</v>
      </c>
      <c r="J1317" s="21">
        <f t="shared" si="20"/>
        <v>1.4923614061662942E-2</v>
      </c>
    </row>
    <row r="1318" spans="1:10" x14ac:dyDescent="0.25">
      <c r="A1318" s="20" t="s">
        <v>203</v>
      </c>
      <c r="B1318" s="20" t="s">
        <v>12</v>
      </c>
      <c r="C1318" s="20" t="s">
        <v>8</v>
      </c>
      <c r="D1318" s="20" t="s">
        <v>28</v>
      </c>
      <c r="E1318" s="20" t="s">
        <v>24</v>
      </c>
      <c r="F1318" s="20">
        <v>3779.13</v>
      </c>
      <c r="G1318" s="11">
        <f>VLOOKUP(A1318,'Operational Data'!$A$2:$E$201,3,FALSE)</f>
        <v>66398</v>
      </c>
      <c r="H1318" s="11">
        <f>VLOOKUP(A1318,'Operational Data'!$A$2:$E$201,4,FALSE)</f>
        <v>8713.61</v>
      </c>
      <c r="I1318" s="11">
        <f>VLOOKUP(A1318,'Operational Data'!$A$2:$E$201,5,FALSE)</f>
        <v>83.44</v>
      </c>
      <c r="J1318" s="21">
        <f t="shared" si="20"/>
        <v>5.6916322780806654E-2</v>
      </c>
    </row>
    <row r="1319" spans="1:10" x14ac:dyDescent="0.25">
      <c r="A1319" s="20" t="s">
        <v>206</v>
      </c>
      <c r="B1319" s="20" t="s">
        <v>19</v>
      </c>
      <c r="C1319" s="20" t="s">
        <v>13</v>
      </c>
      <c r="D1319" s="20" t="s">
        <v>9</v>
      </c>
      <c r="E1319" s="20" t="s">
        <v>10</v>
      </c>
      <c r="F1319" s="20">
        <v>4998.3865500000002</v>
      </c>
      <c r="G1319" s="11">
        <f>VLOOKUP(A1319,'Operational Data'!$A$2:$E$201,3,FALSE)</f>
        <v>10250</v>
      </c>
      <c r="H1319" s="11">
        <f>VLOOKUP(A1319,'Operational Data'!$A$2:$E$201,4,FALSE)</f>
        <v>4717</v>
      </c>
      <c r="I1319" s="11">
        <f>VLOOKUP(A1319,'Operational Data'!$A$2:$E$201,5,FALSE)</f>
        <v>16.600000000000001</v>
      </c>
      <c r="J1319" s="21">
        <f t="shared" si="20"/>
        <v>0.48764746829268296</v>
      </c>
    </row>
    <row r="1320" spans="1:10" ht="30" x14ac:dyDescent="0.25">
      <c r="A1320" s="20" t="s">
        <v>16</v>
      </c>
      <c r="B1320" s="20" t="s">
        <v>17</v>
      </c>
      <c r="C1320" s="20" t="s">
        <v>34</v>
      </c>
      <c r="D1320" s="20" t="s">
        <v>14</v>
      </c>
      <c r="E1320" s="20" t="s">
        <v>24</v>
      </c>
      <c r="F1320" s="20">
        <v>2268.11</v>
      </c>
      <c r="G1320" s="11">
        <f>VLOOKUP(A1320,'Operational Data'!$A$2:$E$201,3,FALSE)</f>
        <v>43512</v>
      </c>
      <c r="H1320" s="11">
        <f>VLOOKUP(A1320,'Operational Data'!$A$2:$E$201,4,FALSE)</f>
        <v>5352.18</v>
      </c>
      <c r="I1320" s="11">
        <f>VLOOKUP(A1320,'Operational Data'!$A$2:$E$201,5,FALSE)</f>
        <v>6.17</v>
      </c>
      <c r="J1320" s="21">
        <f t="shared" si="20"/>
        <v>5.2126080161794451E-2</v>
      </c>
    </row>
    <row r="1321" spans="1:10" x14ac:dyDescent="0.25">
      <c r="A1321" s="20" t="s">
        <v>189</v>
      </c>
      <c r="B1321" s="20" t="s">
        <v>19</v>
      </c>
      <c r="C1321" s="20" t="s">
        <v>8</v>
      </c>
      <c r="D1321" s="20" t="s">
        <v>14</v>
      </c>
      <c r="E1321" s="20" t="s">
        <v>24</v>
      </c>
      <c r="F1321" s="20">
        <v>1247.71</v>
      </c>
      <c r="G1321" s="11">
        <f>VLOOKUP(A1321,'Operational Data'!$A$2:$E$201,3,FALSE)</f>
        <v>27681</v>
      </c>
      <c r="H1321" s="11">
        <f>VLOOKUP(A1321,'Operational Data'!$A$2:$E$201,4,FALSE)</f>
        <v>928.26</v>
      </c>
      <c r="I1321" s="11">
        <f>VLOOKUP(A1321,'Operational Data'!$A$2:$E$201,5,FALSE)</f>
        <v>44.97</v>
      </c>
      <c r="J1321" s="21">
        <f t="shared" si="20"/>
        <v>4.5074599906072758E-2</v>
      </c>
    </row>
    <row r="1322" spans="1:10" x14ac:dyDescent="0.25">
      <c r="A1322" s="20" t="s">
        <v>138</v>
      </c>
      <c r="B1322" s="20" t="s">
        <v>12</v>
      </c>
      <c r="C1322" s="20" t="s">
        <v>34</v>
      </c>
      <c r="D1322" s="20" t="s">
        <v>28</v>
      </c>
      <c r="E1322" s="20" t="s">
        <v>24</v>
      </c>
      <c r="F1322" s="20">
        <v>2941.25</v>
      </c>
      <c r="G1322" s="11">
        <f>VLOOKUP(A1322,'Operational Data'!$A$2:$E$201,3,FALSE)</f>
        <v>57353</v>
      </c>
      <c r="H1322" s="11">
        <f>VLOOKUP(A1322,'Operational Data'!$A$2:$E$201,4,FALSE)</f>
        <v>2274.71</v>
      </c>
      <c r="I1322" s="11">
        <f>VLOOKUP(A1322,'Operational Data'!$A$2:$E$201,5,FALSE)</f>
        <v>65.34</v>
      </c>
      <c r="J1322" s="21">
        <f t="shared" si="20"/>
        <v>5.1283280735096679E-2</v>
      </c>
    </row>
    <row r="1323" spans="1:10" x14ac:dyDescent="0.25">
      <c r="A1323" s="20" t="s">
        <v>63</v>
      </c>
      <c r="B1323" s="20" t="s">
        <v>12</v>
      </c>
      <c r="C1323" s="20" t="s">
        <v>13</v>
      </c>
      <c r="D1323" s="20" t="s">
        <v>28</v>
      </c>
      <c r="E1323" s="20" t="s">
        <v>24</v>
      </c>
      <c r="F1323" s="20">
        <v>1210.07</v>
      </c>
      <c r="G1323" s="11">
        <f>VLOOKUP(A1323,'Operational Data'!$A$2:$E$201,3,FALSE)</f>
        <v>33688</v>
      </c>
      <c r="H1323" s="11">
        <f>VLOOKUP(A1323,'Operational Data'!$A$2:$E$201,4,FALSE)</f>
        <v>9495.48</v>
      </c>
      <c r="I1323" s="11">
        <f>VLOOKUP(A1323,'Operational Data'!$A$2:$E$201,5,FALSE)</f>
        <v>55.55</v>
      </c>
      <c r="J1323" s="21">
        <f t="shared" si="20"/>
        <v>3.5919912134884824E-2</v>
      </c>
    </row>
    <row r="1324" spans="1:10" x14ac:dyDescent="0.25">
      <c r="A1324" s="20" t="s">
        <v>25</v>
      </c>
      <c r="B1324" s="20" t="s">
        <v>19</v>
      </c>
      <c r="C1324" s="20" t="s">
        <v>34</v>
      </c>
      <c r="D1324" s="20" t="s">
        <v>28</v>
      </c>
      <c r="E1324" s="20" t="s">
        <v>15</v>
      </c>
      <c r="F1324" s="20">
        <v>4451</v>
      </c>
      <c r="G1324" s="11">
        <f>VLOOKUP(A1324,'Operational Data'!$A$2:$E$201,3,FALSE)</f>
        <v>95306</v>
      </c>
      <c r="H1324" s="11">
        <f>VLOOKUP(A1324,'Operational Data'!$A$2:$E$201,4,FALSE)</f>
        <v>9037.76</v>
      </c>
      <c r="I1324" s="11">
        <f>VLOOKUP(A1324,'Operational Data'!$A$2:$E$201,5,FALSE)</f>
        <v>13.35</v>
      </c>
      <c r="J1324" s="21">
        <f t="shared" si="20"/>
        <v>4.6702201330451387E-2</v>
      </c>
    </row>
    <row r="1325" spans="1:10" ht="30" x14ac:dyDescent="0.25">
      <c r="A1325" s="20" t="s">
        <v>20</v>
      </c>
      <c r="B1325" s="20" t="s">
        <v>17</v>
      </c>
      <c r="C1325" s="20" t="s">
        <v>23</v>
      </c>
      <c r="D1325" s="20" t="s">
        <v>28</v>
      </c>
      <c r="E1325" s="20" t="s">
        <v>24</v>
      </c>
      <c r="F1325" s="20">
        <v>867.35</v>
      </c>
      <c r="G1325" s="11">
        <f>VLOOKUP(A1325,'Operational Data'!$A$2:$E$201,3,FALSE)</f>
        <v>29895</v>
      </c>
      <c r="H1325" s="11">
        <f>VLOOKUP(A1325,'Operational Data'!$A$2:$E$201,4,FALSE)</f>
        <v>1631.08</v>
      </c>
      <c r="I1325" s="11">
        <f>VLOOKUP(A1325,'Operational Data'!$A$2:$E$201,5,FALSE)</f>
        <v>39.93</v>
      </c>
      <c r="J1325" s="21">
        <f t="shared" si="20"/>
        <v>2.9013212911858172E-2</v>
      </c>
    </row>
    <row r="1326" spans="1:10" x14ac:dyDescent="0.25">
      <c r="A1326" s="20" t="s">
        <v>85</v>
      </c>
      <c r="B1326" s="20" t="s">
        <v>30</v>
      </c>
      <c r="C1326" s="20" t="s">
        <v>23</v>
      </c>
      <c r="D1326" s="20" t="s">
        <v>14</v>
      </c>
      <c r="E1326" s="20" t="s">
        <v>10</v>
      </c>
      <c r="F1326" s="20">
        <v>3856.1</v>
      </c>
      <c r="G1326" s="11">
        <f>VLOOKUP(A1326,'Operational Data'!$A$2:$E$201,3,FALSE)</f>
        <v>45519</v>
      </c>
      <c r="H1326" s="11">
        <f>VLOOKUP(A1326,'Operational Data'!$A$2:$E$201,4,FALSE)</f>
        <v>7987.69</v>
      </c>
      <c r="I1326" s="11">
        <f>VLOOKUP(A1326,'Operational Data'!$A$2:$E$201,5,FALSE)</f>
        <v>10.86</v>
      </c>
      <c r="J1326" s="21">
        <f t="shared" si="20"/>
        <v>8.4714075441024619E-2</v>
      </c>
    </row>
    <row r="1327" spans="1:10" x14ac:dyDescent="0.25">
      <c r="A1327" s="20" t="s">
        <v>29</v>
      </c>
      <c r="B1327" s="20" t="s">
        <v>30</v>
      </c>
      <c r="C1327" s="20" t="s">
        <v>34</v>
      </c>
      <c r="D1327" s="20" t="s">
        <v>28</v>
      </c>
      <c r="E1327" s="20" t="s">
        <v>10</v>
      </c>
      <c r="F1327" s="20">
        <v>1963.47</v>
      </c>
      <c r="G1327" s="11">
        <f>VLOOKUP(A1327,'Operational Data'!$A$2:$E$201,3,FALSE)</f>
        <v>32131</v>
      </c>
      <c r="H1327" s="11">
        <f>VLOOKUP(A1327,'Operational Data'!$A$2:$E$201,4,FALSE)</f>
        <v>1474.23</v>
      </c>
      <c r="I1327" s="11">
        <f>VLOOKUP(A1327,'Operational Data'!$A$2:$E$201,5,FALSE)</f>
        <v>45.47</v>
      </c>
      <c r="J1327" s="21">
        <f t="shared" si="20"/>
        <v>6.1108275497183409E-2</v>
      </c>
    </row>
    <row r="1328" spans="1:10" x14ac:dyDescent="0.25">
      <c r="A1328" s="20" t="s">
        <v>18</v>
      </c>
      <c r="B1328" s="20" t="s">
        <v>19</v>
      </c>
      <c r="C1328" s="20" t="s">
        <v>13</v>
      </c>
      <c r="D1328" s="20" t="s">
        <v>14</v>
      </c>
      <c r="E1328" s="20" t="s">
        <v>10</v>
      </c>
      <c r="F1328" s="20">
        <v>4776.8</v>
      </c>
      <c r="G1328" s="11">
        <f>VLOOKUP(A1328,'Operational Data'!$A$2:$E$201,3,FALSE)</f>
        <v>98682</v>
      </c>
      <c r="H1328" s="11">
        <f>VLOOKUP(A1328,'Operational Data'!$A$2:$E$201,4,FALSE)</f>
        <v>6220.56</v>
      </c>
      <c r="I1328" s="11">
        <f>VLOOKUP(A1328,'Operational Data'!$A$2:$E$201,5,FALSE)</f>
        <v>70.099999999999994</v>
      </c>
      <c r="J1328" s="21">
        <f t="shared" si="20"/>
        <v>4.840599096086419E-2</v>
      </c>
    </row>
    <row r="1329" spans="1:10" x14ac:dyDescent="0.25">
      <c r="A1329" s="20" t="s">
        <v>150</v>
      </c>
      <c r="B1329" s="20" t="s">
        <v>30</v>
      </c>
      <c r="C1329" s="20" t="s">
        <v>23</v>
      </c>
      <c r="D1329" s="20" t="s">
        <v>14</v>
      </c>
      <c r="E1329" s="20" t="s">
        <v>24</v>
      </c>
      <c r="F1329" s="20">
        <v>1736.71</v>
      </c>
      <c r="G1329" s="11">
        <f>VLOOKUP(A1329,'Operational Data'!$A$2:$E$201,3,FALSE)</f>
        <v>98356</v>
      </c>
      <c r="H1329" s="11">
        <f>VLOOKUP(A1329,'Operational Data'!$A$2:$E$201,4,FALSE)</f>
        <v>6968.69</v>
      </c>
      <c r="I1329" s="11">
        <f>VLOOKUP(A1329,'Operational Data'!$A$2:$E$201,5,FALSE)</f>
        <v>81.72</v>
      </c>
      <c r="J1329" s="21">
        <f t="shared" si="20"/>
        <v>1.7657387449672619E-2</v>
      </c>
    </row>
    <row r="1330" spans="1:10" x14ac:dyDescent="0.25">
      <c r="A1330" s="20" t="s">
        <v>70</v>
      </c>
      <c r="B1330" s="20" t="s">
        <v>19</v>
      </c>
      <c r="C1330" s="20" t="s">
        <v>8</v>
      </c>
      <c r="D1330" s="20" t="s">
        <v>14</v>
      </c>
      <c r="E1330" s="20" t="s">
        <v>15</v>
      </c>
      <c r="F1330" s="20">
        <v>4367.4799999999996</v>
      </c>
      <c r="G1330" s="11">
        <f>VLOOKUP(A1330,'Operational Data'!$A$2:$E$201,3,FALSE)</f>
        <v>42485</v>
      </c>
      <c r="H1330" s="11">
        <f>VLOOKUP(A1330,'Operational Data'!$A$2:$E$201,4,FALSE)</f>
        <v>4755.75</v>
      </c>
      <c r="I1330" s="11">
        <f>VLOOKUP(A1330,'Operational Data'!$A$2:$E$201,5,FALSE)</f>
        <v>10.19</v>
      </c>
      <c r="J1330" s="21">
        <f t="shared" si="20"/>
        <v>0.10280051782982227</v>
      </c>
    </row>
    <row r="1331" spans="1:10" ht="30" x14ac:dyDescent="0.25">
      <c r="A1331" s="20" t="s">
        <v>143</v>
      </c>
      <c r="B1331" s="20" t="s">
        <v>17</v>
      </c>
      <c r="C1331" s="20" t="s">
        <v>23</v>
      </c>
      <c r="D1331" s="20" t="s">
        <v>28</v>
      </c>
      <c r="E1331" s="20" t="s">
        <v>15</v>
      </c>
      <c r="F1331" s="20">
        <v>700.15</v>
      </c>
      <c r="G1331" s="11">
        <f>VLOOKUP(A1331,'Operational Data'!$A$2:$E$201,3,FALSE)</f>
        <v>94704</v>
      </c>
      <c r="H1331" s="11">
        <f>VLOOKUP(A1331,'Operational Data'!$A$2:$E$201,4,FALSE)</f>
        <v>6632.95</v>
      </c>
      <c r="I1331" s="11">
        <f>VLOOKUP(A1331,'Operational Data'!$A$2:$E$201,5,FALSE)</f>
        <v>14.76</v>
      </c>
      <c r="J1331" s="21">
        <f t="shared" si="20"/>
        <v>7.3930351410711271E-3</v>
      </c>
    </row>
    <row r="1332" spans="1:10" x14ac:dyDescent="0.25">
      <c r="A1332" s="20" t="s">
        <v>151</v>
      </c>
      <c r="B1332" s="20" t="s">
        <v>12</v>
      </c>
      <c r="C1332" s="20" t="s">
        <v>34</v>
      </c>
      <c r="D1332" s="20" t="s">
        <v>28</v>
      </c>
      <c r="E1332" s="20" t="s">
        <v>15</v>
      </c>
      <c r="F1332" s="20">
        <v>4667.1400000000003</v>
      </c>
      <c r="G1332" s="11">
        <f>VLOOKUP(A1332,'Operational Data'!$A$2:$E$201,3,FALSE)</f>
        <v>61207</v>
      </c>
      <c r="H1332" s="11">
        <f>VLOOKUP(A1332,'Operational Data'!$A$2:$E$201,4,FALSE)</f>
        <v>6922.33</v>
      </c>
      <c r="I1332" s="11">
        <f>VLOOKUP(A1332,'Operational Data'!$A$2:$E$201,5,FALSE)</f>
        <v>9.1999999999999993</v>
      </c>
      <c r="J1332" s="21">
        <f t="shared" si="20"/>
        <v>7.6251735912559029E-2</v>
      </c>
    </row>
    <row r="1333" spans="1:10" x14ac:dyDescent="0.25">
      <c r="A1333" s="20" t="s">
        <v>146</v>
      </c>
      <c r="B1333" s="20" t="s">
        <v>7</v>
      </c>
      <c r="C1333" s="20" t="s">
        <v>34</v>
      </c>
      <c r="D1333" s="20" t="s">
        <v>9</v>
      </c>
      <c r="E1333" s="20" t="s">
        <v>24</v>
      </c>
      <c r="F1333" s="20">
        <v>2262.4267799999998</v>
      </c>
      <c r="G1333" s="11">
        <f>VLOOKUP(A1333,'Operational Data'!$A$2:$E$201,3,FALSE)</f>
        <v>14170</v>
      </c>
      <c r="H1333" s="11">
        <f>VLOOKUP(A1333,'Operational Data'!$A$2:$E$201,4,FALSE)</f>
        <v>5455.23</v>
      </c>
      <c r="I1333" s="11">
        <f>VLOOKUP(A1333,'Operational Data'!$A$2:$E$201,5,FALSE)</f>
        <v>25.46</v>
      </c>
      <c r="J1333" s="21">
        <f t="shared" si="20"/>
        <v>0.1596631460832745</v>
      </c>
    </row>
    <row r="1334" spans="1:10" x14ac:dyDescent="0.25">
      <c r="A1334" s="20" t="s">
        <v>153</v>
      </c>
      <c r="B1334" s="20" t="s">
        <v>7</v>
      </c>
      <c r="C1334" s="20" t="s">
        <v>13</v>
      </c>
      <c r="D1334" s="20" t="s">
        <v>28</v>
      </c>
      <c r="E1334" s="20" t="s">
        <v>10</v>
      </c>
      <c r="F1334" s="20">
        <v>4898.1499999999996</v>
      </c>
      <c r="G1334" s="11">
        <f>VLOOKUP(A1334,'Operational Data'!$A$2:$E$201,3,FALSE)</f>
        <v>21388</v>
      </c>
      <c r="H1334" s="11">
        <f>VLOOKUP(A1334,'Operational Data'!$A$2:$E$201,4,FALSE)</f>
        <v>5249.39</v>
      </c>
      <c r="I1334" s="11">
        <f>VLOOKUP(A1334,'Operational Data'!$A$2:$E$201,5,FALSE)</f>
        <v>64.2</v>
      </c>
      <c r="J1334" s="21">
        <f t="shared" si="20"/>
        <v>0.22901393304656814</v>
      </c>
    </row>
    <row r="1335" spans="1:10" x14ac:dyDescent="0.25">
      <c r="A1335" s="20" t="s">
        <v>208</v>
      </c>
      <c r="B1335" s="20" t="s">
        <v>19</v>
      </c>
      <c r="C1335" s="20" t="s">
        <v>13</v>
      </c>
      <c r="D1335" s="20" t="s">
        <v>14</v>
      </c>
      <c r="E1335" s="20" t="s">
        <v>15</v>
      </c>
      <c r="F1335" s="20">
        <v>2735.09</v>
      </c>
      <c r="G1335" s="11">
        <f>VLOOKUP(A1335,'Operational Data'!$A$2:$E$201,3,FALSE)</f>
        <v>40553</v>
      </c>
      <c r="H1335" s="11">
        <f>VLOOKUP(A1335,'Operational Data'!$A$2:$E$201,4,FALSE)</f>
        <v>4875.2299999999996</v>
      </c>
      <c r="I1335" s="11">
        <f>VLOOKUP(A1335,'Operational Data'!$A$2:$E$201,5,FALSE)</f>
        <v>23.33</v>
      </c>
      <c r="J1335" s="21">
        <f t="shared" si="20"/>
        <v>6.7444825290360763E-2</v>
      </c>
    </row>
    <row r="1336" spans="1:10" x14ac:dyDescent="0.25">
      <c r="A1336" s="20" t="s">
        <v>32</v>
      </c>
      <c r="B1336" s="20" t="s">
        <v>7</v>
      </c>
      <c r="C1336" s="20" t="s">
        <v>13</v>
      </c>
      <c r="D1336" s="20" t="s">
        <v>28</v>
      </c>
      <c r="E1336" s="20" t="s">
        <v>15</v>
      </c>
      <c r="F1336" s="20">
        <v>129.43</v>
      </c>
      <c r="G1336" s="11">
        <f>VLOOKUP(A1336,'Operational Data'!$A$2:$E$201,3,FALSE)</f>
        <v>10933</v>
      </c>
      <c r="H1336" s="11">
        <f>VLOOKUP(A1336,'Operational Data'!$A$2:$E$201,4,FALSE)</f>
        <v>9004.3700000000008</v>
      </c>
      <c r="I1336" s="11">
        <f>VLOOKUP(A1336,'Operational Data'!$A$2:$E$201,5,FALSE)</f>
        <v>26.84</v>
      </c>
      <c r="J1336" s="21">
        <f t="shared" si="20"/>
        <v>1.1838470685081863E-2</v>
      </c>
    </row>
    <row r="1337" spans="1:10" x14ac:dyDescent="0.25">
      <c r="A1337" s="20" t="s">
        <v>203</v>
      </c>
      <c r="B1337" s="20" t="s">
        <v>12</v>
      </c>
      <c r="C1337" s="20" t="s">
        <v>34</v>
      </c>
      <c r="D1337" s="20" t="s">
        <v>28</v>
      </c>
      <c r="E1337" s="20" t="s">
        <v>15</v>
      </c>
      <c r="F1337" s="20">
        <v>556.38</v>
      </c>
      <c r="G1337" s="11">
        <f>VLOOKUP(A1337,'Operational Data'!$A$2:$E$201,3,FALSE)</f>
        <v>66398</v>
      </c>
      <c r="H1337" s="11">
        <f>VLOOKUP(A1337,'Operational Data'!$A$2:$E$201,4,FALSE)</f>
        <v>8713.61</v>
      </c>
      <c r="I1337" s="11">
        <f>VLOOKUP(A1337,'Operational Data'!$A$2:$E$201,5,FALSE)</f>
        <v>83.44</v>
      </c>
      <c r="J1337" s="21">
        <f t="shared" si="20"/>
        <v>8.3794692611223222E-3</v>
      </c>
    </row>
    <row r="1338" spans="1:10" x14ac:dyDescent="0.25">
      <c r="A1338" s="20" t="s">
        <v>67</v>
      </c>
      <c r="B1338" s="20" t="s">
        <v>7</v>
      </c>
      <c r="C1338" s="20" t="s">
        <v>23</v>
      </c>
      <c r="D1338" s="20" t="s">
        <v>14</v>
      </c>
      <c r="E1338" s="20" t="s">
        <v>10</v>
      </c>
      <c r="F1338" s="20">
        <v>358.08</v>
      </c>
      <c r="G1338" s="11">
        <f>VLOOKUP(A1338,'Operational Data'!$A$2:$E$201,3,FALSE)</f>
        <v>70582</v>
      </c>
      <c r="H1338" s="11">
        <f>VLOOKUP(A1338,'Operational Data'!$A$2:$E$201,4,FALSE)</f>
        <v>7517.59</v>
      </c>
      <c r="I1338" s="11">
        <f>VLOOKUP(A1338,'Operational Data'!$A$2:$E$201,5,FALSE)</f>
        <v>95.71</v>
      </c>
      <c r="J1338" s="21">
        <f t="shared" si="20"/>
        <v>5.0732481369187609E-3</v>
      </c>
    </row>
    <row r="1339" spans="1:10" x14ac:dyDescent="0.25">
      <c r="A1339" s="20" t="s">
        <v>87</v>
      </c>
      <c r="B1339" s="20" t="s">
        <v>12</v>
      </c>
      <c r="C1339" s="20" t="s">
        <v>34</v>
      </c>
      <c r="D1339" s="20" t="s">
        <v>9</v>
      </c>
      <c r="E1339" s="20" t="s">
        <v>24</v>
      </c>
      <c r="F1339" s="20">
        <v>5236.8358760000001</v>
      </c>
      <c r="G1339" s="11">
        <f>VLOOKUP(A1339,'Operational Data'!$A$2:$E$201,3,FALSE)</f>
        <v>15333</v>
      </c>
      <c r="H1339" s="11">
        <f>VLOOKUP(A1339,'Operational Data'!$A$2:$E$201,4,FALSE)</f>
        <v>2570.54</v>
      </c>
      <c r="I1339" s="11">
        <f>VLOOKUP(A1339,'Operational Data'!$A$2:$E$201,5,FALSE)</f>
        <v>41.07</v>
      </c>
      <c r="J1339" s="21">
        <f t="shared" si="20"/>
        <v>0.34154019930868063</v>
      </c>
    </row>
    <row r="1340" spans="1:10" x14ac:dyDescent="0.25">
      <c r="A1340" s="20" t="s">
        <v>210</v>
      </c>
      <c r="B1340" s="20" t="s">
        <v>7</v>
      </c>
      <c r="C1340" s="20" t="s">
        <v>34</v>
      </c>
      <c r="D1340" s="20" t="s">
        <v>28</v>
      </c>
      <c r="E1340" s="20" t="s">
        <v>24</v>
      </c>
      <c r="F1340" s="20">
        <v>2820.63</v>
      </c>
      <c r="G1340" s="11">
        <f>VLOOKUP(A1340,'Operational Data'!$A$2:$E$201,3,FALSE)</f>
        <v>65666</v>
      </c>
      <c r="H1340" s="11">
        <f>VLOOKUP(A1340,'Operational Data'!$A$2:$E$201,4,FALSE)</f>
        <v>7269.98</v>
      </c>
      <c r="I1340" s="11">
        <f>VLOOKUP(A1340,'Operational Data'!$A$2:$E$201,5,FALSE)</f>
        <v>75.62</v>
      </c>
      <c r="J1340" s="21">
        <f t="shared" si="20"/>
        <v>4.2954192428349525E-2</v>
      </c>
    </row>
    <row r="1341" spans="1:10" x14ac:dyDescent="0.25">
      <c r="A1341" s="20" t="s">
        <v>35</v>
      </c>
      <c r="B1341" s="20" t="s">
        <v>19</v>
      </c>
      <c r="C1341" s="20" t="s">
        <v>34</v>
      </c>
      <c r="D1341" s="20" t="s">
        <v>9</v>
      </c>
      <c r="E1341" s="20" t="s">
        <v>15</v>
      </c>
      <c r="F1341" s="20">
        <v>1652.6301820000001</v>
      </c>
      <c r="G1341" s="11">
        <f>VLOOKUP(A1341,'Operational Data'!$A$2:$E$201,3,FALSE)</f>
        <v>42382</v>
      </c>
      <c r="H1341" s="11">
        <f>VLOOKUP(A1341,'Operational Data'!$A$2:$E$201,4,FALSE)</f>
        <v>5116.6899999999996</v>
      </c>
      <c r="I1341" s="11">
        <f>VLOOKUP(A1341,'Operational Data'!$A$2:$E$201,5,FALSE)</f>
        <v>80.42</v>
      </c>
      <c r="J1341" s="21">
        <f t="shared" si="20"/>
        <v>3.8993680855079989E-2</v>
      </c>
    </row>
    <row r="1342" spans="1:10" x14ac:dyDescent="0.25">
      <c r="A1342" s="20" t="s">
        <v>206</v>
      </c>
      <c r="B1342" s="20" t="s">
        <v>19</v>
      </c>
      <c r="C1342" s="20" t="s">
        <v>34</v>
      </c>
      <c r="D1342" s="20" t="s">
        <v>9</v>
      </c>
      <c r="E1342" s="20" t="s">
        <v>15</v>
      </c>
      <c r="F1342" s="20">
        <v>4298.4759350000004</v>
      </c>
      <c r="G1342" s="11">
        <f>VLOOKUP(A1342,'Operational Data'!$A$2:$E$201,3,FALSE)</f>
        <v>10250</v>
      </c>
      <c r="H1342" s="11">
        <f>VLOOKUP(A1342,'Operational Data'!$A$2:$E$201,4,FALSE)</f>
        <v>4717</v>
      </c>
      <c r="I1342" s="11">
        <f>VLOOKUP(A1342,'Operational Data'!$A$2:$E$201,5,FALSE)</f>
        <v>16.600000000000001</v>
      </c>
      <c r="J1342" s="21">
        <f t="shared" si="20"/>
        <v>0.41936350585365856</v>
      </c>
    </row>
    <row r="1343" spans="1:10" x14ac:dyDescent="0.25">
      <c r="A1343" s="20" t="s">
        <v>169</v>
      </c>
      <c r="B1343" s="20" t="s">
        <v>12</v>
      </c>
      <c r="C1343" s="20" t="s">
        <v>34</v>
      </c>
      <c r="D1343" s="20" t="s">
        <v>14</v>
      </c>
      <c r="E1343" s="20" t="s">
        <v>10</v>
      </c>
      <c r="F1343" s="20">
        <v>2188.52</v>
      </c>
      <c r="G1343" s="11">
        <f>VLOOKUP(A1343,'Operational Data'!$A$2:$E$201,3,FALSE)</f>
        <v>82377</v>
      </c>
      <c r="H1343" s="11">
        <f>VLOOKUP(A1343,'Operational Data'!$A$2:$E$201,4,FALSE)</f>
        <v>7974.74</v>
      </c>
      <c r="I1343" s="11">
        <f>VLOOKUP(A1343,'Operational Data'!$A$2:$E$201,5,FALSE)</f>
        <v>9.17</v>
      </c>
      <c r="J1343" s="21">
        <f t="shared" si="20"/>
        <v>2.6567124318681187E-2</v>
      </c>
    </row>
    <row r="1344" spans="1:10" x14ac:dyDescent="0.25">
      <c r="A1344" s="20" t="s">
        <v>141</v>
      </c>
      <c r="B1344" s="20" t="s">
        <v>7</v>
      </c>
      <c r="C1344" s="20" t="s">
        <v>8</v>
      </c>
      <c r="D1344" s="20" t="s">
        <v>28</v>
      </c>
      <c r="E1344" s="20" t="s">
        <v>15</v>
      </c>
      <c r="F1344" s="20">
        <v>228.37</v>
      </c>
      <c r="G1344" s="11">
        <f>VLOOKUP(A1344,'Operational Data'!$A$2:$E$201,3,FALSE)</f>
        <v>45644</v>
      </c>
      <c r="H1344" s="11">
        <f>VLOOKUP(A1344,'Operational Data'!$A$2:$E$201,4,FALSE)</f>
        <v>7724.73</v>
      </c>
      <c r="I1344" s="11">
        <f>VLOOKUP(A1344,'Operational Data'!$A$2:$E$201,5,FALSE)</f>
        <v>31</v>
      </c>
      <c r="J1344" s="21">
        <f t="shared" si="20"/>
        <v>5.0032863026903867E-3</v>
      </c>
    </row>
    <row r="1345" spans="1:10" x14ac:dyDescent="0.25">
      <c r="A1345" s="20" t="s">
        <v>169</v>
      </c>
      <c r="B1345" s="20" t="s">
        <v>12</v>
      </c>
      <c r="C1345" s="20" t="s">
        <v>34</v>
      </c>
      <c r="D1345" s="20" t="s">
        <v>9</v>
      </c>
      <c r="E1345" s="20" t="s">
        <v>10</v>
      </c>
      <c r="F1345" s="20">
        <v>3425.06</v>
      </c>
      <c r="G1345" s="11">
        <f>VLOOKUP(A1345,'Operational Data'!$A$2:$E$201,3,FALSE)</f>
        <v>82377</v>
      </c>
      <c r="H1345" s="11">
        <f>VLOOKUP(A1345,'Operational Data'!$A$2:$E$201,4,FALSE)</f>
        <v>7974.74</v>
      </c>
      <c r="I1345" s="11">
        <f>VLOOKUP(A1345,'Operational Data'!$A$2:$E$201,5,FALSE)</f>
        <v>9.17</v>
      </c>
      <c r="J1345" s="21">
        <f t="shared" si="20"/>
        <v>4.1577867608677176E-2</v>
      </c>
    </row>
    <row r="1346" spans="1:10" ht="30" x14ac:dyDescent="0.25">
      <c r="A1346" s="20" t="s">
        <v>140</v>
      </c>
      <c r="B1346" s="20" t="s">
        <v>17</v>
      </c>
      <c r="C1346" s="20" t="s">
        <v>34</v>
      </c>
      <c r="D1346" s="20" t="s">
        <v>28</v>
      </c>
      <c r="E1346" s="20" t="s">
        <v>24</v>
      </c>
      <c r="F1346" s="20">
        <v>3780.56</v>
      </c>
      <c r="G1346" s="11">
        <f>VLOOKUP(A1346,'Operational Data'!$A$2:$E$201,3,FALSE)</f>
        <v>88308</v>
      </c>
      <c r="H1346" s="11">
        <f>VLOOKUP(A1346,'Operational Data'!$A$2:$E$201,4,FALSE)</f>
        <v>7802.07</v>
      </c>
      <c r="I1346" s="11">
        <f>VLOOKUP(A1346,'Operational Data'!$A$2:$E$201,5,FALSE)</f>
        <v>36.130000000000003</v>
      </c>
      <c r="J1346" s="21">
        <f t="shared" si="20"/>
        <v>4.2811070344702634E-2</v>
      </c>
    </row>
    <row r="1347" spans="1:10" x14ac:dyDescent="0.25">
      <c r="A1347" s="20" t="s">
        <v>113</v>
      </c>
      <c r="B1347" s="20" t="s">
        <v>30</v>
      </c>
      <c r="C1347" s="20" t="s">
        <v>13</v>
      </c>
      <c r="D1347" s="20" t="s">
        <v>28</v>
      </c>
      <c r="E1347" s="20" t="s">
        <v>24</v>
      </c>
      <c r="F1347" s="20">
        <v>1026.45</v>
      </c>
      <c r="G1347" s="11">
        <f>VLOOKUP(A1347,'Operational Data'!$A$2:$E$201,3,FALSE)</f>
        <v>90679</v>
      </c>
      <c r="H1347" s="11">
        <f>VLOOKUP(A1347,'Operational Data'!$A$2:$E$201,4,FALSE)</f>
        <v>7266.82</v>
      </c>
      <c r="I1347" s="11">
        <f>VLOOKUP(A1347,'Operational Data'!$A$2:$E$201,5,FALSE)</f>
        <v>23.3</v>
      </c>
      <c r="J1347" s="21">
        <f t="shared" ref="J1347:J1410" si="21">F1347/G1347</f>
        <v>1.1319599907365543E-2</v>
      </c>
    </row>
    <row r="1348" spans="1:10" x14ac:dyDescent="0.25">
      <c r="A1348" s="20" t="s">
        <v>73</v>
      </c>
      <c r="B1348" s="20" t="s">
        <v>30</v>
      </c>
      <c r="C1348" s="20" t="s">
        <v>8</v>
      </c>
      <c r="D1348" s="20" t="s">
        <v>9</v>
      </c>
      <c r="E1348" s="20" t="s">
        <v>15</v>
      </c>
      <c r="F1348" s="20">
        <v>1973.1370979999999</v>
      </c>
      <c r="G1348" s="11">
        <f>VLOOKUP(A1348,'Operational Data'!$A$2:$E$201,3,FALSE)</f>
        <v>55974</v>
      </c>
      <c r="H1348" s="11">
        <f>VLOOKUP(A1348,'Operational Data'!$A$2:$E$201,4,FALSE)</f>
        <v>7542.28</v>
      </c>
      <c r="I1348" s="11">
        <f>VLOOKUP(A1348,'Operational Data'!$A$2:$E$201,5,FALSE)</f>
        <v>72.430000000000007</v>
      </c>
      <c r="J1348" s="21">
        <f t="shared" si="21"/>
        <v>3.525095755172044E-2</v>
      </c>
    </row>
    <row r="1349" spans="1:10" x14ac:dyDescent="0.25">
      <c r="A1349" s="20" t="s">
        <v>203</v>
      </c>
      <c r="B1349" s="20" t="s">
        <v>12</v>
      </c>
      <c r="C1349" s="20" t="s">
        <v>13</v>
      </c>
      <c r="D1349" s="20" t="s">
        <v>9</v>
      </c>
      <c r="E1349" s="20" t="s">
        <v>15</v>
      </c>
      <c r="F1349" s="20">
        <v>3828.4128340000002</v>
      </c>
      <c r="G1349" s="11">
        <f>VLOOKUP(A1349,'Operational Data'!$A$2:$E$201,3,FALSE)</f>
        <v>66398</v>
      </c>
      <c r="H1349" s="11">
        <f>VLOOKUP(A1349,'Operational Data'!$A$2:$E$201,4,FALSE)</f>
        <v>8713.61</v>
      </c>
      <c r="I1349" s="11">
        <f>VLOOKUP(A1349,'Operational Data'!$A$2:$E$201,5,FALSE)</f>
        <v>83.44</v>
      </c>
      <c r="J1349" s="21">
        <f t="shared" si="21"/>
        <v>5.7658556492665443E-2</v>
      </c>
    </row>
    <row r="1350" spans="1:10" x14ac:dyDescent="0.25">
      <c r="A1350" s="20" t="s">
        <v>63</v>
      </c>
      <c r="B1350" s="20" t="s">
        <v>12</v>
      </c>
      <c r="C1350" s="20" t="s">
        <v>23</v>
      </c>
      <c r="D1350" s="20" t="s">
        <v>28</v>
      </c>
      <c r="E1350" s="20" t="s">
        <v>10</v>
      </c>
      <c r="F1350" s="20">
        <v>3883.26</v>
      </c>
      <c r="G1350" s="11">
        <f>VLOOKUP(A1350,'Operational Data'!$A$2:$E$201,3,FALSE)</f>
        <v>33688</v>
      </c>
      <c r="H1350" s="11">
        <f>VLOOKUP(A1350,'Operational Data'!$A$2:$E$201,4,FALSE)</f>
        <v>9495.48</v>
      </c>
      <c r="I1350" s="11">
        <f>VLOOKUP(A1350,'Operational Data'!$A$2:$E$201,5,FALSE)</f>
        <v>55.55</v>
      </c>
      <c r="J1350" s="21">
        <f t="shared" si="21"/>
        <v>0.11527131322726195</v>
      </c>
    </row>
    <row r="1351" spans="1:10" x14ac:dyDescent="0.25">
      <c r="A1351" s="20" t="s">
        <v>77</v>
      </c>
      <c r="B1351" s="20" t="s">
        <v>30</v>
      </c>
      <c r="C1351" s="20" t="s">
        <v>8</v>
      </c>
      <c r="D1351" s="20" t="s">
        <v>9</v>
      </c>
      <c r="E1351" s="20" t="s">
        <v>15</v>
      </c>
      <c r="F1351" s="20">
        <v>4934.9743390000003</v>
      </c>
      <c r="G1351" s="11">
        <f>VLOOKUP(A1351,'Operational Data'!$A$2:$E$201,3,FALSE)</f>
        <v>61942</v>
      </c>
      <c r="H1351" s="11">
        <f>VLOOKUP(A1351,'Operational Data'!$A$2:$E$201,4,FALSE)</f>
        <v>4891.32</v>
      </c>
      <c r="I1351" s="11">
        <f>VLOOKUP(A1351,'Operational Data'!$A$2:$E$201,5,FALSE)</f>
        <v>91.59</v>
      </c>
      <c r="J1351" s="21">
        <f t="shared" si="21"/>
        <v>7.9670891140098801E-2</v>
      </c>
    </row>
    <row r="1352" spans="1:10" ht="30" x14ac:dyDescent="0.25">
      <c r="A1352" s="20" t="s">
        <v>20</v>
      </c>
      <c r="B1352" s="20" t="s">
        <v>17</v>
      </c>
      <c r="C1352" s="20" t="s">
        <v>13</v>
      </c>
      <c r="D1352" s="20" t="s">
        <v>14</v>
      </c>
      <c r="E1352" s="20" t="s">
        <v>24</v>
      </c>
      <c r="F1352" s="20">
        <v>336.58</v>
      </c>
      <c r="G1352" s="11">
        <f>VLOOKUP(A1352,'Operational Data'!$A$2:$E$201,3,FALSE)</f>
        <v>29895</v>
      </c>
      <c r="H1352" s="11">
        <f>VLOOKUP(A1352,'Operational Data'!$A$2:$E$201,4,FALSE)</f>
        <v>1631.08</v>
      </c>
      <c r="I1352" s="11">
        <f>VLOOKUP(A1352,'Operational Data'!$A$2:$E$201,5,FALSE)</f>
        <v>39.93</v>
      </c>
      <c r="J1352" s="21">
        <f t="shared" si="21"/>
        <v>1.1258738919551764E-2</v>
      </c>
    </row>
    <row r="1353" spans="1:10" x14ac:dyDescent="0.25">
      <c r="A1353" s="20" t="s">
        <v>174</v>
      </c>
      <c r="B1353" s="20" t="s">
        <v>19</v>
      </c>
      <c r="C1353" s="20" t="s">
        <v>13</v>
      </c>
      <c r="D1353" s="20" t="s">
        <v>28</v>
      </c>
      <c r="E1353" s="20" t="s">
        <v>10</v>
      </c>
      <c r="F1353" s="20">
        <v>3817.85</v>
      </c>
      <c r="G1353" s="11">
        <f>VLOOKUP(A1353,'Operational Data'!$A$2:$E$201,3,FALSE)</f>
        <v>66163</v>
      </c>
      <c r="H1353" s="11">
        <f>VLOOKUP(A1353,'Operational Data'!$A$2:$E$201,4,FALSE)</f>
        <v>1416.57</v>
      </c>
      <c r="I1353" s="11">
        <f>VLOOKUP(A1353,'Operational Data'!$A$2:$E$201,5,FALSE)</f>
        <v>68.73</v>
      </c>
      <c r="J1353" s="21">
        <f t="shared" si="21"/>
        <v>5.7703701464564786E-2</v>
      </c>
    </row>
    <row r="1354" spans="1:10" x14ac:dyDescent="0.25">
      <c r="A1354" s="20" t="s">
        <v>95</v>
      </c>
      <c r="B1354" s="20" t="s">
        <v>30</v>
      </c>
      <c r="C1354" s="20" t="s">
        <v>13</v>
      </c>
      <c r="D1354" s="20" t="s">
        <v>28</v>
      </c>
      <c r="E1354" s="20" t="s">
        <v>15</v>
      </c>
      <c r="F1354" s="20">
        <v>1089.25</v>
      </c>
      <c r="G1354" s="11">
        <f>VLOOKUP(A1354,'Operational Data'!$A$2:$E$201,3,FALSE)</f>
        <v>51800</v>
      </c>
      <c r="H1354" s="11">
        <f>VLOOKUP(A1354,'Operational Data'!$A$2:$E$201,4,FALSE)</f>
        <v>3042.95</v>
      </c>
      <c r="I1354" s="11">
        <f>VLOOKUP(A1354,'Operational Data'!$A$2:$E$201,5,FALSE)</f>
        <v>71.87</v>
      </c>
      <c r="J1354" s="21">
        <f t="shared" si="21"/>
        <v>2.1027992277992277E-2</v>
      </c>
    </row>
    <row r="1355" spans="1:10" x14ac:dyDescent="0.25">
      <c r="A1355" s="20" t="s">
        <v>68</v>
      </c>
      <c r="B1355" s="20" t="s">
        <v>12</v>
      </c>
      <c r="C1355" s="20" t="s">
        <v>23</v>
      </c>
      <c r="D1355" s="20" t="s">
        <v>9</v>
      </c>
      <c r="E1355" s="20" t="s">
        <v>10</v>
      </c>
      <c r="F1355" s="20">
        <v>316.07829400000003</v>
      </c>
      <c r="G1355" s="11">
        <f>VLOOKUP(A1355,'Operational Data'!$A$2:$E$201,3,FALSE)</f>
        <v>69100</v>
      </c>
      <c r="H1355" s="11">
        <f>VLOOKUP(A1355,'Operational Data'!$A$2:$E$201,4,FALSE)</f>
        <v>9356.02</v>
      </c>
      <c r="I1355" s="11">
        <f>VLOOKUP(A1355,'Operational Data'!$A$2:$E$201,5,FALSE)</f>
        <v>16.5</v>
      </c>
      <c r="J1355" s="21">
        <f t="shared" si="21"/>
        <v>4.5742155426917513E-3</v>
      </c>
    </row>
    <row r="1356" spans="1:10" x14ac:dyDescent="0.25">
      <c r="A1356" s="20" t="s">
        <v>55</v>
      </c>
      <c r="B1356" s="20" t="s">
        <v>12</v>
      </c>
      <c r="C1356" s="20" t="s">
        <v>13</v>
      </c>
      <c r="D1356" s="20" t="s">
        <v>14</v>
      </c>
      <c r="E1356" s="20" t="s">
        <v>15</v>
      </c>
      <c r="F1356" s="20">
        <v>2112.3200000000002</v>
      </c>
      <c r="G1356" s="11">
        <f>VLOOKUP(A1356,'Operational Data'!$A$2:$E$201,3,FALSE)</f>
        <v>38181</v>
      </c>
      <c r="H1356" s="11">
        <f>VLOOKUP(A1356,'Operational Data'!$A$2:$E$201,4,FALSE)</f>
        <v>691.84</v>
      </c>
      <c r="I1356" s="11">
        <f>VLOOKUP(A1356,'Operational Data'!$A$2:$E$201,5,FALSE)</f>
        <v>33.53</v>
      </c>
      <c r="J1356" s="21">
        <f t="shared" si="21"/>
        <v>5.5323852177784766E-2</v>
      </c>
    </row>
    <row r="1357" spans="1:10" ht="30" x14ac:dyDescent="0.25">
      <c r="A1357" s="20" t="s">
        <v>59</v>
      </c>
      <c r="B1357" s="20" t="s">
        <v>17</v>
      </c>
      <c r="C1357" s="20" t="s">
        <v>23</v>
      </c>
      <c r="D1357" s="20" t="s">
        <v>9</v>
      </c>
      <c r="E1357" s="20" t="s">
        <v>10</v>
      </c>
      <c r="F1357" s="20">
        <v>892.44</v>
      </c>
      <c r="G1357" s="11">
        <f>VLOOKUP(A1357,'Operational Data'!$A$2:$E$201,3,FALSE)</f>
        <v>15553</v>
      </c>
      <c r="H1357" s="11">
        <f>VLOOKUP(A1357,'Operational Data'!$A$2:$E$201,4,FALSE)</f>
        <v>3909.51</v>
      </c>
      <c r="I1357" s="11">
        <f>VLOOKUP(A1357,'Operational Data'!$A$2:$E$201,5,FALSE)</f>
        <v>46.44</v>
      </c>
      <c r="J1357" s="21">
        <f t="shared" si="21"/>
        <v>5.7380569665016402E-2</v>
      </c>
    </row>
    <row r="1358" spans="1:10" x14ac:dyDescent="0.25">
      <c r="A1358" s="20" t="s">
        <v>68</v>
      </c>
      <c r="B1358" s="20" t="s">
        <v>12</v>
      </c>
      <c r="C1358" s="20" t="s">
        <v>13</v>
      </c>
      <c r="D1358" s="20" t="s">
        <v>14</v>
      </c>
      <c r="E1358" s="20" t="s">
        <v>10</v>
      </c>
      <c r="F1358" s="20">
        <v>1569.2</v>
      </c>
      <c r="G1358" s="11">
        <f>VLOOKUP(A1358,'Operational Data'!$A$2:$E$201,3,FALSE)</f>
        <v>69100</v>
      </c>
      <c r="H1358" s="11">
        <f>VLOOKUP(A1358,'Operational Data'!$A$2:$E$201,4,FALSE)</f>
        <v>9356.02</v>
      </c>
      <c r="I1358" s="11">
        <f>VLOOKUP(A1358,'Operational Data'!$A$2:$E$201,5,FALSE)</f>
        <v>16.5</v>
      </c>
      <c r="J1358" s="21">
        <f t="shared" si="21"/>
        <v>2.2709117221418235E-2</v>
      </c>
    </row>
    <row r="1359" spans="1:10" x14ac:dyDescent="0.25">
      <c r="A1359" s="20" t="s">
        <v>139</v>
      </c>
      <c r="B1359" s="20" t="s">
        <v>7</v>
      </c>
      <c r="C1359" s="20" t="s">
        <v>34</v>
      </c>
      <c r="D1359" s="20" t="s">
        <v>9</v>
      </c>
      <c r="E1359" s="20" t="s">
        <v>15</v>
      </c>
      <c r="F1359" s="20">
        <v>1407.4467239999999</v>
      </c>
      <c r="G1359" s="11">
        <f>VLOOKUP(A1359,'Operational Data'!$A$2:$E$201,3,FALSE)</f>
        <v>10067</v>
      </c>
      <c r="H1359" s="11">
        <f>VLOOKUP(A1359,'Operational Data'!$A$2:$E$201,4,FALSE)</f>
        <v>1953.33</v>
      </c>
      <c r="I1359" s="11">
        <f>VLOOKUP(A1359,'Operational Data'!$A$2:$E$201,5,FALSE)</f>
        <v>25.15</v>
      </c>
      <c r="J1359" s="21">
        <f t="shared" si="21"/>
        <v>0.13980795907420282</v>
      </c>
    </row>
    <row r="1360" spans="1:10" x14ac:dyDescent="0.25">
      <c r="A1360" s="20" t="s">
        <v>84</v>
      </c>
      <c r="B1360" s="20" t="s">
        <v>30</v>
      </c>
      <c r="C1360" s="20" t="s">
        <v>13</v>
      </c>
      <c r="D1360" s="20" t="s">
        <v>9</v>
      </c>
      <c r="E1360" s="20" t="s">
        <v>24</v>
      </c>
      <c r="F1360" s="20">
        <v>4401.5937169999997</v>
      </c>
      <c r="G1360" s="11">
        <f>VLOOKUP(A1360,'Operational Data'!$A$2:$E$201,3,FALSE)</f>
        <v>85444</v>
      </c>
      <c r="H1360" s="11">
        <f>VLOOKUP(A1360,'Operational Data'!$A$2:$E$201,4,FALSE)</f>
        <v>852.57</v>
      </c>
      <c r="I1360" s="11">
        <f>VLOOKUP(A1360,'Operational Data'!$A$2:$E$201,5,FALSE)</f>
        <v>72.650000000000006</v>
      </c>
      <c r="J1360" s="21">
        <f t="shared" si="21"/>
        <v>5.1514368674219366E-2</v>
      </c>
    </row>
    <row r="1361" spans="1:10" x14ac:dyDescent="0.25">
      <c r="A1361" s="20" t="s">
        <v>124</v>
      </c>
      <c r="B1361" s="20" t="s">
        <v>12</v>
      </c>
      <c r="C1361" s="20" t="s">
        <v>34</v>
      </c>
      <c r="D1361" s="20" t="s">
        <v>28</v>
      </c>
      <c r="E1361" s="20" t="s">
        <v>10</v>
      </c>
      <c r="F1361" s="20">
        <v>4331.4399999999996</v>
      </c>
      <c r="G1361" s="11">
        <f>VLOOKUP(A1361,'Operational Data'!$A$2:$E$201,3,FALSE)</f>
        <v>47491</v>
      </c>
      <c r="H1361" s="11">
        <f>VLOOKUP(A1361,'Operational Data'!$A$2:$E$201,4,FALSE)</f>
        <v>5781.05</v>
      </c>
      <c r="I1361" s="11">
        <f>VLOOKUP(A1361,'Operational Data'!$A$2:$E$201,5,FALSE)</f>
        <v>92.18</v>
      </c>
      <c r="J1361" s="21">
        <f t="shared" si="21"/>
        <v>9.1205491566823185E-2</v>
      </c>
    </row>
    <row r="1362" spans="1:10" x14ac:dyDescent="0.25">
      <c r="A1362" s="20" t="s">
        <v>139</v>
      </c>
      <c r="B1362" s="20" t="s">
        <v>7</v>
      </c>
      <c r="C1362" s="20" t="s">
        <v>23</v>
      </c>
      <c r="D1362" s="20" t="s">
        <v>14</v>
      </c>
      <c r="E1362" s="20" t="s">
        <v>15</v>
      </c>
      <c r="F1362" s="20">
        <v>191.28</v>
      </c>
      <c r="G1362" s="11">
        <f>VLOOKUP(A1362,'Operational Data'!$A$2:$E$201,3,FALSE)</f>
        <v>10067</v>
      </c>
      <c r="H1362" s="11">
        <f>VLOOKUP(A1362,'Operational Data'!$A$2:$E$201,4,FALSE)</f>
        <v>1953.33</v>
      </c>
      <c r="I1362" s="11">
        <f>VLOOKUP(A1362,'Operational Data'!$A$2:$E$201,5,FALSE)</f>
        <v>25.15</v>
      </c>
      <c r="J1362" s="21">
        <f t="shared" si="21"/>
        <v>1.9000695341213868E-2</v>
      </c>
    </row>
    <row r="1363" spans="1:10" x14ac:dyDescent="0.25">
      <c r="A1363" s="20" t="s">
        <v>72</v>
      </c>
      <c r="B1363" s="20" t="s">
        <v>19</v>
      </c>
      <c r="C1363" s="20" t="s">
        <v>8</v>
      </c>
      <c r="D1363" s="20" t="s">
        <v>14</v>
      </c>
      <c r="E1363" s="20" t="s">
        <v>10</v>
      </c>
      <c r="F1363" s="20">
        <v>3002.77</v>
      </c>
      <c r="G1363" s="11">
        <f>VLOOKUP(A1363,'Operational Data'!$A$2:$E$201,3,FALSE)</f>
        <v>29318</v>
      </c>
      <c r="H1363" s="11">
        <f>VLOOKUP(A1363,'Operational Data'!$A$2:$E$201,4,FALSE)</f>
        <v>9860.6200000000008</v>
      </c>
      <c r="I1363" s="11">
        <f>VLOOKUP(A1363,'Operational Data'!$A$2:$E$201,5,FALSE)</f>
        <v>14.58</v>
      </c>
      <c r="J1363" s="21">
        <f t="shared" si="21"/>
        <v>0.10242069718261819</v>
      </c>
    </row>
    <row r="1364" spans="1:10" ht="30" x14ac:dyDescent="0.25">
      <c r="A1364" s="20" t="s">
        <v>37</v>
      </c>
      <c r="B1364" s="20" t="s">
        <v>17</v>
      </c>
      <c r="C1364" s="20" t="s">
        <v>8</v>
      </c>
      <c r="D1364" s="20" t="s">
        <v>28</v>
      </c>
      <c r="E1364" s="20" t="s">
        <v>24</v>
      </c>
      <c r="F1364" s="20">
        <v>2511.59</v>
      </c>
      <c r="G1364" s="11">
        <f>VLOOKUP(A1364,'Operational Data'!$A$2:$E$201,3,FALSE)</f>
        <v>71747</v>
      </c>
      <c r="H1364" s="11">
        <f>VLOOKUP(A1364,'Operational Data'!$A$2:$E$201,4,FALSE)</f>
        <v>9838.66</v>
      </c>
      <c r="I1364" s="11">
        <f>VLOOKUP(A1364,'Operational Data'!$A$2:$E$201,5,FALSE)</f>
        <v>7.25</v>
      </c>
      <c r="J1364" s="21">
        <f t="shared" si="21"/>
        <v>3.5006202349924041E-2</v>
      </c>
    </row>
    <row r="1365" spans="1:10" x14ac:dyDescent="0.25">
      <c r="A1365" s="20" t="s">
        <v>94</v>
      </c>
      <c r="B1365" s="20" t="s">
        <v>7</v>
      </c>
      <c r="C1365" s="20" t="s">
        <v>23</v>
      </c>
      <c r="D1365" s="20" t="s">
        <v>9</v>
      </c>
      <c r="E1365" s="20" t="s">
        <v>15</v>
      </c>
      <c r="F1365" s="20">
        <v>2282.1801989999999</v>
      </c>
      <c r="G1365" s="11">
        <f>VLOOKUP(A1365,'Operational Data'!$A$2:$E$201,3,FALSE)</f>
        <v>26338</v>
      </c>
      <c r="H1365" s="11">
        <f>VLOOKUP(A1365,'Operational Data'!$A$2:$E$201,4,FALSE)</f>
        <v>578.73</v>
      </c>
      <c r="I1365" s="11">
        <f>VLOOKUP(A1365,'Operational Data'!$A$2:$E$201,5,FALSE)</f>
        <v>72.52</v>
      </c>
      <c r="J1365" s="21">
        <f t="shared" si="21"/>
        <v>8.6649715202369193E-2</v>
      </c>
    </row>
    <row r="1366" spans="1:10" ht="30" x14ac:dyDescent="0.25">
      <c r="A1366" s="20" t="s">
        <v>218</v>
      </c>
      <c r="B1366" s="20" t="s">
        <v>17</v>
      </c>
      <c r="C1366" s="20" t="s">
        <v>8</v>
      </c>
      <c r="D1366" s="20" t="s">
        <v>28</v>
      </c>
      <c r="E1366" s="20" t="s">
        <v>10</v>
      </c>
      <c r="F1366" s="20">
        <v>4726.1099999999997</v>
      </c>
      <c r="G1366" s="11">
        <f>VLOOKUP(A1366,'Operational Data'!$A$2:$E$201,3,FALSE)</f>
        <v>22525</v>
      </c>
      <c r="H1366" s="11">
        <f>VLOOKUP(A1366,'Operational Data'!$A$2:$E$201,4,FALSE)</f>
        <v>9465.65</v>
      </c>
      <c r="I1366" s="11">
        <f>VLOOKUP(A1366,'Operational Data'!$A$2:$E$201,5,FALSE)</f>
        <v>37.79</v>
      </c>
      <c r="J1366" s="21">
        <f t="shared" si="21"/>
        <v>0.20981620421753605</v>
      </c>
    </row>
    <row r="1367" spans="1:10" x14ac:dyDescent="0.25">
      <c r="A1367" s="20" t="s">
        <v>103</v>
      </c>
      <c r="B1367" s="20" t="s">
        <v>19</v>
      </c>
      <c r="C1367" s="20" t="s">
        <v>13</v>
      </c>
      <c r="D1367" s="20" t="s">
        <v>14</v>
      </c>
      <c r="E1367" s="20" t="s">
        <v>24</v>
      </c>
      <c r="F1367" s="20">
        <v>252.05</v>
      </c>
      <c r="G1367" s="11">
        <f>VLOOKUP(A1367,'Operational Data'!$A$2:$E$201,3,FALSE)</f>
        <v>38869</v>
      </c>
      <c r="H1367" s="11">
        <f>VLOOKUP(A1367,'Operational Data'!$A$2:$E$201,4,FALSE)</f>
        <v>5109.76</v>
      </c>
      <c r="I1367" s="11">
        <f>VLOOKUP(A1367,'Operational Data'!$A$2:$E$201,5,FALSE)</f>
        <v>35.270000000000003</v>
      </c>
      <c r="J1367" s="21">
        <f t="shared" si="21"/>
        <v>6.4846021250868306E-3</v>
      </c>
    </row>
    <row r="1368" spans="1:10" x14ac:dyDescent="0.25">
      <c r="A1368" s="20" t="s">
        <v>95</v>
      </c>
      <c r="B1368" s="20" t="s">
        <v>30</v>
      </c>
      <c r="C1368" s="20" t="s">
        <v>23</v>
      </c>
      <c r="D1368" s="20" t="s">
        <v>28</v>
      </c>
      <c r="E1368" s="20" t="s">
        <v>24</v>
      </c>
      <c r="F1368" s="20">
        <v>3693.42</v>
      </c>
      <c r="G1368" s="11">
        <f>VLOOKUP(A1368,'Operational Data'!$A$2:$E$201,3,FALSE)</f>
        <v>51800</v>
      </c>
      <c r="H1368" s="11">
        <f>VLOOKUP(A1368,'Operational Data'!$A$2:$E$201,4,FALSE)</f>
        <v>3042.95</v>
      </c>
      <c r="I1368" s="11">
        <f>VLOOKUP(A1368,'Operational Data'!$A$2:$E$201,5,FALSE)</f>
        <v>71.87</v>
      </c>
      <c r="J1368" s="21">
        <f t="shared" si="21"/>
        <v>7.1301544401544403E-2</v>
      </c>
    </row>
    <row r="1369" spans="1:10" x14ac:dyDescent="0.25">
      <c r="A1369" s="20" t="s">
        <v>204</v>
      </c>
      <c r="B1369" s="20" t="s">
        <v>30</v>
      </c>
      <c r="C1369" s="20" t="s">
        <v>13</v>
      </c>
      <c r="D1369" s="20" t="s">
        <v>9</v>
      </c>
      <c r="E1369" s="20" t="s">
        <v>10</v>
      </c>
      <c r="F1369" s="20">
        <v>2670.5293769999998</v>
      </c>
      <c r="G1369" s="11">
        <f>VLOOKUP(A1369,'Operational Data'!$A$2:$E$201,3,FALSE)</f>
        <v>36423</v>
      </c>
      <c r="H1369" s="11">
        <f>VLOOKUP(A1369,'Operational Data'!$A$2:$E$201,4,FALSE)</f>
        <v>589.96</v>
      </c>
      <c r="I1369" s="11">
        <f>VLOOKUP(A1369,'Operational Data'!$A$2:$E$201,5,FALSE)</f>
        <v>30.9</v>
      </c>
      <c r="J1369" s="21">
        <f t="shared" si="21"/>
        <v>7.3319863190840953E-2</v>
      </c>
    </row>
    <row r="1370" spans="1:10" x14ac:dyDescent="0.25">
      <c r="A1370" s="20" t="s">
        <v>169</v>
      </c>
      <c r="B1370" s="20" t="s">
        <v>12</v>
      </c>
      <c r="C1370" s="20" t="s">
        <v>13</v>
      </c>
      <c r="D1370" s="20" t="s">
        <v>28</v>
      </c>
      <c r="E1370" s="20" t="s">
        <v>15</v>
      </c>
      <c r="F1370" s="20">
        <v>1186.4000000000001</v>
      </c>
      <c r="G1370" s="11">
        <f>VLOOKUP(A1370,'Operational Data'!$A$2:$E$201,3,FALSE)</f>
        <v>82377</v>
      </c>
      <c r="H1370" s="11">
        <f>VLOOKUP(A1370,'Operational Data'!$A$2:$E$201,4,FALSE)</f>
        <v>7974.74</v>
      </c>
      <c r="I1370" s="11">
        <f>VLOOKUP(A1370,'Operational Data'!$A$2:$E$201,5,FALSE)</f>
        <v>9.17</v>
      </c>
      <c r="J1370" s="21">
        <f t="shared" si="21"/>
        <v>1.4402078249996966E-2</v>
      </c>
    </row>
    <row r="1371" spans="1:10" x14ac:dyDescent="0.25">
      <c r="A1371" s="20" t="s">
        <v>52</v>
      </c>
      <c r="B1371" s="20" t="s">
        <v>19</v>
      </c>
      <c r="C1371" s="20" t="s">
        <v>23</v>
      </c>
      <c r="D1371" s="20" t="s">
        <v>9</v>
      </c>
      <c r="E1371" s="20" t="s">
        <v>10</v>
      </c>
      <c r="F1371" s="20">
        <v>1201.0995809999999</v>
      </c>
      <c r="G1371" s="11">
        <f>VLOOKUP(A1371,'Operational Data'!$A$2:$E$201,3,FALSE)</f>
        <v>94949</v>
      </c>
      <c r="H1371" s="11">
        <f>VLOOKUP(A1371,'Operational Data'!$A$2:$E$201,4,FALSE)</f>
        <v>9714.76</v>
      </c>
      <c r="I1371" s="11">
        <f>VLOOKUP(A1371,'Operational Data'!$A$2:$E$201,5,FALSE)</f>
        <v>64.900000000000006</v>
      </c>
      <c r="J1371" s="21">
        <f t="shared" si="21"/>
        <v>1.2649944507051153E-2</v>
      </c>
    </row>
    <row r="1372" spans="1:10" x14ac:dyDescent="0.25">
      <c r="A1372" s="20" t="s">
        <v>203</v>
      </c>
      <c r="B1372" s="20" t="s">
        <v>12</v>
      </c>
      <c r="C1372" s="20" t="s">
        <v>8</v>
      </c>
      <c r="D1372" s="20" t="s">
        <v>9</v>
      </c>
      <c r="E1372" s="20" t="s">
        <v>10</v>
      </c>
      <c r="F1372" s="20">
        <v>1093.3917960000001</v>
      </c>
      <c r="G1372" s="11">
        <f>VLOOKUP(A1372,'Operational Data'!$A$2:$E$201,3,FALSE)</f>
        <v>66398</v>
      </c>
      <c r="H1372" s="11">
        <f>VLOOKUP(A1372,'Operational Data'!$A$2:$E$201,4,FALSE)</f>
        <v>8713.61</v>
      </c>
      <c r="I1372" s="11">
        <f>VLOOKUP(A1372,'Operational Data'!$A$2:$E$201,5,FALSE)</f>
        <v>83.44</v>
      </c>
      <c r="J1372" s="21">
        <f t="shared" si="21"/>
        <v>1.6467239916864967E-2</v>
      </c>
    </row>
    <row r="1373" spans="1:10" x14ac:dyDescent="0.25">
      <c r="A1373" s="20" t="s">
        <v>217</v>
      </c>
      <c r="B1373" s="20" t="s">
        <v>19</v>
      </c>
      <c r="C1373" s="20" t="s">
        <v>13</v>
      </c>
      <c r="D1373" s="20" t="s">
        <v>14</v>
      </c>
      <c r="E1373" s="20" t="s">
        <v>24</v>
      </c>
      <c r="F1373" s="20">
        <v>4636.55</v>
      </c>
      <c r="G1373" s="11">
        <f>VLOOKUP(A1373,'Operational Data'!$A$2:$E$201,3,FALSE)</f>
        <v>80824</v>
      </c>
      <c r="H1373" s="11">
        <f>VLOOKUP(A1373,'Operational Data'!$A$2:$E$201,4,FALSE)</f>
        <v>2858.92</v>
      </c>
      <c r="I1373" s="11">
        <f>VLOOKUP(A1373,'Operational Data'!$A$2:$E$201,5,FALSE)</f>
        <v>13.97</v>
      </c>
      <c r="J1373" s="21">
        <f t="shared" si="21"/>
        <v>5.7366005146986046E-2</v>
      </c>
    </row>
    <row r="1374" spans="1:10" x14ac:dyDescent="0.25">
      <c r="A1374" s="20" t="s">
        <v>157</v>
      </c>
      <c r="B1374" s="20" t="s">
        <v>30</v>
      </c>
      <c r="C1374" s="20" t="s">
        <v>8</v>
      </c>
      <c r="D1374" s="20" t="s">
        <v>9</v>
      </c>
      <c r="E1374" s="20" t="s">
        <v>15</v>
      </c>
      <c r="F1374" s="20">
        <v>1840.534678</v>
      </c>
      <c r="G1374" s="11">
        <f>VLOOKUP(A1374,'Operational Data'!$A$2:$E$201,3,FALSE)</f>
        <v>76544</v>
      </c>
      <c r="H1374" s="11">
        <f>VLOOKUP(A1374,'Operational Data'!$A$2:$E$201,4,FALSE)</f>
        <v>8632.77</v>
      </c>
      <c r="I1374" s="11">
        <f>VLOOKUP(A1374,'Operational Data'!$A$2:$E$201,5,FALSE)</f>
        <v>12.87</v>
      </c>
      <c r="J1374" s="21">
        <f t="shared" si="21"/>
        <v>2.4045446775710702E-2</v>
      </c>
    </row>
    <row r="1375" spans="1:10" x14ac:dyDescent="0.25">
      <c r="A1375" s="20" t="s">
        <v>217</v>
      </c>
      <c r="B1375" s="20" t="s">
        <v>19</v>
      </c>
      <c r="C1375" s="20" t="s">
        <v>23</v>
      </c>
      <c r="D1375" s="20" t="s">
        <v>14</v>
      </c>
      <c r="E1375" s="20" t="s">
        <v>15</v>
      </c>
      <c r="F1375" s="20">
        <v>1036.07</v>
      </c>
      <c r="G1375" s="11">
        <f>VLOOKUP(A1375,'Operational Data'!$A$2:$E$201,3,FALSE)</f>
        <v>80824</v>
      </c>
      <c r="H1375" s="11">
        <f>VLOOKUP(A1375,'Operational Data'!$A$2:$E$201,4,FALSE)</f>
        <v>2858.92</v>
      </c>
      <c r="I1375" s="11">
        <f>VLOOKUP(A1375,'Operational Data'!$A$2:$E$201,5,FALSE)</f>
        <v>13.97</v>
      </c>
      <c r="J1375" s="21">
        <f t="shared" si="21"/>
        <v>1.2818840938335147E-2</v>
      </c>
    </row>
    <row r="1376" spans="1:10" x14ac:dyDescent="0.25">
      <c r="A1376" s="20" t="s">
        <v>193</v>
      </c>
      <c r="B1376" s="20" t="s">
        <v>12</v>
      </c>
      <c r="C1376" s="20" t="s">
        <v>13</v>
      </c>
      <c r="D1376" s="20" t="s">
        <v>9</v>
      </c>
      <c r="E1376" s="20" t="s">
        <v>15</v>
      </c>
      <c r="F1376" s="20">
        <v>390.78143080000001</v>
      </c>
      <c r="G1376" s="11">
        <f>VLOOKUP(A1376,'Operational Data'!$A$2:$E$201,3,FALSE)</f>
        <v>13333</v>
      </c>
      <c r="H1376" s="11">
        <f>VLOOKUP(A1376,'Operational Data'!$A$2:$E$201,4,FALSE)</f>
        <v>6102.15</v>
      </c>
      <c r="I1376" s="11">
        <f>VLOOKUP(A1376,'Operational Data'!$A$2:$E$201,5,FALSE)</f>
        <v>17.670000000000002</v>
      </c>
      <c r="J1376" s="21">
        <f t="shared" si="21"/>
        <v>2.9309340043501088E-2</v>
      </c>
    </row>
    <row r="1377" spans="1:10" x14ac:dyDescent="0.25">
      <c r="A1377" s="20" t="s">
        <v>177</v>
      </c>
      <c r="B1377" s="20" t="s">
        <v>7</v>
      </c>
      <c r="C1377" s="20" t="s">
        <v>23</v>
      </c>
      <c r="D1377" s="20" t="s">
        <v>28</v>
      </c>
      <c r="E1377" s="20" t="s">
        <v>10</v>
      </c>
      <c r="F1377" s="20">
        <v>4126.71</v>
      </c>
      <c r="G1377" s="11">
        <f>VLOOKUP(A1377,'Operational Data'!$A$2:$E$201,3,FALSE)</f>
        <v>17097</v>
      </c>
      <c r="H1377" s="11">
        <f>VLOOKUP(A1377,'Operational Data'!$A$2:$E$201,4,FALSE)</f>
        <v>9061.7800000000007</v>
      </c>
      <c r="I1377" s="11">
        <f>VLOOKUP(A1377,'Operational Data'!$A$2:$E$201,5,FALSE)</f>
        <v>95.92</v>
      </c>
      <c r="J1377" s="21">
        <f t="shared" si="21"/>
        <v>0.24137041586243202</v>
      </c>
    </row>
    <row r="1378" spans="1:10" x14ac:dyDescent="0.25">
      <c r="A1378" s="20" t="s">
        <v>96</v>
      </c>
      <c r="B1378" s="20" t="s">
        <v>19</v>
      </c>
      <c r="C1378" s="20" t="s">
        <v>23</v>
      </c>
      <c r="D1378" s="20" t="s">
        <v>28</v>
      </c>
      <c r="E1378" s="20" t="s">
        <v>10</v>
      </c>
      <c r="F1378" s="20">
        <v>4171.8100000000004</v>
      </c>
      <c r="G1378" s="11">
        <f>VLOOKUP(A1378,'Operational Data'!$A$2:$E$201,3,FALSE)</f>
        <v>53942</v>
      </c>
      <c r="H1378" s="11">
        <f>VLOOKUP(A1378,'Operational Data'!$A$2:$E$201,4,FALSE)</f>
        <v>5904.31</v>
      </c>
      <c r="I1378" s="11">
        <f>VLOOKUP(A1378,'Operational Data'!$A$2:$E$201,5,FALSE)</f>
        <v>32.78</v>
      </c>
      <c r="J1378" s="21">
        <f t="shared" si="21"/>
        <v>7.7338808349708951E-2</v>
      </c>
    </row>
    <row r="1379" spans="1:10" x14ac:dyDescent="0.25">
      <c r="A1379" s="20" t="s">
        <v>145</v>
      </c>
      <c r="B1379" s="20" t="s">
        <v>7</v>
      </c>
      <c r="C1379" s="20" t="s">
        <v>8</v>
      </c>
      <c r="D1379" s="20" t="s">
        <v>14</v>
      </c>
      <c r="E1379" s="20" t="s">
        <v>24</v>
      </c>
      <c r="F1379" s="20">
        <v>3571.47</v>
      </c>
      <c r="G1379" s="11">
        <f>VLOOKUP(A1379,'Operational Data'!$A$2:$E$201,3,FALSE)</f>
        <v>60710</v>
      </c>
      <c r="H1379" s="11">
        <f>VLOOKUP(A1379,'Operational Data'!$A$2:$E$201,4,FALSE)</f>
        <v>2726.26</v>
      </c>
      <c r="I1379" s="11">
        <f>VLOOKUP(A1379,'Operational Data'!$A$2:$E$201,5,FALSE)</f>
        <v>83.02</v>
      </c>
      <c r="J1379" s="21">
        <f t="shared" si="21"/>
        <v>5.8828364355130947E-2</v>
      </c>
    </row>
    <row r="1380" spans="1:10" x14ac:dyDescent="0.25">
      <c r="A1380" s="20" t="s">
        <v>154</v>
      </c>
      <c r="B1380" s="20" t="s">
        <v>12</v>
      </c>
      <c r="C1380" s="20" t="s">
        <v>34</v>
      </c>
      <c r="D1380" s="20" t="s">
        <v>28</v>
      </c>
      <c r="E1380" s="20" t="s">
        <v>10</v>
      </c>
      <c r="F1380" s="20">
        <v>1961.65</v>
      </c>
      <c r="G1380" s="11">
        <f>VLOOKUP(A1380,'Operational Data'!$A$2:$E$201,3,FALSE)</f>
        <v>87012</v>
      </c>
      <c r="H1380" s="11">
        <f>VLOOKUP(A1380,'Operational Data'!$A$2:$E$201,4,FALSE)</f>
        <v>7478.13</v>
      </c>
      <c r="I1380" s="11">
        <f>VLOOKUP(A1380,'Operational Data'!$A$2:$E$201,5,FALSE)</f>
        <v>27.22</v>
      </c>
      <c r="J1380" s="21">
        <f t="shared" si="21"/>
        <v>2.2544591550590725E-2</v>
      </c>
    </row>
    <row r="1381" spans="1:10" x14ac:dyDescent="0.25">
      <c r="A1381" s="20" t="s">
        <v>114</v>
      </c>
      <c r="B1381" s="20" t="s">
        <v>30</v>
      </c>
      <c r="C1381" s="20" t="s">
        <v>34</v>
      </c>
      <c r="D1381" s="20" t="s">
        <v>14</v>
      </c>
      <c r="E1381" s="20" t="s">
        <v>10</v>
      </c>
      <c r="F1381" s="20">
        <v>3905.64</v>
      </c>
      <c r="G1381" s="11">
        <f>VLOOKUP(A1381,'Operational Data'!$A$2:$E$201,3,FALSE)</f>
        <v>29264</v>
      </c>
      <c r="H1381" s="11">
        <f>VLOOKUP(A1381,'Operational Data'!$A$2:$E$201,4,FALSE)</f>
        <v>8362.7199999999993</v>
      </c>
      <c r="I1381" s="11">
        <f>VLOOKUP(A1381,'Operational Data'!$A$2:$E$201,5,FALSE)</f>
        <v>61.93</v>
      </c>
      <c r="J1381" s="21">
        <f t="shared" si="21"/>
        <v>0.1334622744669218</v>
      </c>
    </row>
    <row r="1382" spans="1:10" x14ac:dyDescent="0.25">
      <c r="A1382" s="20" t="s">
        <v>173</v>
      </c>
      <c r="B1382" s="20" t="s">
        <v>30</v>
      </c>
      <c r="C1382" s="20" t="s">
        <v>13</v>
      </c>
      <c r="D1382" s="20" t="s">
        <v>9</v>
      </c>
      <c r="E1382" s="20" t="s">
        <v>15</v>
      </c>
      <c r="F1382" s="20">
        <v>2192.9713040000001</v>
      </c>
      <c r="G1382" s="11">
        <f>VLOOKUP(A1382,'Operational Data'!$A$2:$E$201,3,FALSE)</f>
        <v>49620</v>
      </c>
      <c r="H1382" s="11">
        <f>VLOOKUP(A1382,'Operational Data'!$A$2:$E$201,4,FALSE)</f>
        <v>2424.31</v>
      </c>
      <c r="I1382" s="11">
        <f>VLOOKUP(A1382,'Operational Data'!$A$2:$E$201,5,FALSE)</f>
        <v>62.09</v>
      </c>
      <c r="J1382" s="21">
        <f t="shared" si="21"/>
        <v>4.4195310439338976E-2</v>
      </c>
    </row>
    <row r="1383" spans="1:10" x14ac:dyDescent="0.25">
      <c r="A1383" s="20" t="s">
        <v>201</v>
      </c>
      <c r="B1383" s="20" t="s">
        <v>12</v>
      </c>
      <c r="C1383" s="20" t="s">
        <v>23</v>
      </c>
      <c r="D1383" s="20" t="s">
        <v>14</v>
      </c>
      <c r="E1383" s="20" t="s">
        <v>15</v>
      </c>
      <c r="F1383" s="20">
        <v>369.5</v>
      </c>
      <c r="G1383" s="11">
        <f>VLOOKUP(A1383,'Operational Data'!$A$2:$E$201,3,FALSE)</f>
        <v>58439</v>
      </c>
      <c r="H1383" s="11">
        <f>VLOOKUP(A1383,'Operational Data'!$A$2:$E$201,4,FALSE)</f>
        <v>5817.93</v>
      </c>
      <c r="I1383" s="11">
        <f>VLOOKUP(A1383,'Operational Data'!$A$2:$E$201,5,FALSE)</f>
        <v>63.77</v>
      </c>
      <c r="J1383" s="21">
        <f t="shared" si="21"/>
        <v>6.3228323551053232E-3</v>
      </c>
    </row>
    <row r="1384" spans="1:10" x14ac:dyDescent="0.25">
      <c r="A1384" s="20" t="s">
        <v>68</v>
      </c>
      <c r="B1384" s="20" t="s">
        <v>12</v>
      </c>
      <c r="C1384" s="20" t="s">
        <v>13</v>
      </c>
      <c r="D1384" s="20" t="s">
        <v>14</v>
      </c>
      <c r="E1384" s="20" t="s">
        <v>15</v>
      </c>
      <c r="F1384" s="20">
        <v>2277.1799999999998</v>
      </c>
      <c r="G1384" s="11">
        <f>VLOOKUP(A1384,'Operational Data'!$A$2:$E$201,3,FALSE)</f>
        <v>69100</v>
      </c>
      <c r="H1384" s="11">
        <f>VLOOKUP(A1384,'Operational Data'!$A$2:$E$201,4,FALSE)</f>
        <v>9356.02</v>
      </c>
      <c r="I1384" s="11">
        <f>VLOOKUP(A1384,'Operational Data'!$A$2:$E$201,5,FALSE)</f>
        <v>16.5</v>
      </c>
      <c r="J1384" s="21">
        <f t="shared" si="21"/>
        <v>3.2954848046309694E-2</v>
      </c>
    </row>
    <row r="1385" spans="1:10" x14ac:dyDescent="0.25">
      <c r="A1385" s="20" t="s">
        <v>166</v>
      </c>
      <c r="B1385" s="20" t="s">
        <v>7</v>
      </c>
      <c r="C1385" s="20" t="s">
        <v>8</v>
      </c>
      <c r="D1385" s="20" t="s">
        <v>14</v>
      </c>
      <c r="E1385" s="20" t="s">
        <v>10</v>
      </c>
      <c r="F1385" s="20">
        <v>4278.8900000000003</v>
      </c>
      <c r="G1385" s="11">
        <f>VLOOKUP(A1385,'Operational Data'!$A$2:$E$201,3,FALSE)</f>
        <v>34318</v>
      </c>
      <c r="H1385" s="11">
        <f>VLOOKUP(A1385,'Operational Data'!$A$2:$E$201,4,FALSE)</f>
        <v>675.67</v>
      </c>
      <c r="I1385" s="11">
        <f>VLOOKUP(A1385,'Operational Data'!$A$2:$E$201,5,FALSE)</f>
        <v>41.05</v>
      </c>
      <c r="J1385" s="21">
        <f t="shared" si="21"/>
        <v>0.12468354799230726</v>
      </c>
    </row>
    <row r="1386" spans="1:10" x14ac:dyDescent="0.25">
      <c r="A1386" s="20" t="s">
        <v>123</v>
      </c>
      <c r="B1386" s="20" t="s">
        <v>30</v>
      </c>
      <c r="C1386" s="20" t="s">
        <v>13</v>
      </c>
      <c r="D1386" s="20" t="s">
        <v>14</v>
      </c>
      <c r="E1386" s="20" t="s">
        <v>15</v>
      </c>
      <c r="F1386" s="20">
        <v>3665.62</v>
      </c>
      <c r="G1386" s="11">
        <f>VLOOKUP(A1386,'Operational Data'!$A$2:$E$201,3,FALSE)</f>
        <v>73977</v>
      </c>
      <c r="H1386" s="11">
        <f>VLOOKUP(A1386,'Operational Data'!$A$2:$E$201,4,FALSE)</f>
        <v>1646.75</v>
      </c>
      <c r="I1386" s="11">
        <f>VLOOKUP(A1386,'Operational Data'!$A$2:$E$201,5,FALSE)</f>
        <v>43.77</v>
      </c>
      <c r="J1386" s="21">
        <f t="shared" si="21"/>
        <v>4.9550806331697686E-2</v>
      </c>
    </row>
    <row r="1387" spans="1:10" x14ac:dyDescent="0.25">
      <c r="A1387" s="20" t="s">
        <v>192</v>
      </c>
      <c r="B1387" s="20" t="s">
        <v>19</v>
      </c>
      <c r="C1387" s="20" t="s">
        <v>13</v>
      </c>
      <c r="D1387" s="20" t="s">
        <v>9</v>
      </c>
      <c r="E1387" s="20" t="s">
        <v>15</v>
      </c>
      <c r="F1387" s="20">
        <v>4127.2296200000001</v>
      </c>
      <c r="G1387" s="11">
        <f>VLOOKUP(A1387,'Operational Data'!$A$2:$E$201,3,FALSE)</f>
        <v>43227</v>
      </c>
      <c r="H1387" s="11">
        <f>VLOOKUP(A1387,'Operational Data'!$A$2:$E$201,4,FALSE)</f>
        <v>5199.53</v>
      </c>
      <c r="I1387" s="11">
        <f>VLOOKUP(A1387,'Operational Data'!$A$2:$E$201,5,FALSE)</f>
        <v>44.09</v>
      </c>
      <c r="J1387" s="21">
        <f t="shared" si="21"/>
        <v>9.5478048904619806E-2</v>
      </c>
    </row>
    <row r="1388" spans="1:10" x14ac:dyDescent="0.25">
      <c r="A1388" s="20" t="s">
        <v>55</v>
      </c>
      <c r="B1388" s="20" t="s">
        <v>12</v>
      </c>
      <c r="C1388" s="20" t="s">
        <v>23</v>
      </c>
      <c r="D1388" s="20" t="s">
        <v>14</v>
      </c>
      <c r="E1388" s="20" t="s">
        <v>24</v>
      </c>
      <c r="F1388" s="20">
        <v>1251.29</v>
      </c>
      <c r="G1388" s="11">
        <f>VLOOKUP(A1388,'Operational Data'!$A$2:$E$201,3,FALSE)</f>
        <v>38181</v>
      </c>
      <c r="H1388" s="11">
        <f>VLOOKUP(A1388,'Operational Data'!$A$2:$E$201,4,FALSE)</f>
        <v>691.84</v>
      </c>
      <c r="I1388" s="11">
        <f>VLOOKUP(A1388,'Operational Data'!$A$2:$E$201,5,FALSE)</f>
        <v>33.53</v>
      </c>
      <c r="J1388" s="21">
        <f t="shared" si="21"/>
        <v>3.2772583222021423E-2</v>
      </c>
    </row>
    <row r="1389" spans="1:10" ht="30" x14ac:dyDescent="0.25">
      <c r="A1389" s="20" t="s">
        <v>207</v>
      </c>
      <c r="B1389" s="20" t="s">
        <v>17</v>
      </c>
      <c r="C1389" s="20" t="s">
        <v>13</v>
      </c>
      <c r="D1389" s="20" t="s">
        <v>28</v>
      </c>
      <c r="E1389" s="20" t="s">
        <v>15</v>
      </c>
      <c r="F1389" s="20">
        <v>3935.94</v>
      </c>
      <c r="G1389" s="11">
        <f>VLOOKUP(A1389,'Operational Data'!$A$2:$E$201,3,FALSE)</f>
        <v>99115</v>
      </c>
      <c r="H1389" s="11">
        <f>VLOOKUP(A1389,'Operational Data'!$A$2:$E$201,4,FALSE)</f>
        <v>827.26</v>
      </c>
      <c r="I1389" s="11">
        <f>VLOOKUP(A1389,'Operational Data'!$A$2:$E$201,5,FALSE)</f>
        <v>28.88</v>
      </c>
      <c r="J1389" s="21">
        <f t="shared" si="21"/>
        <v>3.9710840942339704E-2</v>
      </c>
    </row>
    <row r="1390" spans="1:10" x14ac:dyDescent="0.25">
      <c r="A1390" s="20" t="s">
        <v>42</v>
      </c>
      <c r="B1390" s="20" t="s">
        <v>30</v>
      </c>
      <c r="C1390" s="20" t="s">
        <v>34</v>
      </c>
      <c r="D1390" s="20" t="s">
        <v>28</v>
      </c>
      <c r="E1390" s="20" t="s">
        <v>15</v>
      </c>
      <c r="F1390" s="20">
        <v>1012.81</v>
      </c>
      <c r="G1390" s="11">
        <f>VLOOKUP(A1390,'Operational Data'!$A$2:$E$201,3,FALSE)</f>
        <v>41539</v>
      </c>
      <c r="H1390" s="11">
        <f>VLOOKUP(A1390,'Operational Data'!$A$2:$E$201,4,FALSE)</f>
        <v>982.8</v>
      </c>
      <c r="I1390" s="11">
        <f>VLOOKUP(A1390,'Operational Data'!$A$2:$E$201,5,FALSE)</f>
        <v>79.7</v>
      </c>
      <c r="J1390" s="21">
        <f t="shared" si="21"/>
        <v>2.4382146898095765E-2</v>
      </c>
    </row>
    <row r="1391" spans="1:10" ht="30" x14ac:dyDescent="0.25">
      <c r="A1391" s="20" t="s">
        <v>205</v>
      </c>
      <c r="B1391" s="20" t="s">
        <v>17</v>
      </c>
      <c r="C1391" s="20" t="s">
        <v>23</v>
      </c>
      <c r="D1391" s="20" t="s">
        <v>28</v>
      </c>
      <c r="E1391" s="20" t="s">
        <v>15</v>
      </c>
      <c r="F1391" s="20">
        <v>817.03</v>
      </c>
      <c r="G1391" s="11">
        <f>VLOOKUP(A1391,'Operational Data'!$A$2:$E$201,3,FALSE)</f>
        <v>52594</v>
      </c>
      <c r="H1391" s="11">
        <f>VLOOKUP(A1391,'Operational Data'!$A$2:$E$201,4,FALSE)</f>
        <v>8715.0400000000009</v>
      </c>
      <c r="I1391" s="11">
        <f>VLOOKUP(A1391,'Operational Data'!$A$2:$E$201,5,FALSE)</f>
        <v>90.54</v>
      </c>
      <c r="J1391" s="21">
        <f t="shared" si="21"/>
        <v>1.5534661748488421E-2</v>
      </c>
    </row>
    <row r="1392" spans="1:10" x14ac:dyDescent="0.25">
      <c r="A1392" s="20" t="s">
        <v>170</v>
      </c>
      <c r="B1392" s="20" t="s">
        <v>12</v>
      </c>
      <c r="C1392" s="20" t="s">
        <v>13</v>
      </c>
      <c r="D1392" s="20" t="s">
        <v>28</v>
      </c>
      <c r="E1392" s="20" t="s">
        <v>15</v>
      </c>
      <c r="F1392" s="20">
        <v>4733.58</v>
      </c>
      <c r="G1392" s="11">
        <f>VLOOKUP(A1392,'Operational Data'!$A$2:$E$201,3,FALSE)</f>
        <v>54133</v>
      </c>
      <c r="H1392" s="11">
        <f>VLOOKUP(A1392,'Operational Data'!$A$2:$E$201,4,FALSE)</f>
        <v>8543.68</v>
      </c>
      <c r="I1392" s="11">
        <f>VLOOKUP(A1392,'Operational Data'!$A$2:$E$201,5,FALSE)</f>
        <v>24</v>
      </c>
      <c r="J1392" s="21">
        <f t="shared" si="21"/>
        <v>8.7443518740878939E-2</v>
      </c>
    </row>
    <row r="1393" spans="1:10" x14ac:dyDescent="0.25">
      <c r="A1393" s="20" t="s">
        <v>112</v>
      </c>
      <c r="B1393" s="20" t="s">
        <v>30</v>
      </c>
      <c r="C1393" s="20" t="s">
        <v>23</v>
      </c>
      <c r="D1393" s="20" t="s">
        <v>14</v>
      </c>
      <c r="E1393" s="20" t="s">
        <v>10</v>
      </c>
      <c r="F1393" s="20">
        <v>4851.63</v>
      </c>
      <c r="G1393" s="11">
        <f>VLOOKUP(A1393,'Operational Data'!$A$2:$E$201,3,FALSE)</f>
        <v>43294</v>
      </c>
      <c r="H1393" s="11">
        <f>VLOOKUP(A1393,'Operational Data'!$A$2:$E$201,4,FALSE)</f>
        <v>3802.13</v>
      </c>
      <c r="I1393" s="11">
        <f>VLOOKUP(A1393,'Operational Data'!$A$2:$E$201,5,FALSE)</f>
        <v>45.84</v>
      </c>
      <c r="J1393" s="21">
        <f t="shared" si="21"/>
        <v>0.11206241049568069</v>
      </c>
    </row>
    <row r="1394" spans="1:10" x14ac:dyDescent="0.25">
      <c r="A1394" s="20" t="s">
        <v>173</v>
      </c>
      <c r="B1394" s="20" t="s">
        <v>30</v>
      </c>
      <c r="C1394" s="20" t="s">
        <v>34</v>
      </c>
      <c r="D1394" s="20" t="s">
        <v>28</v>
      </c>
      <c r="E1394" s="20" t="s">
        <v>10</v>
      </c>
      <c r="F1394" s="20">
        <v>2889.59</v>
      </c>
      <c r="G1394" s="11">
        <f>VLOOKUP(A1394,'Operational Data'!$A$2:$E$201,3,FALSE)</f>
        <v>49620</v>
      </c>
      <c r="H1394" s="11">
        <f>VLOOKUP(A1394,'Operational Data'!$A$2:$E$201,4,FALSE)</f>
        <v>2424.31</v>
      </c>
      <c r="I1394" s="11">
        <f>VLOOKUP(A1394,'Operational Data'!$A$2:$E$201,5,FALSE)</f>
        <v>62.09</v>
      </c>
      <c r="J1394" s="21">
        <f t="shared" si="21"/>
        <v>5.823438129786377E-2</v>
      </c>
    </row>
    <row r="1395" spans="1:10" x14ac:dyDescent="0.25">
      <c r="A1395" s="20" t="s">
        <v>126</v>
      </c>
      <c r="B1395" s="20" t="s">
        <v>30</v>
      </c>
      <c r="C1395" s="20" t="s">
        <v>34</v>
      </c>
      <c r="D1395" s="20" t="s">
        <v>14</v>
      </c>
      <c r="E1395" s="20" t="s">
        <v>10</v>
      </c>
      <c r="F1395" s="20">
        <v>2545.79</v>
      </c>
      <c r="G1395" s="11">
        <f>VLOOKUP(A1395,'Operational Data'!$A$2:$E$201,3,FALSE)</f>
        <v>35506</v>
      </c>
      <c r="H1395" s="11">
        <f>VLOOKUP(A1395,'Operational Data'!$A$2:$E$201,4,FALSE)</f>
        <v>1892.04</v>
      </c>
      <c r="I1395" s="11">
        <f>VLOOKUP(A1395,'Operational Data'!$A$2:$E$201,5,FALSE)</f>
        <v>61.53</v>
      </c>
      <c r="J1395" s="21">
        <f t="shared" si="21"/>
        <v>7.1700276009688507E-2</v>
      </c>
    </row>
    <row r="1396" spans="1:10" x14ac:dyDescent="0.25">
      <c r="A1396" s="20" t="s">
        <v>206</v>
      </c>
      <c r="B1396" s="20" t="s">
        <v>19</v>
      </c>
      <c r="C1396" s="20" t="s">
        <v>23</v>
      </c>
      <c r="D1396" s="20" t="s">
        <v>9</v>
      </c>
      <c r="E1396" s="20" t="s">
        <v>24</v>
      </c>
      <c r="F1396" s="20">
        <v>3857.3744120000001</v>
      </c>
      <c r="G1396" s="11">
        <f>VLOOKUP(A1396,'Operational Data'!$A$2:$E$201,3,FALSE)</f>
        <v>10250</v>
      </c>
      <c r="H1396" s="11">
        <f>VLOOKUP(A1396,'Operational Data'!$A$2:$E$201,4,FALSE)</f>
        <v>4717</v>
      </c>
      <c r="I1396" s="11">
        <f>VLOOKUP(A1396,'Operational Data'!$A$2:$E$201,5,FALSE)</f>
        <v>16.600000000000001</v>
      </c>
      <c r="J1396" s="21">
        <f t="shared" si="21"/>
        <v>0.37632921092682931</v>
      </c>
    </row>
    <row r="1397" spans="1:10" x14ac:dyDescent="0.25">
      <c r="A1397" s="20" t="s">
        <v>29</v>
      </c>
      <c r="B1397" s="20" t="s">
        <v>30</v>
      </c>
      <c r="C1397" s="20" t="s">
        <v>8</v>
      </c>
      <c r="D1397" s="20" t="s">
        <v>9</v>
      </c>
      <c r="E1397" s="20" t="s">
        <v>10</v>
      </c>
      <c r="F1397" s="20">
        <v>1399.1880410000001</v>
      </c>
      <c r="G1397" s="11">
        <f>VLOOKUP(A1397,'Operational Data'!$A$2:$E$201,3,FALSE)</f>
        <v>32131</v>
      </c>
      <c r="H1397" s="11">
        <f>VLOOKUP(A1397,'Operational Data'!$A$2:$E$201,4,FALSE)</f>
        <v>1474.23</v>
      </c>
      <c r="I1397" s="11">
        <f>VLOOKUP(A1397,'Operational Data'!$A$2:$E$201,5,FALSE)</f>
        <v>45.47</v>
      </c>
      <c r="J1397" s="21">
        <f t="shared" si="21"/>
        <v>4.3546358376645611E-2</v>
      </c>
    </row>
    <row r="1398" spans="1:10" x14ac:dyDescent="0.25">
      <c r="A1398" s="20" t="s">
        <v>115</v>
      </c>
      <c r="B1398" s="20" t="s">
        <v>19</v>
      </c>
      <c r="C1398" s="20" t="s">
        <v>8</v>
      </c>
      <c r="D1398" s="20" t="s">
        <v>28</v>
      </c>
      <c r="E1398" s="20" t="s">
        <v>10</v>
      </c>
      <c r="F1398" s="20">
        <v>1563.76</v>
      </c>
      <c r="G1398" s="11">
        <f>VLOOKUP(A1398,'Operational Data'!$A$2:$E$201,3,FALSE)</f>
        <v>17162</v>
      </c>
      <c r="H1398" s="11">
        <f>VLOOKUP(A1398,'Operational Data'!$A$2:$E$201,4,FALSE)</f>
        <v>5079.95</v>
      </c>
      <c r="I1398" s="11">
        <f>VLOOKUP(A1398,'Operational Data'!$A$2:$E$201,5,FALSE)</f>
        <v>19.239999999999998</v>
      </c>
      <c r="J1398" s="21">
        <f t="shared" si="21"/>
        <v>9.1117585363011303E-2</v>
      </c>
    </row>
    <row r="1399" spans="1:10" ht="30" x14ac:dyDescent="0.25">
      <c r="A1399" s="20" t="s">
        <v>218</v>
      </c>
      <c r="B1399" s="20" t="s">
        <v>17</v>
      </c>
      <c r="C1399" s="20" t="s">
        <v>13</v>
      </c>
      <c r="D1399" s="20" t="s">
        <v>14</v>
      </c>
      <c r="E1399" s="20" t="s">
        <v>10</v>
      </c>
      <c r="F1399" s="20">
        <v>2518.31</v>
      </c>
      <c r="G1399" s="11">
        <f>VLOOKUP(A1399,'Operational Data'!$A$2:$E$201,3,FALSE)</f>
        <v>22525</v>
      </c>
      <c r="H1399" s="11">
        <f>VLOOKUP(A1399,'Operational Data'!$A$2:$E$201,4,FALSE)</f>
        <v>9465.65</v>
      </c>
      <c r="I1399" s="11">
        <f>VLOOKUP(A1399,'Operational Data'!$A$2:$E$201,5,FALSE)</f>
        <v>37.79</v>
      </c>
      <c r="J1399" s="21">
        <f t="shared" si="21"/>
        <v>0.11180066592674806</v>
      </c>
    </row>
    <row r="1400" spans="1:10" x14ac:dyDescent="0.25">
      <c r="A1400" s="20" t="s">
        <v>71</v>
      </c>
      <c r="B1400" s="20" t="s">
        <v>7</v>
      </c>
      <c r="C1400" s="20" t="s">
        <v>23</v>
      </c>
      <c r="D1400" s="20" t="s">
        <v>14</v>
      </c>
      <c r="E1400" s="20" t="s">
        <v>15</v>
      </c>
      <c r="F1400" s="20">
        <v>4134.78</v>
      </c>
      <c r="G1400" s="11">
        <f>VLOOKUP(A1400,'Operational Data'!$A$2:$E$201,3,FALSE)</f>
        <v>68018</v>
      </c>
      <c r="H1400" s="11">
        <f>VLOOKUP(A1400,'Operational Data'!$A$2:$E$201,4,FALSE)</f>
        <v>3523.4</v>
      </c>
      <c r="I1400" s="11">
        <f>VLOOKUP(A1400,'Operational Data'!$A$2:$E$201,5,FALSE)</f>
        <v>92.26</v>
      </c>
      <c r="J1400" s="21">
        <f t="shared" si="21"/>
        <v>6.078949689787997E-2</v>
      </c>
    </row>
    <row r="1401" spans="1:10" x14ac:dyDescent="0.25">
      <c r="A1401" s="20" t="s">
        <v>178</v>
      </c>
      <c r="B1401" s="20" t="s">
        <v>30</v>
      </c>
      <c r="C1401" s="20" t="s">
        <v>8</v>
      </c>
      <c r="D1401" s="20" t="s">
        <v>28</v>
      </c>
      <c r="E1401" s="20" t="s">
        <v>10</v>
      </c>
      <c r="F1401" s="20">
        <v>2532.84</v>
      </c>
      <c r="G1401" s="11">
        <f>VLOOKUP(A1401,'Operational Data'!$A$2:$E$201,3,FALSE)</f>
        <v>88188</v>
      </c>
      <c r="H1401" s="11">
        <f>VLOOKUP(A1401,'Operational Data'!$A$2:$E$201,4,FALSE)</f>
        <v>815.86</v>
      </c>
      <c r="I1401" s="11">
        <f>VLOOKUP(A1401,'Operational Data'!$A$2:$E$201,5,FALSE)</f>
        <v>57.53</v>
      </c>
      <c r="J1401" s="21">
        <f t="shared" si="21"/>
        <v>2.8720914410123827E-2</v>
      </c>
    </row>
    <row r="1402" spans="1:10" x14ac:dyDescent="0.25">
      <c r="A1402" s="20" t="s">
        <v>110</v>
      </c>
      <c r="B1402" s="20" t="s">
        <v>12</v>
      </c>
      <c r="C1402" s="20" t="s">
        <v>8</v>
      </c>
      <c r="D1402" s="20" t="s">
        <v>14</v>
      </c>
      <c r="E1402" s="20" t="s">
        <v>10</v>
      </c>
      <c r="F1402" s="20">
        <v>2192.7800000000002</v>
      </c>
      <c r="G1402" s="11">
        <f>VLOOKUP(A1402,'Operational Data'!$A$2:$E$201,3,FALSE)</f>
        <v>70481</v>
      </c>
      <c r="H1402" s="11">
        <f>VLOOKUP(A1402,'Operational Data'!$A$2:$E$201,4,FALSE)</f>
        <v>4452.83</v>
      </c>
      <c r="I1402" s="11">
        <f>VLOOKUP(A1402,'Operational Data'!$A$2:$E$201,5,FALSE)</f>
        <v>91.26</v>
      </c>
      <c r="J1402" s="21">
        <f t="shared" si="21"/>
        <v>3.111164711056881E-2</v>
      </c>
    </row>
    <row r="1403" spans="1:10" ht="30" x14ac:dyDescent="0.25">
      <c r="A1403" s="20" t="s">
        <v>168</v>
      </c>
      <c r="B1403" s="20" t="s">
        <v>17</v>
      </c>
      <c r="C1403" s="20" t="s">
        <v>23</v>
      </c>
      <c r="D1403" s="20" t="s">
        <v>28</v>
      </c>
      <c r="E1403" s="20" t="s">
        <v>24</v>
      </c>
      <c r="F1403" s="20">
        <v>2433.0700000000002</v>
      </c>
      <c r="G1403" s="11">
        <f>VLOOKUP(A1403,'Operational Data'!$A$2:$E$201,3,FALSE)</f>
        <v>41050</v>
      </c>
      <c r="H1403" s="11">
        <f>VLOOKUP(A1403,'Operational Data'!$A$2:$E$201,4,FALSE)</f>
        <v>6025.84</v>
      </c>
      <c r="I1403" s="11">
        <f>VLOOKUP(A1403,'Operational Data'!$A$2:$E$201,5,FALSE)</f>
        <v>53.53</v>
      </c>
      <c r="J1403" s="21">
        <f t="shared" si="21"/>
        <v>5.9270889159561517E-2</v>
      </c>
    </row>
    <row r="1404" spans="1:10" ht="30" x14ac:dyDescent="0.25">
      <c r="A1404" s="20" t="s">
        <v>190</v>
      </c>
      <c r="B1404" s="20" t="s">
        <v>17</v>
      </c>
      <c r="C1404" s="20" t="s">
        <v>8</v>
      </c>
      <c r="D1404" s="20" t="s">
        <v>28</v>
      </c>
      <c r="E1404" s="20" t="s">
        <v>10</v>
      </c>
      <c r="F1404" s="20">
        <v>3760.84</v>
      </c>
      <c r="G1404" s="11">
        <f>VLOOKUP(A1404,'Operational Data'!$A$2:$E$201,3,FALSE)</f>
        <v>41953</v>
      </c>
      <c r="H1404" s="11">
        <f>VLOOKUP(A1404,'Operational Data'!$A$2:$E$201,4,FALSE)</f>
        <v>2379.14</v>
      </c>
      <c r="I1404" s="11">
        <f>VLOOKUP(A1404,'Operational Data'!$A$2:$E$201,5,FALSE)</f>
        <v>65.67</v>
      </c>
      <c r="J1404" s="21">
        <f t="shared" si="21"/>
        <v>8.9644125569089225E-2</v>
      </c>
    </row>
    <row r="1405" spans="1:10" x14ac:dyDescent="0.25">
      <c r="A1405" s="20" t="s">
        <v>64</v>
      </c>
      <c r="B1405" s="20" t="s">
        <v>30</v>
      </c>
      <c r="C1405" s="20" t="s">
        <v>8</v>
      </c>
      <c r="D1405" s="20" t="s">
        <v>9</v>
      </c>
      <c r="E1405" s="20" t="s">
        <v>10</v>
      </c>
      <c r="F1405" s="20">
        <v>3726.94</v>
      </c>
      <c r="G1405" s="11">
        <f>VLOOKUP(A1405,'Operational Data'!$A$2:$E$201,3,FALSE)</f>
        <v>52836</v>
      </c>
      <c r="H1405" s="11">
        <f>VLOOKUP(A1405,'Operational Data'!$A$2:$E$201,4,FALSE)</f>
        <v>9330.2999999999993</v>
      </c>
      <c r="I1405" s="11">
        <f>VLOOKUP(A1405,'Operational Data'!$A$2:$E$201,5,FALSE)</f>
        <v>87.27</v>
      </c>
      <c r="J1405" s="21">
        <f t="shared" si="21"/>
        <v>7.0537890832008482E-2</v>
      </c>
    </row>
    <row r="1406" spans="1:10" x14ac:dyDescent="0.25">
      <c r="A1406" s="20" t="s">
        <v>186</v>
      </c>
      <c r="B1406" s="20" t="s">
        <v>30</v>
      </c>
      <c r="C1406" s="20" t="s">
        <v>8</v>
      </c>
      <c r="D1406" s="20" t="s">
        <v>14</v>
      </c>
      <c r="E1406" s="20" t="s">
        <v>10</v>
      </c>
      <c r="F1406" s="20">
        <v>3670.96</v>
      </c>
      <c r="G1406" s="11">
        <f>VLOOKUP(A1406,'Operational Data'!$A$2:$E$201,3,FALSE)</f>
        <v>85868</v>
      </c>
      <c r="H1406" s="11">
        <f>VLOOKUP(A1406,'Operational Data'!$A$2:$E$201,4,FALSE)</f>
        <v>907.72</v>
      </c>
      <c r="I1406" s="11">
        <f>VLOOKUP(A1406,'Operational Data'!$A$2:$E$201,5,FALSE)</f>
        <v>90.36</v>
      </c>
      <c r="J1406" s="21">
        <f t="shared" si="21"/>
        <v>4.2751199515535472E-2</v>
      </c>
    </row>
    <row r="1407" spans="1:10" x14ac:dyDescent="0.25">
      <c r="A1407" s="20" t="s">
        <v>97</v>
      </c>
      <c r="B1407" s="20" t="s">
        <v>7</v>
      </c>
      <c r="C1407" s="20" t="s">
        <v>13</v>
      </c>
      <c r="D1407" s="20" t="s">
        <v>9</v>
      </c>
      <c r="E1407" s="20" t="s">
        <v>10</v>
      </c>
      <c r="F1407" s="20">
        <v>1821.13</v>
      </c>
      <c r="G1407" s="11">
        <f>VLOOKUP(A1407,'Operational Data'!$A$2:$E$201,3,FALSE)</f>
        <v>78624</v>
      </c>
      <c r="H1407" s="11">
        <f>VLOOKUP(A1407,'Operational Data'!$A$2:$E$201,4,FALSE)</f>
        <v>2373.27</v>
      </c>
      <c r="I1407" s="11">
        <f>VLOOKUP(A1407,'Operational Data'!$A$2:$E$201,5,FALSE)</f>
        <v>25.07</v>
      </c>
      <c r="J1407" s="21">
        <f t="shared" si="21"/>
        <v>2.3162520350020352E-2</v>
      </c>
    </row>
    <row r="1408" spans="1:10" x14ac:dyDescent="0.25">
      <c r="A1408" s="20" t="s">
        <v>163</v>
      </c>
      <c r="B1408" s="20" t="s">
        <v>19</v>
      </c>
      <c r="C1408" s="20" t="s">
        <v>23</v>
      </c>
      <c r="D1408" s="20" t="s">
        <v>28</v>
      </c>
      <c r="E1408" s="20" t="s">
        <v>10</v>
      </c>
      <c r="F1408" s="20">
        <v>231.16</v>
      </c>
      <c r="G1408" s="11">
        <f>VLOOKUP(A1408,'Operational Data'!$A$2:$E$201,3,FALSE)</f>
        <v>87482</v>
      </c>
      <c r="H1408" s="11">
        <f>VLOOKUP(A1408,'Operational Data'!$A$2:$E$201,4,FALSE)</f>
        <v>2231.7399999999998</v>
      </c>
      <c r="I1408" s="11">
        <f>VLOOKUP(A1408,'Operational Data'!$A$2:$E$201,5,FALSE)</f>
        <v>45.43</v>
      </c>
      <c r="J1408" s="21">
        <f t="shared" si="21"/>
        <v>2.6423721451269977E-3</v>
      </c>
    </row>
    <row r="1409" spans="1:10" x14ac:dyDescent="0.25">
      <c r="A1409" s="20" t="s">
        <v>165</v>
      </c>
      <c r="B1409" s="20" t="s">
        <v>7</v>
      </c>
      <c r="C1409" s="20" t="s">
        <v>13</v>
      </c>
      <c r="D1409" s="20" t="s">
        <v>9</v>
      </c>
      <c r="E1409" s="20" t="s">
        <v>15</v>
      </c>
      <c r="F1409" s="20">
        <v>1503.886974</v>
      </c>
      <c r="G1409" s="11">
        <f>VLOOKUP(A1409,'Operational Data'!$A$2:$E$201,3,FALSE)</f>
        <v>32991</v>
      </c>
      <c r="H1409" s="11">
        <f>VLOOKUP(A1409,'Operational Data'!$A$2:$E$201,4,FALSE)</f>
        <v>8540.14</v>
      </c>
      <c r="I1409" s="11">
        <f>VLOOKUP(A1409,'Operational Data'!$A$2:$E$201,5,FALSE)</f>
        <v>37.75</v>
      </c>
      <c r="J1409" s="21">
        <f t="shared" si="21"/>
        <v>4.5584764754023822E-2</v>
      </c>
    </row>
    <row r="1410" spans="1:10" x14ac:dyDescent="0.25">
      <c r="A1410" s="20" t="s">
        <v>65</v>
      </c>
      <c r="B1410" s="20" t="s">
        <v>30</v>
      </c>
      <c r="C1410" s="20" t="s">
        <v>23</v>
      </c>
      <c r="D1410" s="20" t="s">
        <v>28</v>
      </c>
      <c r="E1410" s="20" t="s">
        <v>24</v>
      </c>
      <c r="F1410" s="20">
        <v>1448.62</v>
      </c>
      <c r="G1410" s="11">
        <f>VLOOKUP(A1410,'Operational Data'!$A$2:$E$201,3,FALSE)</f>
        <v>99026</v>
      </c>
      <c r="H1410" s="11">
        <f>VLOOKUP(A1410,'Operational Data'!$A$2:$E$201,4,FALSE)</f>
        <v>5453.2</v>
      </c>
      <c r="I1410" s="11">
        <f>VLOOKUP(A1410,'Operational Data'!$A$2:$E$201,5,FALSE)</f>
        <v>57.49</v>
      </c>
      <c r="J1410" s="21">
        <f t="shared" si="21"/>
        <v>1.4628683376083048E-2</v>
      </c>
    </row>
    <row r="1411" spans="1:10" x14ac:dyDescent="0.25">
      <c r="A1411" s="20" t="s">
        <v>95</v>
      </c>
      <c r="B1411" s="20" t="s">
        <v>30</v>
      </c>
      <c r="C1411" s="20" t="s">
        <v>13</v>
      </c>
      <c r="D1411" s="20" t="s">
        <v>14</v>
      </c>
      <c r="E1411" s="20" t="s">
        <v>10</v>
      </c>
      <c r="F1411" s="20">
        <v>3712.48</v>
      </c>
      <c r="G1411" s="11">
        <f>VLOOKUP(A1411,'Operational Data'!$A$2:$E$201,3,FALSE)</f>
        <v>51800</v>
      </c>
      <c r="H1411" s="11">
        <f>VLOOKUP(A1411,'Operational Data'!$A$2:$E$201,4,FALSE)</f>
        <v>3042.95</v>
      </c>
      <c r="I1411" s="11">
        <f>VLOOKUP(A1411,'Operational Data'!$A$2:$E$201,5,FALSE)</f>
        <v>71.87</v>
      </c>
      <c r="J1411" s="21">
        <f t="shared" ref="J1411:J1474" si="22">F1411/G1411</f>
        <v>7.1669498069498072E-2</v>
      </c>
    </row>
    <row r="1412" spans="1:10" x14ac:dyDescent="0.25">
      <c r="A1412" s="20" t="s">
        <v>98</v>
      </c>
      <c r="B1412" s="20" t="s">
        <v>19</v>
      </c>
      <c r="C1412" s="20" t="s">
        <v>23</v>
      </c>
      <c r="D1412" s="20" t="s">
        <v>28</v>
      </c>
      <c r="E1412" s="20" t="s">
        <v>10</v>
      </c>
      <c r="F1412" s="20">
        <v>4843.3</v>
      </c>
      <c r="G1412" s="11">
        <f>VLOOKUP(A1412,'Operational Data'!$A$2:$E$201,3,FALSE)</f>
        <v>26170</v>
      </c>
      <c r="H1412" s="11">
        <f>VLOOKUP(A1412,'Operational Data'!$A$2:$E$201,4,FALSE)</f>
        <v>8057.54</v>
      </c>
      <c r="I1412" s="11">
        <f>VLOOKUP(A1412,'Operational Data'!$A$2:$E$201,5,FALSE)</f>
        <v>63.71</v>
      </c>
      <c r="J1412" s="21">
        <f t="shared" si="22"/>
        <v>0.18507069163163928</v>
      </c>
    </row>
    <row r="1413" spans="1:10" ht="30" x14ac:dyDescent="0.25">
      <c r="A1413" s="20" t="s">
        <v>137</v>
      </c>
      <c r="B1413" s="20" t="s">
        <v>17</v>
      </c>
      <c r="C1413" s="20" t="s">
        <v>23</v>
      </c>
      <c r="D1413" s="20" t="s">
        <v>14</v>
      </c>
      <c r="E1413" s="20" t="s">
        <v>15</v>
      </c>
      <c r="F1413" s="20">
        <v>2038.87</v>
      </c>
      <c r="G1413" s="11">
        <f>VLOOKUP(A1413,'Operational Data'!$A$2:$E$201,3,FALSE)</f>
        <v>19265</v>
      </c>
      <c r="H1413" s="11">
        <f>VLOOKUP(A1413,'Operational Data'!$A$2:$E$201,4,FALSE)</f>
        <v>776.6</v>
      </c>
      <c r="I1413" s="11">
        <f>VLOOKUP(A1413,'Operational Data'!$A$2:$E$201,5,FALSE)</f>
        <v>39.75</v>
      </c>
      <c r="J1413" s="21">
        <f t="shared" si="22"/>
        <v>0.10583285751362574</v>
      </c>
    </row>
    <row r="1414" spans="1:10" ht="30" x14ac:dyDescent="0.25">
      <c r="A1414" s="20" t="s">
        <v>218</v>
      </c>
      <c r="B1414" s="20" t="s">
        <v>17</v>
      </c>
      <c r="C1414" s="20" t="s">
        <v>8</v>
      </c>
      <c r="D1414" s="20" t="s">
        <v>28</v>
      </c>
      <c r="E1414" s="20" t="s">
        <v>24</v>
      </c>
      <c r="F1414" s="20">
        <v>501.53</v>
      </c>
      <c r="G1414" s="11">
        <f>VLOOKUP(A1414,'Operational Data'!$A$2:$E$201,3,FALSE)</f>
        <v>22525</v>
      </c>
      <c r="H1414" s="11">
        <f>VLOOKUP(A1414,'Operational Data'!$A$2:$E$201,4,FALSE)</f>
        <v>9465.65</v>
      </c>
      <c r="I1414" s="11">
        <f>VLOOKUP(A1414,'Operational Data'!$A$2:$E$201,5,FALSE)</f>
        <v>37.79</v>
      </c>
      <c r="J1414" s="21">
        <f t="shared" si="22"/>
        <v>2.226548279689234E-2</v>
      </c>
    </row>
    <row r="1415" spans="1:10" x14ac:dyDescent="0.25">
      <c r="A1415" s="20" t="s">
        <v>141</v>
      </c>
      <c r="B1415" s="20" t="s">
        <v>7</v>
      </c>
      <c r="C1415" s="20" t="s">
        <v>34</v>
      </c>
      <c r="D1415" s="20" t="s">
        <v>14</v>
      </c>
      <c r="E1415" s="20" t="s">
        <v>24</v>
      </c>
      <c r="F1415" s="20">
        <v>2494.41</v>
      </c>
      <c r="G1415" s="11">
        <f>VLOOKUP(A1415,'Operational Data'!$A$2:$E$201,3,FALSE)</f>
        <v>45644</v>
      </c>
      <c r="H1415" s="11">
        <f>VLOOKUP(A1415,'Operational Data'!$A$2:$E$201,4,FALSE)</f>
        <v>7724.73</v>
      </c>
      <c r="I1415" s="11">
        <f>VLOOKUP(A1415,'Operational Data'!$A$2:$E$201,5,FALSE)</f>
        <v>31</v>
      </c>
      <c r="J1415" s="21">
        <f t="shared" si="22"/>
        <v>5.4649241959512748E-2</v>
      </c>
    </row>
    <row r="1416" spans="1:10" ht="30" x14ac:dyDescent="0.25">
      <c r="A1416" s="20" t="s">
        <v>79</v>
      </c>
      <c r="B1416" s="20" t="s">
        <v>17</v>
      </c>
      <c r="C1416" s="20" t="s">
        <v>8</v>
      </c>
      <c r="D1416" s="20" t="s">
        <v>14</v>
      </c>
      <c r="E1416" s="20" t="s">
        <v>24</v>
      </c>
      <c r="F1416" s="20">
        <v>3410.79</v>
      </c>
      <c r="G1416" s="11">
        <f>VLOOKUP(A1416,'Operational Data'!$A$2:$E$201,3,FALSE)</f>
        <v>40503</v>
      </c>
      <c r="H1416" s="11">
        <f>VLOOKUP(A1416,'Operational Data'!$A$2:$E$201,4,FALSE)</f>
        <v>7447.46</v>
      </c>
      <c r="I1416" s="11">
        <f>VLOOKUP(A1416,'Operational Data'!$A$2:$E$201,5,FALSE)</f>
        <v>98.27</v>
      </c>
      <c r="J1416" s="21">
        <f t="shared" si="22"/>
        <v>8.421079920005925E-2</v>
      </c>
    </row>
    <row r="1417" spans="1:10" ht="30" x14ac:dyDescent="0.25">
      <c r="A1417" s="20" t="s">
        <v>89</v>
      </c>
      <c r="B1417" s="20" t="s">
        <v>17</v>
      </c>
      <c r="C1417" s="20" t="s">
        <v>8</v>
      </c>
      <c r="D1417" s="20" t="s">
        <v>9</v>
      </c>
      <c r="E1417" s="20" t="s">
        <v>15</v>
      </c>
      <c r="F1417" s="20">
        <v>4596.0482240000001</v>
      </c>
      <c r="G1417" s="11">
        <f>VLOOKUP(A1417,'Operational Data'!$A$2:$E$201,3,FALSE)</f>
        <v>36171</v>
      </c>
      <c r="H1417" s="11">
        <f>VLOOKUP(A1417,'Operational Data'!$A$2:$E$201,4,FALSE)</f>
        <v>6864.38</v>
      </c>
      <c r="I1417" s="11">
        <f>VLOOKUP(A1417,'Operational Data'!$A$2:$E$201,5,FALSE)</f>
        <v>37.03</v>
      </c>
      <c r="J1417" s="21">
        <f t="shared" si="22"/>
        <v>0.12706445008432168</v>
      </c>
    </row>
    <row r="1418" spans="1:10" x14ac:dyDescent="0.25">
      <c r="A1418" s="20" t="s">
        <v>160</v>
      </c>
      <c r="B1418" s="20" t="s">
        <v>30</v>
      </c>
      <c r="C1418" s="20" t="s">
        <v>8</v>
      </c>
      <c r="D1418" s="20" t="s">
        <v>28</v>
      </c>
      <c r="E1418" s="20" t="s">
        <v>24</v>
      </c>
      <c r="F1418" s="20">
        <v>2175.48</v>
      </c>
      <c r="G1418" s="11">
        <f>VLOOKUP(A1418,'Operational Data'!$A$2:$E$201,3,FALSE)</f>
        <v>18341</v>
      </c>
      <c r="H1418" s="11">
        <f>VLOOKUP(A1418,'Operational Data'!$A$2:$E$201,4,FALSE)</f>
        <v>8465.57</v>
      </c>
      <c r="I1418" s="11">
        <f>VLOOKUP(A1418,'Operational Data'!$A$2:$E$201,5,FALSE)</f>
        <v>38.39</v>
      </c>
      <c r="J1418" s="21">
        <f t="shared" si="22"/>
        <v>0.11861294367809826</v>
      </c>
    </row>
    <row r="1419" spans="1:10" x14ac:dyDescent="0.25">
      <c r="A1419" s="20" t="s">
        <v>173</v>
      </c>
      <c r="B1419" s="20" t="s">
        <v>30</v>
      </c>
      <c r="C1419" s="20" t="s">
        <v>8</v>
      </c>
      <c r="D1419" s="20" t="s">
        <v>28</v>
      </c>
      <c r="E1419" s="20" t="s">
        <v>10</v>
      </c>
      <c r="F1419" s="20">
        <v>4410.9799999999996</v>
      </c>
      <c r="G1419" s="11">
        <f>VLOOKUP(A1419,'Operational Data'!$A$2:$E$201,3,FALSE)</f>
        <v>49620</v>
      </c>
      <c r="H1419" s="11">
        <f>VLOOKUP(A1419,'Operational Data'!$A$2:$E$201,4,FALSE)</f>
        <v>2424.31</v>
      </c>
      <c r="I1419" s="11">
        <f>VLOOKUP(A1419,'Operational Data'!$A$2:$E$201,5,FALSE)</f>
        <v>62.09</v>
      </c>
      <c r="J1419" s="21">
        <f t="shared" si="22"/>
        <v>8.8895203546956861E-2</v>
      </c>
    </row>
    <row r="1420" spans="1:10" x14ac:dyDescent="0.25">
      <c r="A1420" s="20" t="s">
        <v>67</v>
      </c>
      <c r="B1420" s="20" t="s">
        <v>7</v>
      </c>
      <c r="C1420" s="20" t="s">
        <v>8</v>
      </c>
      <c r="D1420" s="20" t="s">
        <v>9</v>
      </c>
      <c r="E1420" s="20" t="s">
        <v>15</v>
      </c>
      <c r="F1420" s="20">
        <v>4785.2299999999996</v>
      </c>
      <c r="G1420" s="11">
        <f>VLOOKUP(A1420,'Operational Data'!$A$2:$E$201,3,FALSE)</f>
        <v>70582</v>
      </c>
      <c r="H1420" s="11">
        <f>VLOOKUP(A1420,'Operational Data'!$A$2:$E$201,4,FALSE)</f>
        <v>7517.59</v>
      </c>
      <c r="I1420" s="11">
        <f>VLOOKUP(A1420,'Operational Data'!$A$2:$E$201,5,FALSE)</f>
        <v>95.71</v>
      </c>
      <c r="J1420" s="21">
        <f t="shared" si="22"/>
        <v>6.779674704598905E-2</v>
      </c>
    </row>
    <row r="1421" spans="1:10" x14ac:dyDescent="0.25">
      <c r="A1421" s="20" t="s">
        <v>45</v>
      </c>
      <c r="B1421" s="20" t="s">
        <v>7</v>
      </c>
      <c r="C1421" s="20" t="s">
        <v>23</v>
      </c>
      <c r="D1421" s="20" t="s">
        <v>28</v>
      </c>
      <c r="E1421" s="20" t="s">
        <v>15</v>
      </c>
      <c r="F1421" s="20">
        <v>3604.55</v>
      </c>
      <c r="G1421" s="11">
        <f>VLOOKUP(A1421,'Operational Data'!$A$2:$E$201,3,FALSE)</f>
        <v>49924</v>
      </c>
      <c r="H1421" s="11">
        <f>VLOOKUP(A1421,'Operational Data'!$A$2:$E$201,4,FALSE)</f>
        <v>2199.16</v>
      </c>
      <c r="I1421" s="11">
        <f>VLOOKUP(A1421,'Operational Data'!$A$2:$E$201,5,FALSE)</f>
        <v>75.48</v>
      </c>
      <c r="J1421" s="21">
        <f t="shared" si="22"/>
        <v>7.2200745132601551E-2</v>
      </c>
    </row>
    <row r="1422" spans="1:10" x14ac:dyDescent="0.25">
      <c r="A1422" s="20" t="s">
        <v>109</v>
      </c>
      <c r="B1422" s="20" t="s">
        <v>12</v>
      </c>
      <c r="C1422" s="20" t="s">
        <v>13</v>
      </c>
      <c r="D1422" s="20" t="s">
        <v>28</v>
      </c>
      <c r="E1422" s="20" t="s">
        <v>15</v>
      </c>
      <c r="F1422" s="20">
        <v>3470.96</v>
      </c>
      <c r="G1422" s="11">
        <f>VLOOKUP(A1422,'Operational Data'!$A$2:$E$201,3,FALSE)</f>
        <v>84721</v>
      </c>
      <c r="H1422" s="11">
        <f>VLOOKUP(A1422,'Operational Data'!$A$2:$E$201,4,FALSE)</f>
        <v>2278.9699999999998</v>
      </c>
      <c r="I1422" s="11">
        <f>VLOOKUP(A1422,'Operational Data'!$A$2:$E$201,5,FALSE)</f>
        <v>68.53</v>
      </c>
      <c r="J1422" s="21">
        <f t="shared" si="22"/>
        <v>4.0969299229234785E-2</v>
      </c>
    </row>
    <row r="1423" spans="1:10" x14ac:dyDescent="0.25">
      <c r="A1423" s="20" t="s">
        <v>112</v>
      </c>
      <c r="B1423" s="20" t="s">
        <v>30</v>
      </c>
      <c r="C1423" s="20" t="s">
        <v>23</v>
      </c>
      <c r="D1423" s="20" t="s">
        <v>14</v>
      </c>
      <c r="E1423" s="20" t="s">
        <v>10</v>
      </c>
      <c r="F1423" s="20">
        <v>3506.46</v>
      </c>
      <c r="G1423" s="11">
        <f>VLOOKUP(A1423,'Operational Data'!$A$2:$E$201,3,FALSE)</f>
        <v>43294</v>
      </c>
      <c r="H1423" s="11">
        <f>VLOOKUP(A1423,'Operational Data'!$A$2:$E$201,4,FALSE)</f>
        <v>3802.13</v>
      </c>
      <c r="I1423" s="11">
        <f>VLOOKUP(A1423,'Operational Data'!$A$2:$E$201,5,FALSE)</f>
        <v>45.84</v>
      </c>
      <c r="J1423" s="21">
        <f t="shared" si="22"/>
        <v>8.0991823347346059E-2</v>
      </c>
    </row>
    <row r="1424" spans="1:10" x14ac:dyDescent="0.25">
      <c r="A1424" s="20" t="s">
        <v>175</v>
      </c>
      <c r="B1424" s="20" t="s">
        <v>7</v>
      </c>
      <c r="C1424" s="20" t="s">
        <v>13</v>
      </c>
      <c r="D1424" s="20" t="s">
        <v>9</v>
      </c>
      <c r="E1424" s="20" t="s">
        <v>24</v>
      </c>
      <c r="F1424" s="20">
        <v>2058.1298219999999</v>
      </c>
      <c r="G1424" s="11">
        <f>VLOOKUP(A1424,'Operational Data'!$A$2:$E$201,3,FALSE)</f>
        <v>83923</v>
      </c>
      <c r="H1424" s="11">
        <f>VLOOKUP(A1424,'Operational Data'!$A$2:$E$201,4,FALSE)</f>
        <v>8768.7999999999993</v>
      </c>
      <c r="I1424" s="11">
        <f>VLOOKUP(A1424,'Operational Data'!$A$2:$E$201,5,FALSE)</f>
        <v>65.290000000000006</v>
      </c>
      <c r="J1424" s="21">
        <f t="shared" si="22"/>
        <v>2.4524025857035614E-2</v>
      </c>
    </row>
    <row r="1425" spans="1:10" x14ac:dyDescent="0.25">
      <c r="A1425" s="20" t="s">
        <v>94</v>
      </c>
      <c r="B1425" s="20" t="s">
        <v>7</v>
      </c>
      <c r="C1425" s="20" t="s">
        <v>34</v>
      </c>
      <c r="D1425" s="20" t="s">
        <v>28</v>
      </c>
      <c r="E1425" s="20" t="s">
        <v>24</v>
      </c>
      <c r="F1425" s="20">
        <v>1643.92</v>
      </c>
      <c r="G1425" s="11">
        <f>VLOOKUP(A1425,'Operational Data'!$A$2:$E$201,3,FALSE)</f>
        <v>26338</v>
      </c>
      <c r="H1425" s="11">
        <f>VLOOKUP(A1425,'Operational Data'!$A$2:$E$201,4,FALSE)</f>
        <v>578.73</v>
      </c>
      <c r="I1425" s="11">
        <f>VLOOKUP(A1425,'Operational Data'!$A$2:$E$201,5,FALSE)</f>
        <v>72.52</v>
      </c>
      <c r="J1425" s="21">
        <f t="shared" si="22"/>
        <v>6.2416280659123705E-2</v>
      </c>
    </row>
    <row r="1426" spans="1:10" x14ac:dyDescent="0.25">
      <c r="A1426" s="20" t="s">
        <v>217</v>
      </c>
      <c r="B1426" s="20" t="s">
        <v>19</v>
      </c>
      <c r="C1426" s="20" t="s">
        <v>23</v>
      </c>
      <c r="D1426" s="20" t="s">
        <v>28</v>
      </c>
      <c r="E1426" s="20" t="s">
        <v>10</v>
      </c>
      <c r="F1426" s="20">
        <v>2080.0300000000002</v>
      </c>
      <c r="G1426" s="11">
        <f>VLOOKUP(A1426,'Operational Data'!$A$2:$E$201,3,FALSE)</f>
        <v>80824</v>
      </c>
      <c r="H1426" s="11">
        <f>VLOOKUP(A1426,'Operational Data'!$A$2:$E$201,4,FALSE)</f>
        <v>2858.92</v>
      </c>
      <c r="I1426" s="11">
        <f>VLOOKUP(A1426,'Operational Data'!$A$2:$E$201,5,FALSE)</f>
        <v>13.97</v>
      </c>
      <c r="J1426" s="21">
        <f t="shared" si="22"/>
        <v>2.5735301395625066E-2</v>
      </c>
    </row>
    <row r="1427" spans="1:10" x14ac:dyDescent="0.25">
      <c r="A1427" s="20" t="s">
        <v>211</v>
      </c>
      <c r="B1427" s="20" t="s">
        <v>7</v>
      </c>
      <c r="C1427" s="20" t="s">
        <v>8</v>
      </c>
      <c r="D1427" s="20" t="s">
        <v>14</v>
      </c>
      <c r="E1427" s="20" t="s">
        <v>24</v>
      </c>
      <c r="F1427" s="20">
        <v>2465.4499999999998</v>
      </c>
      <c r="G1427" s="11">
        <f>VLOOKUP(A1427,'Operational Data'!$A$2:$E$201,3,FALSE)</f>
        <v>27028</v>
      </c>
      <c r="H1427" s="11">
        <f>VLOOKUP(A1427,'Operational Data'!$A$2:$E$201,4,FALSE)</f>
        <v>4617.92</v>
      </c>
      <c r="I1427" s="11">
        <f>VLOOKUP(A1427,'Operational Data'!$A$2:$E$201,5,FALSE)</f>
        <v>57.62</v>
      </c>
      <c r="J1427" s="21">
        <f t="shared" si="22"/>
        <v>9.1218366138818993E-2</v>
      </c>
    </row>
    <row r="1428" spans="1:10" ht="30" x14ac:dyDescent="0.25">
      <c r="A1428" s="20" t="s">
        <v>80</v>
      </c>
      <c r="B1428" s="20" t="s">
        <v>17</v>
      </c>
      <c r="C1428" s="20" t="s">
        <v>13</v>
      </c>
      <c r="D1428" s="20" t="s">
        <v>14</v>
      </c>
      <c r="E1428" s="20" t="s">
        <v>24</v>
      </c>
      <c r="F1428" s="20">
        <v>2931.16</v>
      </c>
      <c r="G1428" s="11">
        <f>VLOOKUP(A1428,'Operational Data'!$A$2:$E$201,3,FALSE)</f>
        <v>75508</v>
      </c>
      <c r="H1428" s="11">
        <f>VLOOKUP(A1428,'Operational Data'!$A$2:$E$201,4,FALSE)</f>
        <v>6856.22</v>
      </c>
      <c r="I1428" s="11">
        <f>VLOOKUP(A1428,'Operational Data'!$A$2:$E$201,5,FALSE)</f>
        <v>18.2</v>
      </c>
      <c r="J1428" s="21">
        <f t="shared" si="22"/>
        <v>3.8819197965778457E-2</v>
      </c>
    </row>
    <row r="1429" spans="1:10" x14ac:dyDescent="0.25">
      <c r="A1429" s="20" t="s">
        <v>117</v>
      </c>
      <c r="B1429" s="20" t="s">
        <v>7</v>
      </c>
      <c r="C1429" s="20" t="s">
        <v>23</v>
      </c>
      <c r="D1429" s="20" t="s">
        <v>28</v>
      </c>
      <c r="E1429" s="20" t="s">
        <v>24</v>
      </c>
      <c r="F1429" s="20">
        <v>1925.79</v>
      </c>
      <c r="G1429" s="11">
        <f>VLOOKUP(A1429,'Operational Data'!$A$2:$E$201,3,FALSE)</f>
        <v>89321</v>
      </c>
      <c r="H1429" s="11">
        <f>VLOOKUP(A1429,'Operational Data'!$A$2:$E$201,4,FALSE)</f>
        <v>9836.34</v>
      </c>
      <c r="I1429" s="11">
        <f>VLOOKUP(A1429,'Operational Data'!$A$2:$E$201,5,FALSE)</f>
        <v>16.989999999999998</v>
      </c>
      <c r="J1429" s="21">
        <f t="shared" si="22"/>
        <v>2.1560327358627871E-2</v>
      </c>
    </row>
    <row r="1430" spans="1:10" x14ac:dyDescent="0.25">
      <c r="A1430" s="20" t="s">
        <v>86</v>
      </c>
      <c r="B1430" s="20" t="s">
        <v>19</v>
      </c>
      <c r="C1430" s="20" t="s">
        <v>8</v>
      </c>
      <c r="D1430" s="20" t="s">
        <v>14</v>
      </c>
      <c r="E1430" s="20" t="s">
        <v>24</v>
      </c>
      <c r="F1430" s="20">
        <v>1331.9</v>
      </c>
      <c r="G1430" s="11">
        <f>VLOOKUP(A1430,'Operational Data'!$A$2:$E$201,3,FALSE)</f>
        <v>56531</v>
      </c>
      <c r="H1430" s="11">
        <f>VLOOKUP(A1430,'Operational Data'!$A$2:$E$201,4,FALSE)</f>
        <v>8958.07</v>
      </c>
      <c r="I1430" s="11">
        <f>VLOOKUP(A1430,'Operational Data'!$A$2:$E$201,5,FALSE)</f>
        <v>83.44</v>
      </c>
      <c r="J1430" s="21">
        <f t="shared" si="22"/>
        <v>2.3560524314093154E-2</v>
      </c>
    </row>
    <row r="1431" spans="1:10" x14ac:dyDescent="0.25">
      <c r="A1431" s="20" t="s">
        <v>18</v>
      </c>
      <c r="B1431" s="20" t="s">
        <v>19</v>
      </c>
      <c r="C1431" s="20" t="s">
        <v>8</v>
      </c>
      <c r="D1431" s="20" t="s">
        <v>9</v>
      </c>
      <c r="E1431" s="20" t="s">
        <v>15</v>
      </c>
      <c r="F1431" s="20">
        <v>3932.2339569999999</v>
      </c>
      <c r="G1431" s="11">
        <f>VLOOKUP(A1431,'Operational Data'!$A$2:$E$201,3,FALSE)</f>
        <v>98682</v>
      </c>
      <c r="H1431" s="11">
        <f>VLOOKUP(A1431,'Operational Data'!$A$2:$E$201,4,FALSE)</f>
        <v>6220.56</v>
      </c>
      <c r="I1431" s="11">
        <f>VLOOKUP(A1431,'Operational Data'!$A$2:$E$201,5,FALSE)</f>
        <v>70.099999999999994</v>
      </c>
      <c r="J1431" s="21">
        <f t="shared" si="22"/>
        <v>3.9847530015605682E-2</v>
      </c>
    </row>
    <row r="1432" spans="1:10" x14ac:dyDescent="0.25">
      <c r="A1432" s="20" t="s">
        <v>18</v>
      </c>
      <c r="B1432" s="20" t="s">
        <v>19</v>
      </c>
      <c r="C1432" s="20" t="s">
        <v>13</v>
      </c>
      <c r="D1432" s="20" t="s">
        <v>28</v>
      </c>
      <c r="E1432" s="20" t="s">
        <v>24</v>
      </c>
      <c r="F1432" s="20">
        <v>1414.52</v>
      </c>
      <c r="G1432" s="11">
        <f>VLOOKUP(A1432,'Operational Data'!$A$2:$E$201,3,FALSE)</f>
        <v>98682</v>
      </c>
      <c r="H1432" s="11">
        <f>VLOOKUP(A1432,'Operational Data'!$A$2:$E$201,4,FALSE)</f>
        <v>6220.56</v>
      </c>
      <c r="I1432" s="11">
        <f>VLOOKUP(A1432,'Operational Data'!$A$2:$E$201,5,FALSE)</f>
        <v>70.099999999999994</v>
      </c>
      <c r="J1432" s="21">
        <f t="shared" si="22"/>
        <v>1.433412375103869E-2</v>
      </c>
    </row>
    <row r="1433" spans="1:10" x14ac:dyDescent="0.25">
      <c r="A1433" s="20" t="s">
        <v>36</v>
      </c>
      <c r="B1433" s="20" t="s">
        <v>12</v>
      </c>
      <c r="C1433" s="20" t="s">
        <v>13</v>
      </c>
      <c r="D1433" s="20" t="s">
        <v>9</v>
      </c>
      <c r="E1433" s="20" t="s">
        <v>24</v>
      </c>
      <c r="F1433" s="20">
        <v>3472.6851879999999</v>
      </c>
      <c r="G1433" s="11">
        <f>VLOOKUP(A1433,'Operational Data'!$A$2:$E$201,3,FALSE)</f>
        <v>40226</v>
      </c>
      <c r="H1433" s="11">
        <f>VLOOKUP(A1433,'Operational Data'!$A$2:$E$201,4,FALSE)</f>
        <v>7868.86</v>
      </c>
      <c r="I1433" s="11">
        <f>VLOOKUP(A1433,'Operational Data'!$A$2:$E$201,5,FALSE)</f>
        <v>80.53</v>
      </c>
      <c r="J1433" s="21">
        <f t="shared" si="22"/>
        <v>8.6329368766469447E-2</v>
      </c>
    </row>
    <row r="1434" spans="1:10" x14ac:dyDescent="0.25">
      <c r="A1434" s="20" t="s">
        <v>180</v>
      </c>
      <c r="B1434" s="20" t="s">
        <v>30</v>
      </c>
      <c r="C1434" s="20" t="s">
        <v>34</v>
      </c>
      <c r="D1434" s="20" t="s">
        <v>28</v>
      </c>
      <c r="E1434" s="20" t="s">
        <v>24</v>
      </c>
      <c r="F1434" s="20">
        <v>1357.85</v>
      </c>
      <c r="G1434" s="11">
        <f>VLOOKUP(A1434,'Operational Data'!$A$2:$E$201,3,FALSE)</f>
        <v>72846</v>
      </c>
      <c r="H1434" s="11">
        <f>VLOOKUP(A1434,'Operational Data'!$A$2:$E$201,4,FALSE)</f>
        <v>5169.53</v>
      </c>
      <c r="I1434" s="11">
        <f>VLOOKUP(A1434,'Operational Data'!$A$2:$E$201,5,FALSE)</f>
        <v>76.709999999999994</v>
      </c>
      <c r="J1434" s="21">
        <f t="shared" si="22"/>
        <v>1.8640007687450236E-2</v>
      </c>
    </row>
    <row r="1435" spans="1:10" x14ac:dyDescent="0.25">
      <c r="A1435" s="20" t="s">
        <v>114</v>
      </c>
      <c r="B1435" s="20" t="s">
        <v>30</v>
      </c>
      <c r="C1435" s="20" t="s">
        <v>8</v>
      </c>
      <c r="D1435" s="20" t="s">
        <v>28</v>
      </c>
      <c r="E1435" s="20" t="s">
        <v>10</v>
      </c>
      <c r="F1435" s="20">
        <v>347.5</v>
      </c>
      <c r="G1435" s="11">
        <f>VLOOKUP(A1435,'Operational Data'!$A$2:$E$201,3,FALSE)</f>
        <v>29264</v>
      </c>
      <c r="H1435" s="11">
        <f>VLOOKUP(A1435,'Operational Data'!$A$2:$E$201,4,FALSE)</f>
        <v>8362.7199999999993</v>
      </c>
      <c r="I1435" s="11">
        <f>VLOOKUP(A1435,'Operational Data'!$A$2:$E$201,5,FALSE)</f>
        <v>61.93</v>
      </c>
      <c r="J1435" s="21">
        <f t="shared" si="22"/>
        <v>1.1874658283214871E-2</v>
      </c>
    </row>
    <row r="1436" spans="1:10" x14ac:dyDescent="0.25">
      <c r="A1436" s="20" t="s">
        <v>214</v>
      </c>
      <c r="B1436" s="20" t="s">
        <v>30</v>
      </c>
      <c r="C1436" s="20" t="s">
        <v>13</v>
      </c>
      <c r="D1436" s="20" t="s">
        <v>9</v>
      </c>
      <c r="E1436" s="20" t="s">
        <v>24</v>
      </c>
      <c r="F1436" s="20">
        <v>4534.231914</v>
      </c>
      <c r="G1436" s="11">
        <f>VLOOKUP(A1436,'Operational Data'!$A$2:$E$201,3,FALSE)</f>
        <v>79330</v>
      </c>
      <c r="H1436" s="11">
        <f>VLOOKUP(A1436,'Operational Data'!$A$2:$E$201,4,FALSE)</f>
        <v>6075.23</v>
      </c>
      <c r="I1436" s="11">
        <f>VLOOKUP(A1436,'Operational Data'!$A$2:$E$201,5,FALSE)</f>
        <v>83.97</v>
      </c>
      <c r="J1436" s="21">
        <f t="shared" si="22"/>
        <v>5.7156585327114581E-2</v>
      </c>
    </row>
    <row r="1437" spans="1:10" x14ac:dyDescent="0.25">
      <c r="A1437" s="20" t="s">
        <v>173</v>
      </c>
      <c r="B1437" s="20" t="s">
        <v>30</v>
      </c>
      <c r="C1437" s="20" t="s">
        <v>34</v>
      </c>
      <c r="D1437" s="20" t="s">
        <v>14</v>
      </c>
      <c r="E1437" s="20" t="s">
        <v>10</v>
      </c>
      <c r="F1437" s="20">
        <v>3600.52</v>
      </c>
      <c r="G1437" s="11">
        <f>VLOOKUP(A1437,'Operational Data'!$A$2:$E$201,3,FALSE)</f>
        <v>49620</v>
      </c>
      <c r="H1437" s="11">
        <f>VLOOKUP(A1437,'Operational Data'!$A$2:$E$201,4,FALSE)</f>
        <v>2424.31</v>
      </c>
      <c r="I1437" s="11">
        <f>VLOOKUP(A1437,'Operational Data'!$A$2:$E$201,5,FALSE)</f>
        <v>62.09</v>
      </c>
      <c r="J1437" s="21">
        <f t="shared" si="22"/>
        <v>7.2561870213623536E-2</v>
      </c>
    </row>
    <row r="1438" spans="1:10" x14ac:dyDescent="0.25">
      <c r="A1438" s="20" t="s">
        <v>192</v>
      </c>
      <c r="B1438" s="20" t="s">
        <v>19</v>
      </c>
      <c r="C1438" s="20" t="s">
        <v>34</v>
      </c>
      <c r="D1438" s="20" t="s">
        <v>28</v>
      </c>
      <c r="E1438" s="20" t="s">
        <v>24</v>
      </c>
      <c r="F1438" s="20">
        <v>4875.1000000000004</v>
      </c>
      <c r="G1438" s="11">
        <f>VLOOKUP(A1438,'Operational Data'!$A$2:$E$201,3,FALSE)</f>
        <v>43227</v>
      </c>
      <c r="H1438" s="11">
        <f>VLOOKUP(A1438,'Operational Data'!$A$2:$E$201,4,FALSE)</f>
        <v>5199.53</v>
      </c>
      <c r="I1438" s="11">
        <f>VLOOKUP(A1438,'Operational Data'!$A$2:$E$201,5,FALSE)</f>
        <v>44.09</v>
      </c>
      <c r="J1438" s="21">
        <f t="shared" si="22"/>
        <v>0.11277905013070536</v>
      </c>
    </row>
    <row r="1439" spans="1:10" ht="30" x14ac:dyDescent="0.25">
      <c r="A1439" s="20" t="s">
        <v>104</v>
      </c>
      <c r="B1439" s="20" t="s">
        <v>17</v>
      </c>
      <c r="C1439" s="20" t="s">
        <v>8</v>
      </c>
      <c r="D1439" s="20" t="s">
        <v>9</v>
      </c>
      <c r="E1439" s="20" t="s">
        <v>10</v>
      </c>
      <c r="F1439" s="20">
        <v>1708.84</v>
      </c>
      <c r="G1439" s="11">
        <f>VLOOKUP(A1439,'Operational Data'!$A$2:$E$201,3,FALSE)</f>
        <v>16868</v>
      </c>
      <c r="H1439" s="11">
        <f>VLOOKUP(A1439,'Operational Data'!$A$2:$E$201,4,FALSE)</f>
        <v>1378.01</v>
      </c>
      <c r="I1439" s="11">
        <f>VLOOKUP(A1439,'Operational Data'!$A$2:$E$201,5,FALSE)</f>
        <v>47.52</v>
      </c>
      <c r="J1439" s="21">
        <f t="shared" si="22"/>
        <v>0.10130661607778041</v>
      </c>
    </row>
    <row r="1440" spans="1:10" x14ac:dyDescent="0.25">
      <c r="A1440" s="20" t="s">
        <v>132</v>
      </c>
      <c r="B1440" s="20" t="s">
        <v>19</v>
      </c>
      <c r="C1440" s="20" t="s">
        <v>34</v>
      </c>
      <c r="D1440" s="20" t="s">
        <v>28</v>
      </c>
      <c r="E1440" s="20" t="s">
        <v>10</v>
      </c>
      <c r="F1440" s="20">
        <v>126.6</v>
      </c>
      <c r="G1440" s="11">
        <f>VLOOKUP(A1440,'Operational Data'!$A$2:$E$201,3,FALSE)</f>
        <v>29860</v>
      </c>
      <c r="H1440" s="11">
        <f>VLOOKUP(A1440,'Operational Data'!$A$2:$E$201,4,FALSE)</f>
        <v>3956.23</v>
      </c>
      <c r="I1440" s="11">
        <f>VLOOKUP(A1440,'Operational Data'!$A$2:$E$201,5,FALSE)</f>
        <v>57.5</v>
      </c>
      <c r="J1440" s="21">
        <f t="shared" si="22"/>
        <v>4.2397856664434025E-3</v>
      </c>
    </row>
    <row r="1441" spans="1:10" x14ac:dyDescent="0.25">
      <c r="A1441" s="20" t="s">
        <v>64</v>
      </c>
      <c r="B1441" s="20" t="s">
        <v>30</v>
      </c>
      <c r="C1441" s="20" t="s">
        <v>23</v>
      </c>
      <c r="D1441" s="20" t="s">
        <v>28</v>
      </c>
      <c r="E1441" s="20" t="s">
        <v>24</v>
      </c>
      <c r="F1441" s="20">
        <v>1749.03</v>
      </c>
      <c r="G1441" s="11">
        <f>VLOOKUP(A1441,'Operational Data'!$A$2:$E$201,3,FALSE)</f>
        <v>52836</v>
      </c>
      <c r="H1441" s="11">
        <f>VLOOKUP(A1441,'Operational Data'!$A$2:$E$201,4,FALSE)</f>
        <v>9330.2999999999993</v>
      </c>
      <c r="I1441" s="11">
        <f>VLOOKUP(A1441,'Operational Data'!$A$2:$E$201,5,FALSE)</f>
        <v>87.27</v>
      </c>
      <c r="J1441" s="21">
        <f t="shared" si="22"/>
        <v>3.3102997955939129E-2</v>
      </c>
    </row>
    <row r="1442" spans="1:10" x14ac:dyDescent="0.25">
      <c r="A1442" s="20" t="s">
        <v>61</v>
      </c>
      <c r="B1442" s="20" t="s">
        <v>30</v>
      </c>
      <c r="C1442" s="20" t="s">
        <v>8</v>
      </c>
      <c r="D1442" s="20" t="s">
        <v>9</v>
      </c>
      <c r="E1442" s="20" t="s">
        <v>24</v>
      </c>
      <c r="F1442" s="20">
        <v>2617.5188039999998</v>
      </c>
      <c r="G1442" s="11">
        <f>VLOOKUP(A1442,'Operational Data'!$A$2:$E$201,3,FALSE)</f>
        <v>95718</v>
      </c>
      <c r="H1442" s="11">
        <f>VLOOKUP(A1442,'Operational Data'!$A$2:$E$201,4,FALSE)</f>
        <v>2443.12</v>
      </c>
      <c r="I1442" s="11">
        <f>VLOOKUP(A1442,'Operational Data'!$A$2:$E$201,5,FALSE)</f>
        <v>35.49</v>
      </c>
      <c r="J1442" s="21">
        <f t="shared" si="22"/>
        <v>2.7346150191186608E-2</v>
      </c>
    </row>
    <row r="1443" spans="1:10" x14ac:dyDescent="0.25">
      <c r="A1443" s="20" t="s">
        <v>78</v>
      </c>
      <c r="B1443" s="20" t="s">
        <v>7</v>
      </c>
      <c r="C1443" s="20" t="s">
        <v>13</v>
      </c>
      <c r="D1443" s="20" t="s">
        <v>9</v>
      </c>
      <c r="E1443" s="20" t="s">
        <v>10</v>
      </c>
      <c r="F1443" s="20">
        <v>351.56</v>
      </c>
      <c r="G1443" s="11">
        <f>VLOOKUP(A1443,'Operational Data'!$A$2:$E$201,3,FALSE)</f>
        <v>86557</v>
      </c>
      <c r="H1443" s="11">
        <f>VLOOKUP(A1443,'Operational Data'!$A$2:$E$201,4,FALSE)</f>
        <v>8631.2800000000007</v>
      </c>
      <c r="I1443" s="11">
        <f>VLOOKUP(A1443,'Operational Data'!$A$2:$E$201,5,FALSE)</f>
        <v>69.53</v>
      </c>
      <c r="J1443" s="21">
        <f t="shared" si="22"/>
        <v>4.0616010259135601E-3</v>
      </c>
    </row>
    <row r="1444" spans="1:10" x14ac:dyDescent="0.25">
      <c r="A1444" s="20" t="s">
        <v>196</v>
      </c>
      <c r="B1444" s="20" t="s">
        <v>30</v>
      </c>
      <c r="C1444" s="20" t="s">
        <v>34</v>
      </c>
      <c r="D1444" s="20" t="s">
        <v>28</v>
      </c>
      <c r="E1444" s="20" t="s">
        <v>10</v>
      </c>
      <c r="F1444" s="20">
        <v>1743.41</v>
      </c>
      <c r="G1444" s="11">
        <f>VLOOKUP(A1444,'Operational Data'!$A$2:$E$201,3,FALSE)</f>
        <v>12262</v>
      </c>
      <c r="H1444" s="11">
        <f>VLOOKUP(A1444,'Operational Data'!$A$2:$E$201,4,FALSE)</f>
        <v>7106.18</v>
      </c>
      <c r="I1444" s="11">
        <f>VLOOKUP(A1444,'Operational Data'!$A$2:$E$201,5,FALSE)</f>
        <v>45.69</v>
      </c>
      <c r="J1444" s="21">
        <f t="shared" si="22"/>
        <v>0.14217990539879302</v>
      </c>
    </row>
    <row r="1445" spans="1:10" x14ac:dyDescent="0.25">
      <c r="A1445" s="20" t="s">
        <v>68</v>
      </c>
      <c r="B1445" s="20" t="s">
        <v>12</v>
      </c>
      <c r="C1445" s="20" t="s">
        <v>34</v>
      </c>
      <c r="D1445" s="20" t="s">
        <v>9</v>
      </c>
      <c r="E1445" s="20" t="s">
        <v>24</v>
      </c>
      <c r="F1445" s="20">
        <v>4857.8723879999998</v>
      </c>
      <c r="G1445" s="11">
        <f>VLOOKUP(A1445,'Operational Data'!$A$2:$E$201,3,FALSE)</f>
        <v>69100</v>
      </c>
      <c r="H1445" s="11">
        <f>VLOOKUP(A1445,'Operational Data'!$A$2:$E$201,4,FALSE)</f>
        <v>9356.02</v>
      </c>
      <c r="I1445" s="11">
        <f>VLOOKUP(A1445,'Operational Data'!$A$2:$E$201,5,FALSE)</f>
        <v>16.5</v>
      </c>
      <c r="J1445" s="21">
        <f t="shared" si="22"/>
        <v>7.0302060607814756E-2</v>
      </c>
    </row>
    <row r="1446" spans="1:10" x14ac:dyDescent="0.25">
      <c r="A1446" s="20" t="s">
        <v>184</v>
      </c>
      <c r="B1446" s="20" t="s">
        <v>30</v>
      </c>
      <c r="C1446" s="20" t="s">
        <v>34</v>
      </c>
      <c r="D1446" s="20" t="s">
        <v>14</v>
      </c>
      <c r="E1446" s="20" t="s">
        <v>24</v>
      </c>
      <c r="F1446" s="20">
        <v>2816.93</v>
      </c>
      <c r="G1446" s="11">
        <f>VLOOKUP(A1446,'Operational Data'!$A$2:$E$201,3,FALSE)</f>
        <v>13543</v>
      </c>
      <c r="H1446" s="11">
        <f>VLOOKUP(A1446,'Operational Data'!$A$2:$E$201,4,FALSE)</f>
        <v>7854.96</v>
      </c>
      <c r="I1446" s="11">
        <f>VLOOKUP(A1446,'Operational Data'!$A$2:$E$201,5,FALSE)</f>
        <v>85.57</v>
      </c>
      <c r="J1446" s="21">
        <f t="shared" si="22"/>
        <v>0.20799896625563019</v>
      </c>
    </row>
    <row r="1447" spans="1:10" x14ac:dyDescent="0.25">
      <c r="A1447" s="20" t="s">
        <v>48</v>
      </c>
      <c r="B1447" s="20" t="s">
        <v>19</v>
      </c>
      <c r="C1447" s="20" t="s">
        <v>13</v>
      </c>
      <c r="D1447" s="20" t="s">
        <v>14</v>
      </c>
      <c r="E1447" s="20" t="s">
        <v>15</v>
      </c>
      <c r="F1447" s="20">
        <v>2641.98</v>
      </c>
      <c r="G1447" s="11">
        <f>VLOOKUP(A1447,'Operational Data'!$A$2:$E$201,3,FALSE)</f>
        <v>11952</v>
      </c>
      <c r="H1447" s="11">
        <f>VLOOKUP(A1447,'Operational Data'!$A$2:$E$201,4,FALSE)</f>
        <v>4637.74</v>
      </c>
      <c r="I1447" s="11">
        <f>VLOOKUP(A1447,'Operational Data'!$A$2:$E$201,5,FALSE)</f>
        <v>63.78</v>
      </c>
      <c r="J1447" s="21">
        <f t="shared" si="22"/>
        <v>0.2210491967871486</v>
      </c>
    </row>
    <row r="1448" spans="1:10" ht="30" x14ac:dyDescent="0.25">
      <c r="A1448" s="20" t="s">
        <v>127</v>
      </c>
      <c r="B1448" s="20" t="s">
        <v>17</v>
      </c>
      <c r="C1448" s="20" t="s">
        <v>34</v>
      </c>
      <c r="D1448" s="20" t="s">
        <v>14</v>
      </c>
      <c r="E1448" s="20" t="s">
        <v>15</v>
      </c>
      <c r="F1448" s="20">
        <v>2924.31</v>
      </c>
      <c r="G1448" s="11">
        <f>VLOOKUP(A1448,'Operational Data'!$A$2:$E$201,3,FALSE)</f>
        <v>17416</v>
      </c>
      <c r="H1448" s="11">
        <f>VLOOKUP(A1448,'Operational Data'!$A$2:$E$201,4,FALSE)</f>
        <v>812.06</v>
      </c>
      <c r="I1448" s="11">
        <f>VLOOKUP(A1448,'Operational Data'!$A$2:$E$201,5,FALSE)</f>
        <v>5.7</v>
      </c>
      <c r="J1448" s="21">
        <f t="shared" si="22"/>
        <v>0.16790939366100138</v>
      </c>
    </row>
    <row r="1449" spans="1:10" x14ac:dyDescent="0.25">
      <c r="A1449" s="20" t="s">
        <v>112</v>
      </c>
      <c r="B1449" s="20" t="s">
        <v>30</v>
      </c>
      <c r="C1449" s="20" t="s">
        <v>13</v>
      </c>
      <c r="D1449" s="20" t="s">
        <v>9</v>
      </c>
      <c r="E1449" s="20" t="s">
        <v>15</v>
      </c>
      <c r="F1449" s="20">
        <v>2885.090361</v>
      </c>
      <c r="G1449" s="11">
        <f>VLOOKUP(A1449,'Operational Data'!$A$2:$E$201,3,FALSE)</f>
        <v>43294</v>
      </c>
      <c r="H1449" s="11">
        <f>VLOOKUP(A1449,'Operational Data'!$A$2:$E$201,4,FALSE)</f>
        <v>3802.13</v>
      </c>
      <c r="I1449" s="11">
        <f>VLOOKUP(A1449,'Operational Data'!$A$2:$E$201,5,FALSE)</f>
        <v>45.84</v>
      </c>
      <c r="J1449" s="21">
        <f t="shared" si="22"/>
        <v>6.6639496489120889E-2</v>
      </c>
    </row>
    <row r="1450" spans="1:10" ht="30" x14ac:dyDescent="0.25">
      <c r="A1450" s="20" t="s">
        <v>215</v>
      </c>
      <c r="B1450" s="20" t="s">
        <v>17</v>
      </c>
      <c r="C1450" s="20" t="s">
        <v>34</v>
      </c>
      <c r="D1450" s="20" t="s">
        <v>28</v>
      </c>
      <c r="E1450" s="20" t="s">
        <v>24</v>
      </c>
      <c r="F1450" s="20">
        <v>4563.34</v>
      </c>
      <c r="G1450" s="11">
        <f>VLOOKUP(A1450,'Operational Data'!$A$2:$E$201,3,FALSE)</f>
        <v>72813</v>
      </c>
      <c r="H1450" s="11">
        <f>VLOOKUP(A1450,'Operational Data'!$A$2:$E$201,4,FALSE)</f>
        <v>8818.16</v>
      </c>
      <c r="I1450" s="11">
        <f>VLOOKUP(A1450,'Operational Data'!$A$2:$E$201,5,FALSE)</f>
        <v>54.12</v>
      </c>
      <c r="J1450" s="21">
        <f t="shared" si="22"/>
        <v>6.26720503206845E-2</v>
      </c>
    </row>
    <row r="1451" spans="1:10" x14ac:dyDescent="0.25">
      <c r="A1451" s="20" t="s">
        <v>61</v>
      </c>
      <c r="B1451" s="20" t="s">
        <v>30</v>
      </c>
      <c r="C1451" s="20" t="s">
        <v>8</v>
      </c>
      <c r="D1451" s="20" t="s">
        <v>14</v>
      </c>
      <c r="E1451" s="20" t="s">
        <v>15</v>
      </c>
      <c r="F1451" s="20">
        <v>3703.75</v>
      </c>
      <c r="G1451" s="11">
        <f>VLOOKUP(A1451,'Operational Data'!$A$2:$E$201,3,FALSE)</f>
        <v>95718</v>
      </c>
      <c r="H1451" s="11">
        <f>VLOOKUP(A1451,'Operational Data'!$A$2:$E$201,4,FALSE)</f>
        <v>2443.12</v>
      </c>
      <c r="I1451" s="11">
        <f>VLOOKUP(A1451,'Operational Data'!$A$2:$E$201,5,FALSE)</f>
        <v>35.49</v>
      </c>
      <c r="J1451" s="21">
        <f t="shared" si="22"/>
        <v>3.8694393948891535E-2</v>
      </c>
    </row>
    <row r="1452" spans="1:10" x14ac:dyDescent="0.25">
      <c r="A1452" s="20" t="s">
        <v>152</v>
      </c>
      <c r="B1452" s="20" t="s">
        <v>30</v>
      </c>
      <c r="C1452" s="20" t="s">
        <v>13</v>
      </c>
      <c r="D1452" s="20" t="s">
        <v>28</v>
      </c>
      <c r="E1452" s="20" t="s">
        <v>10</v>
      </c>
      <c r="F1452" s="20">
        <v>3328.72</v>
      </c>
      <c r="G1452" s="11">
        <f>VLOOKUP(A1452,'Operational Data'!$A$2:$E$201,3,FALSE)</f>
        <v>21914</v>
      </c>
      <c r="H1452" s="11">
        <f>VLOOKUP(A1452,'Operational Data'!$A$2:$E$201,4,FALSE)</f>
        <v>5897.27</v>
      </c>
      <c r="I1452" s="11">
        <f>VLOOKUP(A1452,'Operational Data'!$A$2:$E$201,5,FALSE)</f>
        <v>49.41</v>
      </c>
      <c r="J1452" s="21">
        <f t="shared" si="22"/>
        <v>0.15189924249338321</v>
      </c>
    </row>
    <row r="1453" spans="1:10" ht="30" x14ac:dyDescent="0.25">
      <c r="A1453" s="20" t="s">
        <v>156</v>
      </c>
      <c r="B1453" s="20" t="s">
        <v>17</v>
      </c>
      <c r="C1453" s="20" t="s">
        <v>23</v>
      </c>
      <c r="D1453" s="20" t="s">
        <v>28</v>
      </c>
      <c r="E1453" s="20" t="s">
        <v>10</v>
      </c>
      <c r="F1453" s="20">
        <v>4650.1400000000003</v>
      </c>
      <c r="G1453" s="11">
        <f>VLOOKUP(A1453,'Operational Data'!$A$2:$E$201,3,FALSE)</f>
        <v>81057</v>
      </c>
      <c r="H1453" s="11">
        <f>VLOOKUP(A1453,'Operational Data'!$A$2:$E$201,4,FALSE)</f>
        <v>675.41</v>
      </c>
      <c r="I1453" s="11">
        <f>VLOOKUP(A1453,'Operational Data'!$A$2:$E$201,5,FALSE)</f>
        <v>55.44</v>
      </c>
      <c r="J1453" s="21">
        <f t="shared" si="22"/>
        <v>5.7368765189928082E-2</v>
      </c>
    </row>
    <row r="1454" spans="1:10" x14ac:dyDescent="0.25">
      <c r="A1454" s="20" t="s">
        <v>18</v>
      </c>
      <c r="B1454" s="20" t="s">
        <v>19</v>
      </c>
      <c r="C1454" s="20" t="s">
        <v>8</v>
      </c>
      <c r="D1454" s="20" t="s">
        <v>9</v>
      </c>
      <c r="E1454" s="20" t="s">
        <v>10</v>
      </c>
      <c r="F1454" s="20">
        <v>1410.901711</v>
      </c>
      <c r="G1454" s="11">
        <f>VLOOKUP(A1454,'Operational Data'!$A$2:$E$201,3,FALSE)</f>
        <v>98682</v>
      </c>
      <c r="H1454" s="11">
        <f>VLOOKUP(A1454,'Operational Data'!$A$2:$E$201,4,FALSE)</f>
        <v>6220.56</v>
      </c>
      <c r="I1454" s="11">
        <f>VLOOKUP(A1454,'Operational Data'!$A$2:$E$201,5,FALSE)</f>
        <v>70.099999999999994</v>
      </c>
      <c r="J1454" s="21">
        <f t="shared" si="22"/>
        <v>1.4297457601183599E-2</v>
      </c>
    </row>
    <row r="1455" spans="1:10" ht="30" x14ac:dyDescent="0.25">
      <c r="A1455" s="20" t="s">
        <v>82</v>
      </c>
      <c r="B1455" s="20" t="s">
        <v>17</v>
      </c>
      <c r="C1455" s="20" t="s">
        <v>13</v>
      </c>
      <c r="D1455" s="20" t="s">
        <v>14</v>
      </c>
      <c r="E1455" s="20" t="s">
        <v>10</v>
      </c>
      <c r="F1455" s="20">
        <v>802.15</v>
      </c>
      <c r="G1455" s="11">
        <f>VLOOKUP(A1455,'Operational Data'!$A$2:$E$201,3,FALSE)</f>
        <v>93409</v>
      </c>
      <c r="H1455" s="11">
        <f>VLOOKUP(A1455,'Operational Data'!$A$2:$E$201,4,FALSE)</f>
        <v>2375.83</v>
      </c>
      <c r="I1455" s="11">
        <f>VLOOKUP(A1455,'Operational Data'!$A$2:$E$201,5,FALSE)</f>
        <v>5.83</v>
      </c>
      <c r="J1455" s="21">
        <f t="shared" si="22"/>
        <v>8.587502274941386E-3</v>
      </c>
    </row>
    <row r="1456" spans="1:10" x14ac:dyDescent="0.25">
      <c r="A1456" s="20" t="s">
        <v>219</v>
      </c>
      <c r="B1456" s="20" t="s">
        <v>12</v>
      </c>
      <c r="C1456" s="20" t="s">
        <v>34</v>
      </c>
      <c r="D1456" s="20" t="s">
        <v>14</v>
      </c>
      <c r="E1456" s="20" t="s">
        <v>15</v>
      </c>
      <c r="F1456" s="20">
        <v>3338.5</v>
      </c>
      <c r="G1456" s="11">
        <f>VLOOKUP(A1456,'Operational Data'!$A$2:$E$201,3,FALSE)</f>
        <v>84524</v>
      </c>
      <c r="H1456" s="11">
        <f>VLOOKUP(A1456,'Operational Data'!$A$2:$E$201,4,FALSE)</f>
        <v>9350.11</v>
      </c>
      <c r="I1456" s="11">
        <f>VLOOKUP(A1456,'Operational Data'!$A$2:$E$201,5,FALSE)</f>
        <v>27.53</v>
      </c>
      <c r="J1456" s="21">
        <f t="shared" si="22"/>
        <v>3.9497657470067671E-2</v>
      </c>
    </row>
    <row r="1457" spans="1:10" x14ac:dyDescent="0.25">
      <c r="A1457" s="20" t="s">
        <v>152</v>
      </c>
      <c r="B1457" s="20" t="s">
        <v>30</v>
      </c>
      <c r="C1457" s="20" t="s">
        <v>23</v>
      </c>
      <c r="D1457" s="20" t="s">
        <v>28</v>
      </c>
      <c r="E1457" s="20" t="s">
        <v>24</v>
      </c>
      <c r="F1457" s="20">
        <v>1108.8800000000001</v>
      </c>
      <c r="G1457" s="11">
        <f>VLOOKUP(A1457,'Operational Data'!$A$2:$E$201,3,FALSE)</f>
        <v>21914</v>
      </c>
      <c r="H1457" s="11">
        <f>VLOOKUP(A1457,'Operational Data'!$A$2:$E$201,4,FALSE)</f>
        <v>5897.27</v>
      </c>
      <c r="I1457" s="11">
        <f>VLOOKUP(A1457,'Operational Data'!$A$2:$E$201,5,FALSE)</f>
        <v>49.41</v>
      </c>
      <c r="J1457" s="21">
        <f t="shared" si="22"/>
        <v>5.06014420005476E-2</v>
      </c>
    </row>
    <row r="1458" spans="1:10" x14ac:dyDescent="0.25">
      <c r="A1458" s="20" t="s">
        <v>191</v>
      </c>
      <c r="B1458" s="20" t="s">
        <v>12</v>
      </c>
      <c r="C1458" s="20" t="s">
        <v>13</v>
      </c>
      <c r="D1458" s="20" t="s">
        <v>14</v>
      </c>
      <c r="E1458" s="20" t="s">
        <v>24</v>
      </c>
      <c r="F1458" s="20">
        <v>350.22</v>
      </c>
      <c r="G1458" s="11">
        <f>VLOOKUP(A1458,'Operational Data'!$A$2:$E$201,3,FALSE)</f>
        <v>43346</v>
      </c>
      <c r="H1458" s="11">
        <f>VLOOKUP(A1458,'Operational Data'!$A$2:$E$201,4,FALSE)</f>
        <v>5559.12</v>
      </c>
      <c r="I1458" s="11">
        <f>VLOOKUP(A1458,'Operational Data'!$A$2:$E$201,5,FALSE)</f>
        <v>39.4</v>
      </c>
      <c r="J1458" s="21">
        <f t="shared" si="22"/>
        <v>8.0796382595856604E-3</v>
      </c>
    </row>
    <row r="1459" spans="1:10" x14ac:dyDescent="0.25">
      <c r="A1459" s="20" t="s">
        <v>186</v>
      </c>
      <c r="B1459" s="20" t="s">
        <v>30</v>
      </c>
      <c r="C1459" s="20" t="s">
        <v>13</v>
      </c>
      <c r="D1459" s="20" t="s">
        <v>14</v>
      </c>
      <c r="E1459" s="20" t="s">
        <v>15</v>
      </c>
      <c r="F1459" s="20">
        <v>1884.68</v>
      </c>
      <c r="G1459" s="11">
        <f>VLOOKUP(A1459,'Operational Data'!$A$2:$E$201,3,FALSE)</f>
        <v>85868</v>
      </c>
      <c r="H1459" s="11">
        <f>VLOOKUP(A1459,'Operational Data'!$A$2:$E$201,4,FALSE)</f>
        <v>907.72</v>
      </c>
      <c r="I1459" s="11">
        <f>VLOOKUP(A1459,'Operational Data'!$A$2:$E$201,5,FALSE)</f>
        <v>90.36</v>
      </c>
      <c r="J1459" s="21">
        <f t="shared" si="22"/>
        <v>2.1948572227139331E-2</v>
      </c>
    </row>
    <row r="1460" spans="1:10" ht="30" x14ac:dyDescent="0.25">
      <c r="A1460" s="20" t="s">
        <v>168</v>
      </c>
      <c r="B1460" s="20" t="s">
        <v>17</v>
      </c>
      <c r="C1460" s="20" t="s">
        <v>13</v>
      </c>
      <c r="D1460" s="20" t="s">
        <v>9</v>
      </c>
      <c r="E1460" s="20" t="s">
        <v>10</v>
      </c>
      <c r="F1460" s="20">
        <v>2634.7603020000001</v>
      </c>
      <c r="G1460" s="11">
        <f>VLOOKUP(A1460,'Operational Data'!$A$2:$E$201,3,FALSE)</f>
        <v>41050</v>
      </c>
      <c r="H1460" s="11">
        <f>VLOOKUP(A1460,'Operational Data'!$A$2:$E$201,4,FALSE)</f>
        <v>6025.84</v>
      </c>
      <c r="I1460" s="11">
        <f>VLOOKUP(A1460,'Operational Data'!$A$2:$E$201,5,FALSE)</f>
        <v>53.53</v>
      </c>
      <c r="J1460" s="21">
        <f t="shared" si="22"/>
        <v>6.4184173008526191E-2</v>
      </c>
    </row>
    <row r="1461" spans="1:10" x14ac:dyDescent="0.25">
      <c r="A1461" s="20" t="s">
        <v>175</v>
      </c>
      <c r="B1461" s="20" t="s">
        <v>7</v>
      </c>
      <c r="C1461" s="20" t="s">
        <v>13</v>
      </c>
      <c r="D1461" s="20" t="s">
        <v>14</v>
      </c>
      <c r="E1461" s="20" t="s">
        <v>10</v>
      </c>
      <c r="F1461" s="20">
        <v>1677.52</v>
      </c>
      <c r="G1461" s="11">
        <f>VLOOKUP(A1461,'Operational Data'!$A$2:$E$201,3,FALSE)</f>
        <v>83923</v>
      </c>
      <c r="H1461" s="11">
        <f>VLOOKUP(A1461,'Operational Data'!$A$2:$E$201,4,FALSE)</f>
        <v>8768.7999999999993</v>
      </c>
      <c r="I1461" s="11">
        <f>VLOOKUP(A1461,'Operational Data'!$A$2:$E$201,5,FALSE)</f>
        <v>65.290000000000006</v>
      </c>
      <c r="J1461" s="21">
        <f t="shared" si="22"/>
        <v>1.9988799256461281E-2</v>
      </c>
    </row>
    <row r="1462" spans="1:10" ht="30" x14ac:dyDescent="0.25">
      <c r="A1462" s="20" t="s">
        <v>83</v>
      </c>
      <c r="B1462" s="20" t="s">
        <v>17</v>
      </c>
      <c r="C1462" s="20" t="s">
        <v>8</v>
      </c>
      <c r="D1462" s="20" t="s">
        <v>28</v>
      </c>
      <c r="E1462" s="20" t="s">
        <v>10</v>
      </c>
      <c r="F1462" s="20">
        <v>2395.0100000000002</v>
      </c>
      <c r="G1462" s="11">
        <f>VLOOKUP(A1462,'Operational Data'!$A$2:$E$201,3,FALSE)</f>
        <v>30934</v>
      </c>
      <c r="H1462" s="11">
        <f>VLOOKUP(A1462,'Operational Data'!$A$2:$E$201,4,FALSE)</f>
        <v>4175.6499999999996</v>
      </c>
      <c r="I1462" s="11">
        <f>VLOOKUP(A1462,'Operational Data'!$A$2:$E$201,5,FALSE)</f>
        <v>77.290000000000006</v>
      </c>
      <c r="J1462" s="21">
        <f t="shared" si="22"/>
        <v>7.7423223637421615E-2</v>
      </c>
    </row>
    <row r="1463" spans="1:10" x14ac:dyDescent="0.25">
      <c r="A1463" s="20" t="s">
        <v>146</v>
      </c>
      <c r="B1463" s="20" t="s">
        <v>7</v>
      </c>
      <c r="C1463" s="20" t="s">
        <v>23</v>
      </c>
      <c r="D1463" s="20" t="s">
        <v>9</v>
      </c>
      <c r="E1463" s="20" t="s">
        <v>15</v>
      </c>
      <c r="F1463" s="20">
        <v>2603.0123579999999</v>
      </c>
      <c r="G1463" s="11">
        <f>VLOOKUP(A1463,'Operational Data'!$A$2:$E$201,3,FALSE)</f>
        <v>14170</v>
      </c>
      <c r="H1463" s="11">
        <f>VLOOKUP(A1463,'Operational Data'!$A$2:$E$201,4,FALSE)</f>
        <v>5455.23</v>
      </c>
      <c r="I1463" s="11">
        <f>VLOOKUP(A1463,'Operational Data'!$A$2:$E$201,5,FALSE)</f>
        <v>25.46</v>
      </c>
      <c r="J1463" s="21">
        <f t="shared" si="22"/>
        <v>0.18369882554693012</v>
      </c>
    </row>
    <row r="1464" spans="1:10" x14ac:dyDescent="0.25">
      <c r="A1464" s="20" t="s">
        <v>95</v>
      </c>
      <c r="B1464" s="20" t="s">
        <v>30</v>
      </c>
      <c r="C1464" s="20" t="s">
        <v>13</v>
      </c>
      <c r="D1464" s="20" t="s">
        <v>9</v>
      </c>
      <c r="E1464" s="20" t="s">
        <v>15</v>
      </c>
      <c r="F1464" s="20">
        <v>1656.443522</v>
      </c>
      <c r="G1464" s="11">
        <f>VLOOKUP(A1464,'Operational Data'!$A$2:$E$201,3,FALSE)</f>
        <v>51800</v>
      </c>
      <c r="H1464" s="11">
        <f>VLOOKUP(A1464,'Operational Data'!$A$2:$E$201,4,FALSE)</f>
        <v>3042.95</v>
      </c>
      <c r="I1464" s="11">
        <f>VLOOKUP(A1464,'Operational Data'!$A$2:$E$201,5,FALSE)</f>
        <v>71.87</v>
      </c>
      <c r="J1464" s="21">
        <f t="shared" si="22"/>
        <v>3.1977674169884174E-2</v>
      </c>
    </row>
    <row r="1465" spans="1:10" x14ac:dyDescent="0.25">
      <c r="A1465" s="20" t="s">
        <v>106</v>
      </c>
      <c r="B1465" s="20" t="s">
        <v>12</v>
      </c>
      <c r="C1465" s="20" t="s">
        <v>23</v>
      </c>
      <c r="D1465" s="20" t="s">
        <v>9</v>
      </c>
      <c r="E1465" s="20" t="s">
        <v>10</v>
      </c>
      <c r="F1465" s="20">
        <v>274.58999999999997</v>
      </c>
      <c r="G1465" s="11">
        <f>VLOOKUP(A1465,'Operational Data'!$A$2:$E$201,3,FALSE)</f>
        <v>21386</v>
      </c>
      <c r="H1465" s="11">
        <f>VLOOKUP(A1465,'Operational Data'!$A$2:$E$201,4,FALSE)</f>
        <v>2271.92</v>
      </c>
      <c r="I1465" s="11">
        <f>VLOOKUP(A1465,'Operational Data'!$A$2:$E$201,5,FALSE)</f>
        <v>49.67</v>
      </c>
      <c r="J1465" s="21">
        <f t="shared" si="22"/>
        <v>1.2839708220331057E-2</v>
      </c>
    </row>
    <row r="1466" spans="1:10" x14ac:dyDescent="0.25">
      <c r="A1466" s="20" t="s">
        <v>155</v>
      </c>
      <c r="B1466" s="20" t="s">
        <v>7</v>
      </c>
      <c r="C1466" s="20" t="s">
        <v>8</v>
      </c>
      <c r="D1466" s="20" t="s">
        <v>9</v>
      </c>
      <c r="E1466" s="20" t="s">
        <v>10</v>
      </c>
      <c r="F1466" s="20">
        <v>1298.2818199999999</v>
      </c>
      <c r="G1466" s="11">
        <f>VLOOKUP(A1466,'Operational Data'!$A$2:$E$201,3,FALSE)</f>
        <v>72224</v>
      </c>
      <c r="H1466" s="11">
        <f>VLOOKUP(A1466,'Operational Data'!$A$2:$E$201,4,FALSE)</f>
        <v>1613.32</v>
      </c>
      <c r="I1466" s="11">
        <f>VLOOKUP(A1466,'Operational Data'!$A$2:$E$201,5,FALSE)</f>
        <v>39.21</v>
      </c>
      <c r="J1466" s="21">
        <f t="shared" si="22"/>
        <v>1.7975767334957909E-2</v>
      </c>
    </row>
    <row r="1467" spans="1:10" ht="30" x14ac:dyDescent="0.25">
      <c r="A1467" s="20" t="s">
        <v>136</v>
      </c>
      <c r="B1467" s="20" t="s">
        <v>17</v>
      </c>
      <c r="C1467" s="20" t="s">
        <v>34</v>
      </c>
      <c r="D1467" s="20" t="s">
        <v>28</v>
      </c>
      <c r="E1467" s="20" t="s">
        <v>15</v>
      </c>
      <c r="F1467" s="20">
        <v>814.66</v>
      </c>
      <c r="G1467" s="11">
        <f>VLOOKUP(A1467,'Operational Data'!$A$2:$E$201,3,FALSE)</f>
        <v>15128</v>
      </c>
      <c r="H1467" s="11">
        <f>VLOOKUP(A1467,'Operational Data'!$A$2:$E$201,4,FALSE)</f>
        <v>8847.09</v>
      </c>
      <c r="I1467" s="11">
        <f>VLOOKUP(A1467,'Operational Data'!$A$2:$E$201,5,FALSE)</f>
        <v>5.25</v>
      </c>
      <c r="J1467" s="21">
        <f t="shared" si="22"/>
        <v>5.3851136964569009E-2</v>
      </c>
    </row>
    <row r="1468" spans="1:10" x14ac:dyDescent="0.25">
      <c r="A1468" s="20" t="s">
        <v>22</v>
      </c>
      <c r="B1468" s="20" t="s">
        <v>12</v>
      </c>
      <c r="C1468" s="20" t="s">
        <v>23</v>
      </c>
      <c r="D1468" s="20" t="s">
        <v>14</v>
      </c>
      <c r="E1468" s="20" t="s">
        <v>10</v>
      </c>
      <c r="F1468" s="20">
        <v>4037.11</v>
      </c>
      <c r="G1468" s="11">
        <f>VLOOKUP(A1468,'Operational Data'!$A$2:$E$201,3,FALSE)</f>
        <v>47484</v>
      </c>
      <c r="H1468" s="11">
        <f>VLOOKUP(A1468,'Operational Data'!$A$2:$E$201,4,FALSE)</f>
        <v>3396.39</v>
      </c>
      <c r="I1468" s="11">
        <f>VLOOKUP(A1468,'Operational Data'!$A$2:$E$201,5,FALSE)</f>
        <v>19.510000000000002</v>
      </c>
      <c r="J1468" s="21">
        <f t="shared" si="22"/>
        <v>8.5020427933619747E-2</v>
      </c>
    </row>
    <row r="1469" spans="1:10" x14ac:dyDescent="0.25">
      <c r="A1469" s="20" t="s">
        <v>130</v>
      </c>
      <c r="B1469" s="20" t="s">
        <v>12</v>
      </c>
      <c r="C1469" s="20" t="s">
        <v>23</v>
      </c>
      <c r="D1469" s="20" t="s">
        <v>9</v>
      </c>
      <c r="E1469" s="20" t="s">
        <v>15</v>
      </c>
      <c r="F1469" s="20">
        <v>1604.8106110000001</v>
      </c>
      <c r="G1469" s="11">
        <f>VLOOKUP(A1469,'Operational Data'!$A$2:$E$201,3,FALSE)</f>
        <v>82332</v>
      </c>
      <c r="H1469" s="11">
        <f>VLOOKUP(A1469,'Operational Data'!$A$2:$E$201,4,FALSE)</f>
        <v>7134.86</v>
      </c>
      <c r="I1469" s="11">
        <f>VLOOKUP(A1469,'Operational Data'!$A$2:$E$201,5,FALSE)</f>
        <v>22.44</v>
      </c>
      <c r="J1469" s="21">
        <f t="shared" si="22"/>
        <v>1.9491942513239081E-2</v>
      </c>
    </row>
    <row r="1470" spans="1:10" x14ac:dyDescent="0.25">
      <c r="A1470" s="20" t="s">
        <v>57</v>
      </c>
      <c r="B1470" s="20" t="s">
        <v>19</v>
      </c>
      <c r="C1470" s="20" t="s">
        <v>23</v>
      </c>
      <c r="D1470" s="20" t="s">
        <v>14</v>
      </c>
      <c r="E1470" s="20" t="s">
        <v>24</v>
      </c>
      <c r="F1470" s="20">
        <v>2667.56</v>
      </c>
      <c r="G1470" s="11">
        <f>VLOOKUP(A1470,'Operational Data'!$A$2:$E$201,3,FALSE)</f>
        <v>41027</v>
      </c>
      <c r="H1470" s="11">
        <f>VLOOKUP(A1470,'Operational Data'!$A$2:$E$201,4,FALSE)</f>
        <v>7285.85</v>
      </c>
      <c r="I1470" s="11">
        <f>VLOOKUP(A1470,'Operational Data'!$A$2:$E$201,5,FALSE)</f>
        <v>59.87</v>
      </c>
      <c r="J1470" s="21">
        <f t="shared" si="22"/>
        <v>6.5019621225046925E-2</v>
      </c>
    </row>
    <row r="1471" spans="1:10" x14ac:dyDescent="0.25">
      <c r="A1471" s="20" t="s">
        <v>55</v>
      </c>
      <c r="B1471" s="20" t="s">
        <v>12</v>
      </c>
      <c r="C1471" s="20" t="s">
        <v>13</v>
      </c>
      <c r="D1471" s="20" t="s">
        <v>14</v>
      </c>
      <c r="E1471" s="20" t="s">
        <v>10</v>
      </c>
      <c r="F1471" s="20">
        <v>1194.52</v>
      </c>
      <c r="G1471" s="11">
        <f>VLOOKUP(A1471,'Operational Data'!$A$2:$E$201,3,FALSE)</f>
        <v>38181</v>
      </c>
      <c r="H1471" s="11">
        <f>VLOOKUP(A1471,'Operational Data'!$A$2:$E$201,4,FALSE)</f>
        <v>691.84</v>
      </c>
      <c r="I1471" s="11">
        <f>VLOOKUP(A1471,'Operational Data'!$A$2:$E$201,5,FALSE)</f>
        <v>33.53</v>
      </c>
      <c r="J1471" s="21">
        <f t="shared" si="22"/>
        <v>3.1285718027291062E-2</v>
      </c>
    </row>
    <row r="1472" spans="1:10" x14ac:dyDescent="0.25">
      <c r="A1472" s="20" t="s">
        <v>193</v>
      </c>
      <c r="B1472" s="20" t="s">
        <v>12</v>
      </c>
      <c r="C1472" s="20" t="s">
        <v>8</v>
      </c>
      <c r="D1472" s="20" t="s">
        <v>28</v>
      </c>
      <c r="E1472" s="20" t="s">
        <v>10</v>
      </c>
      <c r="F1472" s="20">
        <v>4059.51</v>
      </c>
      <c r="G1472" s="11">
        <f>VLOOKUP(A1472,'Operational Data'!$A$2:$E$201,3,FALSE)</f>
        <v>13333</v>
      </c>
      <c r="H1472" s="11">
        <f>VLOOKUP(A1472,'Operational Data'!$A$2:$E$201,4,FALSE)</f>
        <v>6102.15</v>
      </c>
      <c r="I1472" s="11">
        <f>VLOOKUP(A1472,'Operational Data'!$A$2:$E$201,5,FALSE)</f>
        <v>17.670000000000002</v>
      </c>
      <c r="J1472" s="21">
        <f t="shared" si="22"/>
        <v>0.30447086177154431</v>
      </c>
    </row>
    <row r="1473" spans="1:10" x14ac:dyDescent="0.25">
      <c r="A1473" s="20" t="s">
        <v>186</v>
      </c>
      <c r="B1473" s="20" t="s">
        <v>30</v>
      </c>
      <c r="C1473" s="20" t="s">
        <v>23</v>
      </c>
      <c r="D1473" s="20" t="s">
        <v>14</v>
      </c>
      <c r="E1473" s="20" t="s">
        <v>15</v>
      </c>
      <c r="F1473" s="20">
        <v>1051.4000000000001</v>
      </c>
      <c r="G1473" s="11">
        <f>VLOOKUP(A1473,'Operational Data'!$A$2:$E$201,3,FALSE)</f>
        <v>85868</v>
      </c>
      <c r="H1473" s="11">
        <f>VLOOKUP(A1473,'Operational Data'!$A$2:$E$201,4,FALSE)</f>
        <v>907.72</v>
      </c>
      <c r="I1473" s="11">
        <f>VLOOKUP(A1473,'Operational Data'!$A$2:$E$201,5,FALSE)</f>
        <v>90.36</v>
      </c>
      <c r="J1473" s="21">
        <f t="shared" si="22"/>
        <v>1.2244375087343365E-2</v>
      </c>
    </row>
    <row r="1474" spans="1:10" x14ac:dyDescent="0.25">
      <c r="A1474" s="20" t="s">
        <v>68</v>
      </c>
      <c r="B1474" s="20" t="s">
        <v>12</v>
      </c>
      <c r="C1474" s="20" t="s">
        <v>13</v>
      </c>
      <c r="D1474" s="20" t="s">
        <v>9</v>
      </c>
      <c r="E1474" s="20" t="s">
        <v>24</v>
      </c>
      <c r="F1474" s="20">
        <v>1810.544091</v>
      </c>
      <c r="G1474" s="11">
        <f>VLOOKUP(A1474,'Operational Data'!$A$2:$E$201,3,FALSE)</f>
        <v>69100</v>
      </c>
      <c r="H1474" s="11">
        <f>VLOOKUP(A1474,'Operational Data'!$A$2:$E$201,4,FALSE)</f>
        <v>9356.02</v>
      </c>
      <c r="I1474" s="11">
        <f>VLOOKUP(A1474,'Operational Data'!$A$2:$E$201,5,FALSE)</f>
        <v>16.5</v>
      </c>
      <c r="J1474" s="21">
        <f t="shared" si="22"/>
        <v>2.6201795817655572E-2</v>
      </c>
    </row>
    <row r="1475" spans="1:10" x14ac:dyDescent="0.25">
      <c r="A1475" s="20" t="s">
        <v>18</v>
      </c>
      <c r="B1475" s="20" t="s">
        <v>19</v>
      </c>
      <c r="C1475" s="20" t="s">
        <v>34</v>
      </c>
      <c r="D1475" s="20" t="s">
        <v>14</v>
      </c>
      <c r="E1475" s="20" t="s">
        <v>24</v>
      </c>
      <c r="F1475" s="20">
        <v>2916.42</v>
      </c>
      <c r="G1475" s="11">
        <f>VLOOKUP(A1475,'Operational Data'!$A$2:$E$201,3,FALSE)</f>
        <v>98682</v>
      </c>
      <c r="H1475" s="11">
        <f>VLOOKUP(A1475,'Operational Data'!$A$2:$E$201,4,FALSE)</f>
        <v>6220.56</v>
      </c>
      <c r="I1475" s="11">
        <f>VLOOKUP(A1475,'Operational Data'!$A$2:$E$201,5,FALSE)</f>
        <v>70.099999999999994</v>
      </c>
      <c r="J1475" s="21">
        <f t="shared" ref="J1475:J1538" si="23">F1475/G1475</f>
        <v>2.9553718003283273E-2</v>
      </c>
    </row>
    <row r="1476" spans="1:10" x14ac:dyDescent="0.25">
      <c r="A1476" s="20" t="s">
        <v>51</v>
      </c>
      <c r="B1476" s="20" t="s">
        <v>30</v>
      </c>
      <c r="C1476" s="20" t="s">
        <v>34</v>
      </c>
      <c r="D1476" s="20" t="s">
        <v>28</v>
      </c>
      <c r="E1476" s="20" t="s">
        <v>15</v>
      </c>
      <c r="F1476" s="20">
        <v>3852.61</v>
      </c>
      <c r="G1476" s="11">
        <f>VLOOKUP(A1476,'Operational Data'!$A$2:$E$201,3,FALSE)</f>
        <v>44164</v>
      </c>
      <c r="H1476" s="11">
        <f>VLOOKUP(A1476,'Operational Data'!$A$2:$E$201,4,FALSE)</f>
        <v>3869.32</v>
      </c>
      <c r="I1476" s="11">
        <f>VLOOKUP(A1476,'Operational Data'!$A$2:$E$201,5,FALSE)</f>
        <v>13.81</v>
      </c>
      <c r="J1476" s="21">
        <f t="shared" si="23"/>
        <v>8.7234172629290826E-2</v>
      </c>
    </row>
    <row r="1477" spans="1:10" x14ac:dyDescent="0.25">
      <c r="A1477" s="20" t="s">
        <v>164</v>
      </c>
      <c r="B1477" s="20" t="s">
        <v>19</v>
      </c>
      <c r="C1477" s="20" t="s">
        <v>34</v>
      </c>
      <c r="D1477" s="20" t="s">
        <v>28</v>
      </c>
      <c r="E1477" s="20" t="s">
        <v>10</v>
      </c>
      <c r="F1477" s="20">
        <v>4795.1400000000003</v>
      </c>
      <c r="G1477" s="11">
        <f>VLOOKUP(A1477,'Operational Data'!$A$2:$E$201,3,FALSE)</f>
        <v>69636</v>
      </c>
      <c r="H1477" s="11">
        <f>VLOOKUP(A1477,'Operational Data'!$A$2:$E$201,4,FALSE)</f>
        <v>4246.55</v>
      </c>
      <c r="I1477" s="11">
        <f>VLOOKUP(A1477,'Operational Data'!$A$2:$E$201,5,FALSE)</f>
        <v>69.290000000000006</v>
      </c>
      <c r="J1477" s="21">
        <f t="shared" si="23"/>
        <v>6.8860072376357065E-2</v>
      </c>
    </row>
    <row r="1478" spans="1:10" x14ac:dyDescent="0.25">
      <c r="A1478" s="20" t="s">
        <v>193</v>
      </c>
      <c r="B1478" s="20" t="s">
        <v>12</v>
      </c>
      <c r="C1478" s="20" t="s">
        <v>23</v>
      </c>
      <c r="D1478" s="20" t="s">
        <v>28</v>
      </c>
      <c r="E1478" s="20" t="s">
        <v>15</v>
      </c>
      <c r="F1478" s="20">
        <v>1445.25</v>
      </c>
      <c r="G1478" s="11">
        <f>VLOOKUP(A1478,'Operational Data'!$A$2:$E$201,3,FALSE)</f>
        <v>13333</v>
      </c>
      <c r="H1478" s="11">
        <f>VLOOKUP(A1478,'Operational Data'!$A$2:$E$201,4,FALSE)</f>
        <v>6102.15</v>
      </c>
      <c r="I1478" s="11">
        <f>VLOOKUP(A1478,'Operational Data'!$A$2:$E$201,5,FALSE)</f>
        <v>17.670000000000002</v>
      </c>
      <c r="J1478" s="21">
        <f t="shared" si="23"/>
        <v>0.10839645991149778</v>
      </c>
    </row>
    <row r="1479" spans="1:10" x14ac:dyDescent="0.25">
      <c r="A1479" s="20" t="s">
        <v>93</v>
      </c>
      <c r="B1479" s="20" t="s">
        <v>30</v>
      </c>
      <c r="C1479" s="20" t="s">
        <v>13</v>
      </c>
      <c r="D1479" s="20" t="s">
        <v>28</v>
      </c>
      <c r="E1479" s="20" t="s">
        <v>15</v>
      </c>
      <c r="F1479" s="20">
        <v>869.01</v>
      </c>
      <c r="G1479" s="11">
        <f>VLOOKUP(A1479,'Operational Data'!$A$2:$E$201,3,FALSE)</f>
        <v>26378</v>
      </c>
      <c r="H1479" s="11">
        <f>VLOOKUP(A1479,'Operational Data'!$A$2:$E$201,4,FALSE)</f>
        <v>2915.44</v>
      </c>
      <c r="I1479" s="11">
        <f>VLOOKUP(A1479,'Operational Data'!$A$2:$E$201,5,FALSE)</f>
        <v>29.84</v>
      </c>
      <c r="J1479" s="21">
        <f t="shared" si="23"/>
        <v>3.2944499203882024E-2</v>
      </c>
    </row>
    <row r="1480" spans="1:10" x14ac:dyDescent="0.25">
      <c r="A1480" s="20" t="s">
        <v>203</v>
      </c>
      <c r="B1480" s="20" t="s">
        <v>12</v>
      </c>
      <c r="C1480" s="20" t="s">
        <v>23</v>
      </c>
      <c r="D1480" s="20" t="s">
        <v>28</v>
      </c>
      <c r="E1480" s="20" t="s">
        <v>15</v>
      </c>
      <c r="F1480" s="20">
        <v>4077.29</v>
      </c>
      <c r="G1480" s="11">
        <f>VLOOKUP(A1480,'Operational Data'!$A$2:$E$201,3,FALSE)</f>
        <v>66398</v>
      </c>
      <c r="H1480" s="11">
        <f>VLOOKUP(A1480,'Operational Data'!$A$2:$E$201,4,FALSE)</f>
        <v>8713.61</v>
      </c>
      <c r="I1480" s="11">
        <f>VLOOKUP(A1480,'Operational Data'!$A$2:$E$201,5,FALSE)</f>
        <v>83.44</v>
      </c>
      <c r="J1480" s="21">
        <f t="shared" si="23"/>
        <v>6.140681948251453E-2</v>
      </c>
    </row>
    <row r="1481" spans="1:10" x14ac:dyDescent="0.25">
      <c r="A1481" s="20" t="s">
        <v>120</v>
      </c>
      <c r="B1481" s="20" t="s">
        <v>30</v>
      </c>
      <c r="C1481" s="20" t="s">
        <v>8</v>
      </c>
      <c r="D1481" s="20" t="s">
        <v>14</v>
      </c>
      <c r="E1481" s="20" t="s">
        <v>10</v>
      </c>
      <c r="F1481" s="20">
        <v>2770.18</v>
      </c>
      <c r="G1481" s="11">
        <f>VLOOKUP(A1481,'Operational Data'!$A$2:$E$201,3,FALSE)</f>
        <v>79495</v>
      </c>
      <c r="H1481" s="11">
        <f>VLOOKUP(A1481,'Operational Data'!$A$2:$E$201,4,FALSE)</f>
        <v>7157.48</v>
      </c>
      <c r="I1481" s="11">
        <f>VLOOKUP(A1481,'Operational Data'!$A$2:$E$201,5,FALSE)</f>
        <v>26.84</v>
      </c>
      <c r="J1481" s="21">
        <f t="shared" si="23"/>
        <v>3.4847223095792183E-2</v>
      </c>
    </row>
    <row r="1482" spans="1:10" x14ac:dyDescent="0.25">
      <c r="A1482" s="20" t="s">
        <v>141</v>
      </c>
      <c r="B1482" s="20" t="s">
        <v>7</v>
      </c>
      <c r="C1482" s="20" t="s">
        <v>34</v>
      </c>
      <c r="D1482" s="20" t="s">
        <v>9</v>
      </c>
      <c r="E1482" s="20" t="s">
        <v>10</v>
      </c>
      <c r="F1482" s="20">
        <v>2004.6969160000001</v>
      </c>
      <c r="G1482" s="11">
        <f>VLOOKUP(A1482,'Operational Data'!$A$2:$E$201,3,FALSE)</f>
        <v>45644</v>
      </c>
      <c r="H1482" s="11">
        <f>VLOOKUP(A1482,'Operational Data'!$A$2:$E$201,4,FALSE)</f>
        <v>7724.73</v>
      </c>
      <c r="I1482" s="11">
        <f>VLOOKUP(A1482,'Operational Data'!$A$2:$E$201,5,FALSE)</f>
        <v>31</v>
      </c>
      <c r="J1482" s="21">
        <f t="shared" si="23"/>
        <v>4.3920272456401718E-2</v>
      </c>
    </row>
    <row r="1483" spans="1:10" x14ac:dyDescent="0.25">
      <c r="A1483" s="20" t="s">
        <v>193</v>
      </c>
      <c r="B1483" s="20" t="s">
        <v>12</v>
      </c>
      <c r="C1483" s="20" t="s">
        <v>34</v>
      </c>
      <c r="D1483" s="20" t="s">
        <v>28</v>
      </c>
      <c r="E1483" s="20" t="s">
        <v>15</v>
      </c>
      <c r="F1483" s="20">
        <v>4717.47</v>
      </c>
      <c r="G1483" s="11">
        <f>VLOOKUP(A1483,'Operational Data'!$A$2:$E$201,3,FALSE)</f>
        <v>13333</v>
      </c>
      <c r="H1483" s="11">
        <f>VLOOKUP(A1483,'Operational Data'!$A$2:$E$201,4,FALSE)</f>
        <v>6102.15</v>
      </c>
      <c r="I1483" s="11">
        <f>VLOOKUP(A1483,'Operational Data'!$A$2:$E$201,5,FALSE)</f>
        <v>17.670000000000002</v>
      </c>
      <c r="J1483" s="21">
        <f t="shared" si="23"/>
        <v>0.35381909547738694</v>
      </c>
    </row>
    <row r="1484" spans="1:10" x14ac:dyDescent="0.25">
      <c r="A1484" s="20" t="s">
        <v>115</v>
      </c>
      <c r="B1484" s="20" t="s">
        <v>19</v>
      </c>
      <c r="C1484" s="20" t="s">
        <v>13</v>
      </c>
      <c r="D1484" s="20" t="s">
        <v>9</v>
      </c>
      <c r="E1484" s="20" t="s">
        <v>10</v>
      </c>
      <c r="F1484" s="20">
        <v>1392.4758690000001</v>
      </c>
      <c r="G1484" s="11">
        <f>VLOOKUP(A1484,'Operational Data'!$A$2:$E$201,3,FALSE)</f>
        <v>17162</v>
      </c>
      <c r="H1484" s="11">
        <f>VLOOKUP(A1484,'Operational Data'!$A$2:$E$201,4,FALSE)</f>
        <v>5079.95</v>
      </c>
      <c r="I1484" s="11">
        <f>VLOOKUP(A1484,'Operational Data'!$A$2:$E$201,5,FALSE)</f>
        <v>19.239999999999998</v>
      </c>
      <c r="J1484" s="21">
        <f t="shared" si="23"/>
        <v>8.1137155867614497E-2</v>
      </c>
    </row>
    <row r="1485" spans="1:10" ht="30" x14ac:dyDescent="0.25">
      <c r="A1485" s="20" t="s">
        <v>148</v>
      </c>
      <c r="B1485" s="20" t="s">
        <v>17</v>
      </c>
      <c r="C1485" s="20" t="s">
        <v>23</v>
      </c>
      <c r="D1485" s="20" t="s">
        <v>9</v>
      </c>
      <c r="E1485" s="20" t="s">
        <v>15</v>
      </c>
      <c r="F1485" s="20">
        <v>2563.3257619999999</v>
      </c>
      <c r="G1485" s="11">
        <f>VLOOKUP(A1485,'Operational Data'!$A$2:$E$201,3,FALSE)</f>
        <v>44994</v>
      </c>
      <c r="H1485" s="11">
        <f>VLOOKUP(A1485,'Operational Data'!$A$2:$E$201,4,FALSE)</f>
        <v>7305.59</v>
      </c>
      <c r="I1485" s="11">
        <f>VLOOKUP(A1485,'Operational Data'!$A$2:$E$201,5,FALSE)</f>
        <v>91.53</v>
      </c>
      <c r="J1485" s="21">
        <f t="shared" si="23"/>
        <v>5.6970390763212871E-2</v>
      </c>
    </row>
    <row r="1486" spans="1:10" x14ac:dyDescent="0.25">
      <c r="A1486" s="20" t="s">
        <v>130</v>
      </c>
      <c r="B1486" s="20" t="s">
        <v>12</v>
      </c>
      <c r="C1486" s="20" t="s">
        <v>34</v>
      </c>
      <c r="D1486" s="20" t="s">
        <v>9</v>
      </c>
      <c r="E1486" s="20" t="s">
        <v>15</v>
      </c>
      <c r="F1486" s="20">
        <v>503.85614070000003</v>
      </c>
      <c r="G1486" s="11">
        <f>VLOOKUP(A1486,'Operational Data'!$A$2:$E$201,3,FALSE)</f>
        <v>82332</v>
      </c>
      <c r="H1486" s="11">
        <f>VLOOKUP(A1486,'Operational Data'!$A$2:$E$201,4,FALSE)</f>
        <v>7134.86</v>
      </c>
      <c r="I1486" s="11">
        <f>VLOOKUP(A1486,'Operational Data'!$A$2:$E$201,5,FALSE)</f>
        <v>22.44</v>
      </c>
      <c r="J1486" s="21">
        <f t="shared" si="23"/>
        <v>6.1198093171549338E-3</v>
      </c>
    </row>
    <row r="1487" spans="1:10" x14ac:dyDescent="0.25">
      <c r="A1487" s="20" t="s">
        <v>164</v>
      </c>
      <c r="B1487" s="20" t="s">
        <v>19</v>
      </c>
      <c r="C1487" s="20" t="s">
        <v>8</v>
      </c>
      <c r="D1487" s="20" t="s">
        <v>28</v>
      </c>
      <c r="E1487" s="20" t="s">
        <v>24</v>
      </c>
      <c r="F1487" s="20">
        <v>897.2</v>
      </c>
      <c r="G1487" s="11">
        <f>VLOOKUP(A1487,'Operational Data'!$A$2:$E$201,3,FALSE)</f>
        <v>69636</v>
      </c>
      <c r="H1487" s="11">
        <f>VLOOKUP(A1487,'Operational Data'!$A$2:$E$201,4,FALSE)</f>
        <v>4246.55</v>
      </c>
      <c r="I1487" s="11">
        <f>VLOOKUP(A1487,'Operational Data'!$A$2:$E$201,5,FALSE)</f>
        <v>69.290000000000006</v>
      </c>
      <c r="J1487" s="21">
        <f t="shared" si="23"/>
        <v>1.288414038715607E-2</v>
      </c>
    </row>
    <row r="1488" spans="1:10" x14ac:dyDescent="0.25">
      <c r="A1488" s="20" t="s">
        <v>152</v>
      </c>
      <c r="B1488" s="20" t="s">
        <v>30</v>
      </c>
      <c r="C1488" s="20" t="s">
        <v>23</v>
      </c>
      <c r="D1488" s="20" t="s">
        <v>14</v>
      </c>
      <c r="E1488" s="20" t="s">
        <v>15</v>
      </c>
      <c r="F1488" s="20">
        <v>2988.56</v>
      </c>
      <c r="G1488" s="11">
        <f>VLOOKUP(A1488,'Operational Data'!$A$2:$E$201,3,FALSE)</f>
        <v>21914</v>
      </c>
      <c r="H1488" s="11">
        <f>VLOOKUP(A1488,'Operational Data'!$A$2:$E$201,4,FALSE)</f>
        <v>5897.27</v>
      </c>
      <c r="I1488" s="11">
        <f>VLOOKUP(A1488,'Operational Data'!$A$2:$E$201,5,FALSE)</f>
        <v>49.41</v>
      </c>
      <c r="J1488" s="21">
        <f t="shared" si="23"/>
        <v>0.13637674545952358</v>
      </c>
    </row>
    <row r="1489" spans="1:10" x14ac:dyDescent="0.25">
      <c r="A1489" s="20" t="s">
        <v>86</v>
      </c>
      <c r="B1489" s="20" t="s">
        <v>19</v>
      </c>
      <c r="C1489" s="20" t="s">
        <v>34</v>
      </c>
      <c r="D1489" s="20" t="s">
        <v>9</v>
      </c>
      <c r="E1489" s="20" t="s">
        <v>15</v>
      </c>
      <c r="F1489" s="20">
        <v>1067.2256460000001</v>
      </c>
      <c r="G1489" s="11">
        <f>VLOOKUP(A1489,'Operational Data'!$A$2:$E$201,3,FALSE)</f>
        <v>56531</v>
      </c>
      <c r="H1489" s="11">
        <f>VLOOKUP(A1489,'Operational Data'!$A$2:$E$201,4,FALSE)</f>
        <v>8958.07</v>
      </c>
      <c r="I1489" s="11">
        <f>VLOOKUP(A1489,'Operational Data'!$A$2:$E$201,5,FALSE)</f>
        <v>83.44</v>
      </c>
      <c r="J1489" s="21">
        <f t="shared" si="23"/>
        <v>1.8878591321575773E-2</v>
      </c>
    </row>
    <row r="1490" spans="1:10" ht="30" x14ac:dyDescent="0.25">
      <c r="A1490" s="20" t="s">
        <v>127</v>
      </c>
      <c r="B1490" s="20" t="s">
        <v>17</v>
      </c>
      <c r="C1490" s="20" t="s">
        <v>34</v>
      </c>
      <c r="D1490" s="20" t="s">
        <v>9</v>
      </c>
      <c r="E1490" s="20" t="s">
        <v>10</v>
      </c>
      <c r="F1490" s="20">
        <v>2128.8839579999999</v>
      </c>
      <c r="G1490" s="11">
        <f>VLOOKUP(A1490,'Operational Data'!$A$2:$E$201,3,FALSE)</f>
        <v>17416</v>
      </c>
      <c r="H1490" s="11">
        <f>VLOOKUP(A1490,'Operational Data'!$A$2:$E$201,4,FALSE)</f>
        <v>812.06</v>
      </c>
      <c r="I1490" s="11">
        <f>VLOOKUP(A1490,'Operational Data'!$A$2:$E$201,5,FALSE)</f>
        <v>5.7</v>
      </c>
      <c r="J1490" s="21">
        <f t="shared" si="23"/>
        <v>0.12223725068902158</v>
      </c>
    </row>
    <row r="1491" spans="1:10" ht="30" x14ac:dyDescent="0.25">
      <c r="A1491" s="20" t="s">
        <v>143</v>
      </c>
      <c r="B1491" s="20" t="s">
        <v>17</v>
      </c>
      <c r="C1491" s="20" t="s">
        <v>13</v>
      </c>
      <c r="D1491" s="20" t="s">
        <v>28</v>
      </c>
      <c r="E1491" s="20" t="s">
        <v>15</v>
      </c>
      <c r="F1491" s="20">
        <v>569.36</v>
      </c>
      <c r="G1491" s="11">
        <f>VLOOKUP(A1491,'Operational Data'!$A$2:$E$201,3,FALSE)</f>
        <v>94704</v>
      </c>
      <c r="H1491" s="11">
        <f>VLOOKUP(A1491,'Operational Data'!$A$2:$E$201,4,FALSE)</f>
        <v>6632.95</v>
      </c>
      <c r="I1491" s="11">
        <f>VLOOKUP(A1491,'Operational Data'!$A$2:$E$201,5,FALSE)</f>
        <v>14.76</v>
      </c>
      <c r="J1491" s="21">
        <f t="shared" si="23"/>
        <v>6.0119952694711945E-3</v>
      </c>
    </row>
    <row r="1492" spans="1:10" x14ac:dyDescent="0.25">
      <c r="A1492" s="20" t="s">
        <v>165</v>
      </c>
      <c r="B1492" s="20" t="s">
        <v>7</v>
      </c>
      <c r="C1492" s="20" t="s">
        <v>8</v>
      </c>
      <c r="D1492" s="20" t="s">
        <v>14</v>
      </c>
      <c r="E1492" s="20" t="s">
        <v>15</v>
      </c>
      <c r="F1492" s="20">
        <v>2763.46</v>
      </c>
      <c r="G1492" s="11">
        <f>VLOOKUP(A1492,'Operational Data'!$A$2:$E$201,3,FALSE)</f>
        <v>32991</v>
      </c>
      <c r="H1492" s="11">
        <f>VLOOKUP(A1492,'Operational Data'!$A$2:$E$201,4,FALSE)</f>
        <v>8540.14</v>
      </c>
      <c r="I1492" s="11">
        <f>VLOOKUP(A1492,'Operational Data'!$A$2:$E$201,5,FALSE)</f>
        <v>37.75</v>
      </c>
      <c r="J1492" s="21">
        <f t="shared" si="23"/>
        <v>8.3764056863993214E-2</v>
      </c>
    </row>
    <row r="1493" spans="1:10" ht="30" x14ac:dyDescent="0.25">
      <c r="A1493" s="20" t="s">
        <v>58</v>
      </c>
      <c r="B1493" s="20" t="s">
        <v>17</v>
      </c>
      <c r="C1493" s="20" t="s">
        <v>13</v>
      </c>
      <c r="D1493" s="20" t="s">
        <v>9</v>
      </c>
      <c r="E1493" s="20" t="s">
        <v>10</v>
      </c>
      <c r="F1493" s="20">
        <v>889.01334210000005</v>
      </c>
      <c r="G1493" s="11">
        <f>VLOOKUP(A1493,'Operational Data'!$A$2:$E$201,3,FALSE)</f>
        <v>32246</v>
      </c>
      <c r="H1493" s="11">
        <f>VLOOKUP(A1493,'Operational Data'!$A$2:$E$201,4,FALSE)</f>
        <v>7903.93</v>
      </c>
      <c r="I1493" s="11">
        <f>VLOOKUP(A1493,'Operational Data'!$A$2:$E$201,5,FALSE)</f>
        <v>42.12</v>
      </c>
      <c r="J1493" s="21">
        <f t="shared" si="23"/>
        <v>2.7569724682131119E-2</v>
      </c>
    </row>
    <row r="1494" spans="1:10" x14ac:dyDescent="0.25">
      <c r="A1494" s="20" t="s">
        <v>138</v>
      </c>
      <c r="B1494" s="20" t="s">
        <v>12</v>
      </c>
      <c r="C1494" s="20" t="s">
        <v>34</v>
      </c>
      <c r="D1494" s="20" t="s">
        <v>9</v>
      </c>
      <c r="E1494" s="20" t="s">
        <v>24</v>
      </c>
      <c r="F1494" s="20">
        <v>565.20370019999996</v>
      </c>
      <c r="G1494" s="11">
        <f>VLOOKUP(A1494,'Operational Data'!$A$2:$E$201,3,FALSE)</f>
        <v>57353</v>
      </c>
      <c r="H1494" s="11">
        <f>VLOOKUP(A1494,'Operational Data'!$A$2:$E$201,4,FALSE)</f>
        <v>2274.71</v>
      </c>
      <c r="I1494" s="11">
        <f>VLOOKUP(A1494,'Operational Data'!$A$2:$E$201,5,FALSE)</f>
        <v>65.34</v>
      </c>
      <c r="J1494" s="21">
        <f t="shared" si="23"/>
        <v>9.8548236395654965E-3</v>
      </c>
    </row>
    <row r="1495" spans="1:10" x14ac:dyDescent="0.25">
      <c r="A1495" s="20" t="s">
        <v>155</v>
      </c>
      <c r="B1495" s="20" t="s">
        <v>7</v>
      </c>
      <c r="C1495" s="20" t="s">
        <v>34</v>
      </c>
      <c r="D1495" s="20" t="s">
        <v>28</v>
      </c>
      <c r="E1495" s="20" t="s">
        <v>15</v>
      </c>
      <c r="F1495" s="20">
        <v>4475.2700000000004</v>
      </c>
      <c r="G1495" s="11">
        <f>VLOOKUP(A1495,'Operational Data'!$A$2:$E$201,3,FALSE)</f>
        <v>72224</v>
      </c>
      <c r="H1495" s="11">
        <f>VLOOKUP(A1495,'Operational Data'!$A$2:$E$201,4,FALSE)</f>
        <v>1613.32</v>
      </c>
      <c r="I1495" s="11">
        <f>VLOOKUP(A1495,'Operational Data'!$A$2:$E$201,5,FALSE)</f>
        <v>39.21</v>
      </c>
      <c r="J1495" s="21">
        <f t="shared" si="23"/>
        <v>6.1963751661497569E-2</v>
      </c>
    </row>
    <row r="1496" spans="1:10" x14ac:dyDescent="0.25">
      <c r="A1496" s="20" t="s">
        <v>193</v>
      </c>
      <c r="B1496" s="20" t="s">
        <v>12</v>
      </c>
      <c r="C1496" s="20" t="s">
        <v>13</v>
      </c>
      <c r="D1496" s="20" t="s">
        <v>14</v>
      </c>
      <c r="E1496" s="20" t="s">
        <v>10</v>
      </c>
      <c r="F1496" s="20">
        <v>3884.64</v>
      </c>
      <c r="G1496" s="11">
        <f>VLOOKUP(A1496,'Operational Data'!$A$2:$E$201,3,FALSE)</f>
        <v>13333</v>
      </c>
      <c r="H1496" s="11">
        <f>VLOOKUP(A1496,'Operational Data'!$A$2:$E$201,4,FALSE)</f>
        <v>6102.15</v>
      </c>
      <c r="I1496" s="11">
        <f>VLOOKUP(A1496,'Operational Data'!$A$2:$E$201,5,FALSE)</f>
        <v>17.670000000000002</v>
      </c>
      <c r="J1496" s="21">
        <f t="shared" si="23"/>
        <v>0.29135528388209703</v>
      </c>
    </row>
    <row r="1497" spans="1:10" x14ac:dyDescent="0.25">
      <c r="A1497" s="20" t="s">
        <v>155</v>
      </c>
      <c r="B1497" s="20" t="s">
        <v>7</v>
      </c>
      <c r="C1497" s="20" t="s">
        <v>34</v>
      </c>
      <c r="D1497" s="20" t="s">
        <v>9</v>
      </c>
      <c r="E1497" s="20" t="s">
        <v>15</v>
      </c>
      <c r="F1497" s="20">
        <v>1548.146784</v>
      </c>
      <c r="G1497" s="11">
        <f>VLOOKUP(A1497,'Operational Data'!$A$2:$E$201,3,FALSE)</f>
        <v>72224</v>
      </c>
      <c r="H1497" s="11">
        <f>VLOOKUP(A1497,'Operational Data'!$A$2:$E$201,4,FALSE)</f>
        <v>1613.32</v>
      </c>
      <c r="I1497" s="11">
        <f>VLOOKUP(A1497,'Operational Data'!$A$2:$E$201,5,FALSE)</f>
        <v>39.21</v>
      </c>
      <c r="J1497" s="21">
        <f t="shared" si="23"/>
        <v>2.1435350908285335E-2</v>
      </c>
    </row>
    <row r="1498" spans="1:10" ht="30" x14ac:dyDescent="0.25">
      <c r="A1498" s="20" t="s">
        <v>218</v>
      </c>
      <c r="B1498" s="20" t="s">
        <v>17</v>
      </c>
      <c r="C1498" s="20" t="s">
        <v>23</v>
      </c>
      <c r="D1498" s="20" t="s">
        <v>14</v>
      </c>
      <c r="E1498" s="20" t="s">
        <v>10</v>
      </c>
      <c r="F1498" s="20">
        <v>1310.02</v>
      </c>
      <c r="G1498" s="11">
        <f>VLOOKUP(A1498,'Operational Data'!$A$2:$E$201,3,FALSE)</f>
        <v>22525</v>
      </c>
      <c r="H1498" s="11">
        <f>VLOOKUP(A1498,'Operational Data'!$A$2:$E$201,4,FALSE)</f>
        <v>9465.65</v>
      </c>
      <c r="I1498" s="11">
        <f>VLOOKUP(A1498,'Operational Data'!$A$2:$E$201,5,FALSE)</f>
        <v>37.79</v>
      </c>
      <c r="J1498" s="21">
        <f t="shared" si="23"/>
        <v>5.8158490566037738E-2</v>
      </c>
    </row>
    <row r="1499" spans="1:10" x14ac:dyDescent="0.25">
      <c r="A1499" s="20" t="s">
        <v>206</v>
      </c>
      <c r="B1499" s="20" t="s">
        <v>19</v>
      </c>
      <c r="C1499" s="20" t="s">
        <v>13</v>
      </c>
      <c r="D1499" s="20" t="s">
        <v>14</v>
      </c>
      <c r="E1499" s="20" t="s">
        <v>24</v>
      </c>
      <c r="F1499" s="20">
        <v>1833.43</v>
      </c>
      <c r="G1499" s="11">
        <f>VLOOKUP(A1499,'Operational Data'!$A$2:$E$201,3,FALSE)</f>
        <v>10250</v>
      </c>
      <c r="H1499" s="11">
        <f>VLOOKUP(A1499,'Operational Data'!$A$2:$E$201,4,FALSE)</f>
        <v>4717</v>
      </c>
      <c r="I1499" s="11">
        <f>VLOOKUP(A1499,'Operational Data'!$A$2:$E$201,5,FALSE)</f>
        <v>16.600000000000001</v>
      </c>
      <c r="J1499" s="21">
        <f t="shared" si="23"/>
        <v>0.17887121951219512</v>
      </c>
    </row>
    <row r="1500" spans="1:10" x14ac:dyDescent="0.25">
      <c r="A1500" s="20" t="s">
        <v>188</v>
      </c>
      <c r="B1500" s="20" t="s">
        <v>19</v>
      </c>
      <c r="C1500" s="20" t="s">
        <v>13</v>
      </c>
      <c r="D1500" s="20" t="s">
        <v>14</v>
      </c>
      <c r="E1500" s="20" t="s">
        <v>15</v>
      </c>
      <c r="F1500" s="20">
        <v>1039.8399999999999</v>
      </c>
      <c r="G1500" s="11">
        <f>VLOOKUP(A1500,'Operational Data'!$A$2:$E$201,3,FALSE)</f>
        <v>60513</v>
      </c>
      <c r="H1500" s="11">
        <f>VLOOKUP(A1500,'Operational Data'!$A$2:$E$201,4,FALSE)</f>
        <v>4578.16</v>
      </c>
      <c r="I1500" s="11">
        <f>VLOOKUP(A1500,'Operational Data'!$A$2:$E$201,5,FALSE)</f>
        <v>65.53</v>
      </c>
      <c r="J1500" s="21">
        <f t="shared" si="23"/>
        <v>1.7183745641432418E-2</v>
      </c>
    </row>
    <row r="1501" spans="1:10" x14ac:dyDescent="0.25">
      <c r="A1501" s="20" t="s">
        <v>110</v>
      </c>
      <c r="B1501" s="20" t="s">
        <v>12</v>
      </c>
      <c r="C1501" s="20" t="s">
        <v>13</v>
      </c>
      <c r="D1501" s="20" t="s">
        <v>28</v>
      </c>
      <c r="E1501" s="20" t="s">
        <v>15</v>
      </c>
      <c r="F1501" s="20">
        <v>3297.47</v>
      </c>
      <c r="G1501" s="11">
        <f>VLOOKUP(A1501,'Operational Data'!$A$2:$E$201,3,FALSE)</f>
        <v>70481</v>
      </c>
      <c r="H1501" s="11">
        <f>VLOOKUP(A1501,'Operational Data'!$A$2:$E$201,4,FALSE)</f>
        <v>4452.83</v>
      </c>
      <c r="I1501" s="11">
        <f>VLOOKUP(A1501,'Operational Data'!$A$2:$E$201,5,FALSE)</f>
        <v>91.26</v>
      </c>
      <c r="J1501" s="21">
        <f t="shared" si="23"/>
        <v>4.6785232899646707E-2</v>
      </c>
    </row>
    <row r="1502" spans="1:10" x14ac:dyDescent="0.25">
      <c r="A1502" s="20" t="s">
        <v>56</v>
      </c>
      <c r="B1502" s="20" t="s">
        <v>19</v>
      </c>
      <c r="C1502" s="20" t="s">
        <v>13</v>
      </c>
      <c r="D1502" s="20" t="s">
        <v>14</v>
      </c>
      <c r="E1502" s="20" t="s">
        <v>10</v>
      </c>
      <c r="F1502" s="20">
        <v>3091.2</v>
      </c>
      <c r="G1502" s="11">
        <f>VLOOKUP(A1502,'Operational Data'!$A$2:$E$201,3,FALSE)</f>
        <v>43747</v>
      </c>
      <c r="H1502" s="11">
        <f>VLOOKUP(A1502,'Operational Data'!$A$2:$E$201,4,FALSE)</f>
        <v>3453.48</v>
      </c>
      <c r="I1502" s="11">
        <f>VLOOKUP(A1502,'Operational Data'!$A$2:$E$201,5,FALSE)</f>
        <v>98.78</v>
      </c>
      <c r="J1502" s="21">
        <f t="shared" si="23"/>
        <v>7.0660845315107315E-2</v>
      </c>
    </row>
    <row r="1503" spans="1:10" x14ac:dyDescent="0.25">
      <c r="A1503" s="20" t="s">
        <v>185</v>
      </c>
      <c r="B1503" s="20" t="s">
        <v>30</v>
      </c>
      <c r="C1503" s="20" t="s">
        <v>34</v>
      </c>
      <c r="D1503" s="20" t="s">
        <v>28</v>
      </c>
      <c r="E1503" s="20" t="s">
        <v>15</v>
      </c>
      <c r="F1503" s="20">
        <v>301.86</v>
      </c>
      <c r="G1503" s="11">
        <f>VLOOKUP(A1503,'Operational Data'!$A$2:$E$201,3,FALSE)</f>
        <v>24913</v>
      </c>
      <c r="H1503" s="11">
        <f>VLOOKUP(A1503,'Operational Data'!$A$2:$E$201,4,FALSE)</f>
        <v>5727.27</v>
      </c>
      <c r="I1503" s="11">
        <f>VLOOKUP(A1503,'Operational Data'!$A$2:$E$201,5,FALSE)</f>
        <v>78.849999999999994</v>
      </c>
      <c r="J1503" s="21">
        <f t="shared" si="23"/>
        <v>1.211656564845663E-2</v>
      </c>
    </row>
    <row r="1504" spans="1:10" x14ac:dyDescent="0.25">
      <c r="A1504" s="20" t="s">
        <v>178</v>
      </c>
      <c r="B1504" s="20" t="s">
        <v>30</v>
      </c>
      <c r="C1504" s="20" t="s">
        <v>23</v>
      </c>
      <c r="D1504" s="20" t="s">
        <v>14</v>
      </c>
      <c r="E1504" s="20" t="s">
        <v>24</v>
      </c>
      <c r="F1504" s="20">
        <v>4171.41</v>
      </c>
      <c r="G1504" s="11">
        <f>VLOOKUP(A1504,'Operational Data'!$A$2:$E$201,3,FALSE)</f>
        <v>88188</v>
      </c>
      <c r="H1504" s="11">
        <f>VLOOKUP(A1504,'Operational Data'!$A$2:$E$201,4,FALSE)</f>
        <v>815.86</v>
      </c>
      <c r="I1504" s="11">
        <f>VLOOKUP(A1504,'Operational Data'!$A$2:$E$201,5,FALSE)</f>
        <v>57.53</v>
      </c>
      <c r="J1504" s="21">
        <f t="shared" si="23"/>
        <v>4.7301333514763913E-2</v>
      </c>
    </row>
    <row r="1505" spans="1:10" x14ac:dyDescent="0.25">
      <c r="A1505" s="20" t="s">
        <v>219</v>
      </c>
      <c r="B1505" s="20" t="s">
        <v>12</v>
      </c>
      <c r="C1505" s="20" t="s">
        <v>34</v>
      </c>
      <c r="D1505" s="20" t="s">
        <v>14</v>
      </c>
      <c r="E1505" s="20" t="s">
        <v>10</v>
      </c>
      <c r="F1505" s="20">
        <v>4337.95</v>
      </c>
      <c r="G1505" s="11">
        <f>VLOOKUP(A1505,'Operational Data'!$A$2:$E$201,3,FALSE)</f>
        <v>84524</v>
      </c>
      <c r="H1505" s="11">
        <f>VLOOKUP(A1505,'Operational Data'!$A$2:$E$201,4,FALSE)</f>
        <v>9350.11</v>
      </c>
      <c r="I1505" s="11">
        <f>VLOOKUP(A1505,'Operational Data'!$A$2:$E$201,5,FALSE)</f>
        <v>27.53</v>
      </c>
      <c r="J1505" s="21">
        <f t="shared" si="23"/>
        <v>5.1322109696654204E-2</v>
      </c>
    </row>
    <row r="1506" spans="1:10" x14ac:dyDescent="0.25">
      <c r="A1506" s="20" t="s">
        <v>150</v>
      </c>
      <c r="B1506" s="20" t="s">
        <v>30</v>
      </c>
      <c r="C1506" s="20" t="s">
        <v>34</v>
      </c>
      <c r="D1506" s="20" t="s">
        <v>9</v>
      </c>
      <c r="E1506" s="20" t="s">
        <v>24</v>
      </c>
      <c r="F1506" s="20">
        <v>3830.1000909999998</v>
      </c>
      <c r="G1506" s="11">
        <f>VLOOKUP(A1506,'Operational Data'!$A$2:$E$201,3,FALSE)</f>
        <v>98356</v>
      </c>
      <c r="H1506" s="11">
        <f>VLOOKUP(A1506,'Operational Data'!$A$2:$E$201,4,FALSE)</f>
        <v>6968.69</v>
      </c>
      <c r="I1506" s="11">
        <f>VLOOKUP(A1506,'Operational Data'!$A$2:$E$201,5,FALSE)</f>
        <v>81.72</v>
      </c>
      <c r="J1506" s="21">
        <f t="shared" si="23"/>
        <v>3.8941194141689374E-2</v>
      </c>
    </row>
    <row r="1507" spans="1:10" x14ac:dyDescent="0.25">
      <c r="A1507" s="20" t="s">
        <v>91</v>
      </c>
      <c r="B1507" s="20" t="s">
        <v>30</v>
      </c>
      <c r="C1507" s="20" t="s">
        <v>8</v>
      </c>
      <c r="D1507" s="20" t="s">
        <v>28</v>
      </c>
      <c r="E1507" s="20" t="s">
        <v>24</v>
      </c>
      <c r="F1507" s="20">
        <v>3808.17</v>
      </c>
      <c r="G1507" s="11">
        <f>VLOOKUP(A1507,'Operational Data'!$A$2:$E$201,3,FALSE)</f>
        <v>20207</v>
      </c>
      <c r="H1507" s="11">
        <f>VLOOKUP(A1507,'Operational Data'!$A$2:$E$201,4,FALSE)</f>
        <v>5369.46</v>
      </c>
      <c r="I1507" s="11">
        <f>VLOOKUP(A1507,'Operational Data'!$A$2:$E$201,5,FALSE)</f>
        <v>57.51</v>
      </c>
      <c r="J1507" s="21">
        <f t="shared" si="23"/>
        <v>0.1884579601128322</v>
      </c>
    </row>
    <row r="1508" spans="1:10" ht="30" x14ac:dyDescent="0.25">
      <c r="A1508" s="20" t="s">
        <v>20</v>
      </c>
      <c r="B1508" s="20" t="s">
        <v>17</v>
      </c>
      <c r="C1508" s="20" t="s">
        <v>8</v>
      </c>
      <c r="D1508" s="20" t="s">
        <v>14</v>
      </c>
      <c r="E1508" s="20" t="s">
        <v>10</v>
      </c>
      <c r="F1508" s="20">
        <v>3167.4</v>
      </c>
      <c r="G1508" s="11">
        <f>VLOOKUP(A1508,'Operational Data'!$A$2:$E$201,3,FALSE)</f>
        <v>29895</v>
      </c>
      <c r="H1508" s="11">
        <f>VLOOKUP(A1508,'Operational Data'!$A$2:$E$201,4,FALSE)</f>
        <v>1631.08</v>
      </c>
      <c r="I1508" s="11">
        <f>VLOOKUP(A1508,'Operational Data'!$A$2:$E$201,5,FALSE)</f>
        <v>39.93</v>
      </c>
      <c r="J1508" s="21">
        <f t="shared" si="23"/>
        <v>0.10595082789764175</v>
      </c>
    </row>
    <row r="1509" spans="1:10" x14ac:dyDescent="0.25">
      <c r="A1509" s="20" t="s">
        <v>39</v>
      </c>
      <c r="B1509" s="20" t="s">
        <v>7</v>
      </c>
      <c r="C1509" s="20" t="s">
        <v>13</v>
      </c>
      <c r="D1509" s="20" t="s">
        <v>9</v>
      </c>
      <c r="E1509" s="20" t="s">
        <v>15</v>
      </c>
      <c r="F1509" s="20">
        <v>742.10983380000005</v>
      </c>
      <c r="G1509" s="11">
        <f>VLOOKUP(A1509,'Operational Data'!$A$2:$E$201,3,FALSE)</f>
        <v>80904</v>
      </c>
      <c r="H1509" s="11">
        <f>VLOOKUP(A1509,'Operational Data'!$A$2:$E$201,4,FALSE)</f>
        <v>3263.09</v>
      </c>
      <c r="I1509" s="11">
        <f>VLOOKUP(A1509,'Operational Data'!$A$2:$E$201,5,FALSE)</f>
        <v>58.37</v>
      </c>
      <c r="J1509" s="21">
        <f t="shared" si="23"/>
        <v>9.1727211732423614E-3</v>
      </c>
    </row>
    <row r="1510" spans="1:10" x14ac:dyDescent="0.25">
      <c r="A1510" s="20" t="s">
        <v>183</v>
      </c>
      <c r="B1510" s="20" t="s">
        <v>7</v>
      </c>
      <c r="C1510" s="20" t="s">
        <v>34</v>
      </c>
      <c r="D1510" s="20" t="s">
        <v>14</v>
      </c>
      <c r="E1510" s="20" t="s">
        <v>15</v>
      </c>
      <c r="F1510" s="20">
        <v>4632.6400000000003</v>
      </c>
      <c r="G1510" s="11">
        <f>VLOOKUP(A1510,'Operational Data'!$A$2:$E$201,3,FALSE)</f>
        <v>14009</v>
      </c>
      <c r="H1510" s="11">
        <f>VLOOKUP(A1510,'Operational Data'!$A$2:$E$201,4,FALSE)</f>
        <v>7528.98</v>
      </c>
      <c r="I1510" s="11">
        <f>VLOOKUP(A1510,'Operational Data'!$A$2:$E$201,5,FALSE)</f>
        <v>77.62</v>
      </c>
      <c r="J1510" s="21">
        <f t="shared" si="23"/>
        <v>0.33069027054036693</v>
      </c>
    </row>
    <row r="1511" spans="1:10" x14ac:dyDescent="0.25">
      <c r="A1511" s="20" t="s">
        <v>21</v>
      </c>
      <c r="B1511" s="20" t="s">
        <v>19</v>
      </c>
      <c r="C1511" s="20" t="s">
        <v>13</v>
      </c>
      <c r="D1511" s="20" t="s">
        <v>14</v>
      </c>
      <c r="E1511" s="20" t="s">
        <v>10</v>
      </c>
      <c r="F1511" s="20">
        <v>1268.8</v>
      </c>
      <c r="G1511" s="11">
        <f>VLOOKUP(A1511,'Operational Data'!$A$2:$E$201,3,FALSE)</f>
        <v>61157</v>
      </c>
      <c r="H1511" s="11">
        <f>VLOOKUP(A1511,'Operational Data'!$A$2:$E$201,4,FALSE)</f>
        <v>7331.54</v>
      </c>
      <c r="I1511" s="11">
        <f>VLOOKUP(A1511,'Operational Data'!$A$2:$E$201,5,FALSE)</f>
        <v>55.52</v>
      </c>
      <c r="J1511" s="21">
        <f t="shared" si="23"/>
        <v>2.0746603005379595E-2</v>
      </c>
    </row>
    <row r="1512" spans="1:10" x14ac:dyDescent="0.25">
      <c r="A1512" s="20" t="s">
        <v>150</v>
      </c>
      <c r="B1512" s="20" t="s">
        <v>30</v>
      </c>
      <c r="C1512" s="20" t="s">
        <v>8</v>
      </c>
      <c r="D1512" s="20" t="s">
        <v>28</v>
      </c>
      <c r="E1512" s="20" t="s">
        <v>15</v>
      </c>
      <c r="F1512" s="20">
        <v>3546.58</v>
      </c>
      <c r="G1512" s="11">
        <f>VLOOKUP(A1512,'Operational Data'!$A$2:$E$201,3,FALSE)</f>
        <v>98356</v>
      </c>
      <c r="H1512" s="11">
        <f>VLOOKUP(A1512,'Operational Data'!$A$2:$E$201,4,FALSE)</f>
        <v>6968.69</v>
      </c>
      <c r="I1512" s="11">
        <f>VLOOKUP(A1512,'Operational Data'!$A$2:$E$201,5,FALSE)</f>
        <v>81.72</v>
      </c>
      <c r="J1512" s="21">
        <f t="shared" si="23"/>
        <v>3.6058603440562852E-2</v>
      </c>
    </row>
    <row r="1513" spans="1:10" x14ac:dyDescent="0.25">
      <c r="A1513" s="20" t="s">
        <v>25</v>
      </c>
      <c r="B1513" s="20" t="s">
        <v>19</v>
      </c>
      <c r="C1513" s="20" t="s">
        <v>23</v>
      </c>
      <c r="D1513" s="20" t="s">
        <v>28</v>
      </c>
      <c r="E1513" s="20" t="s">
        <v>10</v>
      </c>
      <c r="F1513" s="20">
        <v>1609.6</v>
      </c>
      <c r="G1513" s="11">
        <f>VLOOKUP(A1513,'Operational Data'!$A$2:$E$201,3,FALSE)</f>
        <v>95306</v>
      </c>
      <c r="H1513" s="11">
        <f>VLOOKUP(A1513,'Operational Data'!$A$2:$E$201,4,FALSE)</f>
        <v>9037.76</v>
      </c>
      <c r="I1513" s="11">
        <f>VLOOKUP(A1513,'Operational Data'!$A$2:$E$201,5,FALSE)</f>
        <v>13.35</v>
      </c>
      <c r="J1513" s="21">
        <f t="shared" si="23"/>
        <v>1.6888758315321176E-2</v>
      </c>
    </row>
    <row r="1514" spans="1:10" x14ac:dyDescent="0.25">
      <c r="A1514" s="20" t="s">
        <v>209</v>
      </c>
      <c r="B1514" s="20" t="s">
        <v>7</v>
      </c>
      <c r="C1514" s="20" t="s">
        <v>34</v>
      </c>
      <c r="D1514" s="20" t="s">
        <v>9</v>
      </c>
      <c r="E1514" s="20" t="s">
        <v>15</v>
      </c>
      <c r="F1514" s="20">
        <v>3630.7097180000001</v>
      </c>
      <c r="G1514" s="11">
        <f>VLOOKUP(A1514,'Operational Data'!$A$2:$E$201,3,FALSE)</f>
        <v>52357</v>
      </c>
      <c r="H1514" s="11">
        <f>VLOOKUP(A1514,'Operational Data'!$A$2:$E$201,4,FALSE)</f>
        <v>5643.16</v>
      </c>
      <c r="I1514" s="11">
        <f>VLOOKUP(A1514,'Operational Data'!$A$2:$E$201,5,FALSE)</f>
        <v>37.130000000000003</v>
      </c>
      <c r="J1514" s="21">
        <f t="shared" si="23"/>
        <v>6.934525885745936E-2</v>
      </c>
    </row>
    <row r="1515" spans="1:10" x14ac:dyDescent="0.25">
      <c r="A1515" s="20" t="s">
        <v>181</v>
      </c>
      <c r="B1515" s="20" t="s">
        <v>30</v>
      </c>
      <c r="C1515" s="20" t="s">
        <v>34</v>
      </c>
      <c r="D1515" s="20" t="s">
        <v>14</v>
      </c>
      <c r="E1515" s="20" t="s">
        <v>10</v>
      </c>
      <c r="F1515" s="20">
        <v>999.48</v>
      </c>
      <c r="G1515" s="11">
        <f>VLOOKUP(A1515,'Operational Data'!$A$2:$E$201,3,FALSE)</f>
        <v>28704</v>
      </c>
      <c r="H1515" s="11">
        <f>VLOOKUP(A1515,'Operational Data'!$A$2:$E$201,4,FALSE)</f>
        <v>6009.24</v>
      </c>
      <c r="I1515" s="11">
        <f>VLOOKUP(A1515,'Operational Data'!$A$2:$E$201,5,FALSE)</f>
        <v>39.31</v>
      </c>
      <c r="J1515" s="21">
        <f t="shared" si="23"/>
        <v>3.4820234113712378E-2</v>
      </c>
    </row>
    <row r="1516" spans="1:10" ht="30" x14ac:dyDescent="0.25">
      <c r="A1516" s="20" t="s">
        <v>127</v>
      </c>
      <c r="B1516" s="20" t="s">
        <v>17</v>
      </c>
      <c r="C1516" s="20" t="s">
        <v>13</v>
      </c>
      <c r="D1516" s="20" t="s">
        <v>14</v>
      </c>
      <c r="E1516" s="20" t="s">
        <v>15</v>
      </c>
      <c r="F1516" s="20">
        <v>4553.04</v>
      </c>
      <c r="G1516" s="11">
        <f>VLOOKUP(A1516,'Operational Data'!$A$2:$E$201,3,FALSE)</f>
        <v>17416</v>
      </c>
      <c r="H1516" s="11">
        <f>VLOOKUP(A1516,'Operational Data'!$A$2:$E$201,4,FALSE)</f>
        <v>812.06</v>
      </c>
      <c r="I1516" s="11">
        <f>VLOOKUP(A1516,'Operational Data'!$A$2:$E$201,5,FALSE)</f>
        <v>5.7</v>
      </c>
      <c r="J1516" s="21">
        <f t="shared" si="23"/>
        <v>0.2614285714285714</v>
      </c>
    </row>
    <row r="1517" spans="1:10" x14ac:dyDescent="0.25">
      <c r="A1517" s="20" t="s">
        <v>123</v>
      </c>
      <c r="B1517" s="20" t="s">
        <v>30</v>
      </c>
      <c r="C1517" s="20" t="s">
        <v>8</v>
      </c>
      <c r="D1517" s="20" t="s">
        <v>9</v>
      </c>
      <c r="E1517" s="20" t="s">
        <v>24</v>
      </c>
      <c r="F1517" s="20">
        <v>1345.95</v>
      </c>
      <c r="G1517" s="11">
        <f>VLOOKUP(A1517,'Operational Data'!$A$2:$E$201,3,FALSE)</f>
        <v>73977</v>
      </c>
      <c r="H1517" s="11">
        <f>VLOOKUP(A1517,'Operational Data'!$A$2:$E$201,4,FALSE)</f>
        <v>1646.75</v>
      </c>
      <c r="I1517" s="11">
        <f>VLOOKUP(A1517,'Operational Data'!$A$2:$E$201,5,FALSE)</f>
        <v>43.77</v>
      </c>
      <c r="J1517" s="21">
        <f t="shared" si="23"/>
        <v>1.81941684577639E-2</v>
      </c>
    </row>
    <row r="1518" spans="1:10" ht="30" x14ac:dyDescent="0.25">
      <c r="A1518" s="20" t="s">
        <v>89</v>
      </c>
      <c r="B1518" s="20" t="s">
        <v>17</v>
      </c>
      <c r="C1518" s="20" t="s">
        <v>34</v>
      </c>
      <c r="D1518" s="20" t="s">
        <v>28</v>
      </c>
      <c r="E1518" s="20" t="s">
        <v>10</v>
      </c>
      <c r="F1518" s="20">
        <v>1432.5</v>
      </c>
      <c r="G1518" s="11">
        <f>VLOOKUP(A1518,'Operational Data'!$A$2:$E$201,3,FALSE)</f>
        <v>36171</v>
      </c>
      <c r="H1518" s="11">
        <f>VLOOKUP(A1518,'Operational Data'!$A$2:$E$201,4,FALSE)</f>
        <v>6864.38</v>
      </c>
      <c r="I1518" s="11">
        <f>VLOOKUP(A1518,'Operational Data'!$A$2:$E$201,5,FALSE)</f>
        <v>37.03</v>
      </c>
      <c r="J1518" s="21">
        <f t="shared" si="23"/>
        <v>3.9603549805092481E-2</v>
      </c>
    </row>
    <row r="1519" spans="1:10" x14ac:dyDescent="0.25">
      <c r="A1519" s="20" t="s">
        <v>67</v>
      </c>
      <c r="B1519" s="20" t="s">
        <v>7</v>
      </c>
      <c r="C1519" s="20" t="s">
        <v>34</v>
      </c>
      <c r="D1519" s="20" t="s">
        <v>28</v>
      </c>
      <c r="E1519" s="20" t="s">
        <v>10</v>
      </c>
      <c r="F1519" s="20">
        <v>2537.5</v>
      </c>
      <c r="G1519" s="11">
        <f>VLOOKUP(A1519,'Operational Data'!$A$2:$E$201,3,FALSE)</f>
        <v>70582</v>
      </c>
      <c r="H1519" s="11">
        <f>VLOOKUP(A1519,'Operational Data'!$A$2:$E$201,4,FALSE)</f>
        <v>7517.59</v>
      </c>
      <c r="I1519" s="11">
        <f>VLOOKUP(A1519,'Operational Data'!$A$2:$E$201,5,FALSE)</f>
        <v>95.71</v>
      </c>
      <c r="J1519" s="21">
        <f t="shared" si="23"/>
        <v>3.5951092346490604E-2</v>
      </c>
    </row>
    <row r="1520" spans="1:10" ht="30" x14ac:dyDescent="0.25">
      <c r="A1520" s="20" t="s">
        <v>194</v>
      </c>
      <c r="B1520" s="20" t="s">
        <v>17</v>
      </c>
      <c r="C1520" s="20" t="s">
        <v>13</v>
      </c>
      <c r="D1520" s="20" t="s">
        <v>14</v>
      </c>
      <c r="E1520" s="20" t="s">
        <v>10</v>
      </c>
      <c r="F1520" s="20">
        <v>4832.05</v>
      </c>
      <c r="G1520" s="11">
        <f>VLOOKUP(A1520,'Operational Data'!$A$2:$E$201,3,FALSE)</f>
        <v>95165</v>
      </c>
      <c r="H1520" s="11">
        <f>VLOOKUP(A1520,'Operational Data'!$A$2:$E$201,4,FALSE)</f>
        <v>8562.76</v>
      </c>
      <c r="I1520" s="11">
        <f>VLOOKUP(A1520,'Operational Data'!$A$2:$E$201,5,FALSE)</f>
        <v>37.54</v>
      </c>
      <c r="J1520" s="21">
        <f t="shared" si="23"/>
        <v>5.0775495192560291E-2</v>
      </c>
    </row>
    <row r="1521" spans="1:10" x14ac:dyDescent="0.25">
      <c r="A1521" s="20" t="s">
        <v>180</v>
      </c>
      <c r="B1521" s="20" t="s">
        <v>30</v>
      </c>
      <c r="C1521" s="20" t="s">
        <v>13</v>
      </c>
      <c r="D1521" s="20" t="s">
        <v>14</v>
      </c>
      <c r="E1521" s="20" t="s">
        <v>10</v>
      </c>
      <c r="F1521" s="20">
        <v>3935.58</v>
      </c>
      <c r="G1521" s="11">
        <f>VLOOKUP(A1521,'Operational Data'!$A$2:$E$201,3,FALSE)</f>
        <v>72846</v>
      </c>
      <c r="H1521" s="11">
        <f>VLOOKUP(A1521,'Operational Data'!$A$2:$E$201,4,FALSE)</f>
        <v>5169.53</v>
      </c>
      <c r="I1521" s="11">
        <f>VLOOKUP(A1521,'Operational Data'!$A$2:$E$201,5,FALSE)</f>
        <v>76.709999999999994</v>
      </c>
      <c r="J1521" s="21">
        <f t="shared" si="23"/>
        <v>5.402602751008978E-2</v>
      </c>
    </row>
    <row r="1522" spans="1:10" x14ac:dyDescent="0.25">
      <c r="A1522" s="20" t="s">
        <v>209</v>
      </c>
      <c r="B1522" s="20" t="s">
        <v>7</v>
      </c>
      <c r="C1522" s="20" t="s">
        <v>13</v>
      </c>
      <c r="D1522" s="20" t="s">
        <v>9</v>
      </c>
      <c r="E1522" s="20" t="s">
        <v>24</v>
      </c>
      <c r="F1522" s="20">
        <v>3258.2856310000002</v>
      </c>
      <c r="G1522" s="11">
        <f>VLOOKUP(A1522,'Operational Data'!$A$2:$E$201,3,FALSE)</f>
        <v>52357</v>
      </c>
      <c r="H1522" s="11">
        <f>VLOOKUP(A1522,'Operational Data'!$A$2:$E$201,4,FALSE)</f>
        <v>5643.16</v>
      </c>
      <c r="I1522" s="11">
        <f>VLOOKUP(A1522,'Operational Data'!$A$2:$E$201,5,FALSE)</f>
        <v>37.130000000000003</v>
      </c>
      <c r="J1522" s="21">
        <f t="shared" si="23"/>
        <v>6.2232091811983123E-2</v>
      </c>
    </row>
    <row r="1523" spans="1:10" x14ac:dyDescent="0.25">
      <c r="A1523" s="20" t="s">
        <v>174</v>
      </c>
      <c r="B1523" s="20" t="s">
        <v>19</v>
      </c>
      <c r="C1523" s="20" t="s">
        <v>34</v>
      </c>
      <c r="D1523" s="20" t="s">
        <v>14</v>
      </c>
      <c r="E1523" s="20" t="s">
        <v>15</v>
      </c>
      <c r="F1523" s="20">
        <v>1512.13</v>
      </c>
      <c r="G1523" s="11">
        <f>VLOOKUP(A1523,'Operational Data'!$A$2:$E$201,3,FALSE)</f>
        <v>66163</v>
      </c>
      <c r="H1523" s="11">
        <f>VLOOKUP(A1523,'Operational Data'!$A$2:$E$201,4,FALSE)</f>
        <v>1416.57</v>
      </c>
      <c r="I1523" s="11">
        <f>VLOOKUP(A1523,'Operational Data'!$A$2:$E$201,5,FALSE)</f>
        <v>68.73</v>
      </c>
      <c r="J1523" s="21">
        <f t="shared" si="23"/>
        <v>2.2854616628629296E-2</v>
      </c>
    </row>
    <row r="1524" spans="1:10" x14ac:dyDescent="0.25">
      <c r="A1524" s="20" t="s">
        <v>42</v>
      </c>
      <c r="B1524" s="20" t="s">
        <v>30</v>
      </c>
      <c r="C1524" s="20" t="s">
        <v>13</v>
      </c>
      <c r="D1524" s="20" t="s">
        <v>14</v>
      </c>
      <c r="E1524" s="20" t="s">
        <v>10</v>
      </c>
      <c r="F1524" s="20">
        <v>245.71</v>
      </c>
      <c r="G1524" s="11">
        <f>VLOOKUP(A1524,'Operational Data'!$A$2:$E$201,3,FALSE)</f>
        <v>41539</v>
      </c>
      <c r="H1524" s="11">
        <f>VLOOKUP(A1524,'Operational Data'!$A$2:$E$201,4,FALSE)</f>
        <v>982.8</v>
      </c>
      <c r="I1524" s="11">
        <f>VLOOKUP(A1524,'Operational Data'!$A$2:$E$201,5,FALSE)</f>
        <v>79.7</v>
      </c>
      <c r="J1524" s="21">
        <f t="shared" si="23"/>
        <v>5.9151640626880766E-3</v>
      </c>
    </row>
    <row r="1525" spans="1:10" x14ac:dyDescent="0.25">
      <c r="A1525" s="20" t="s">
        <v>31</v>
      </c>
      <c r="B1525" s="20" t="s">
        <v>30</v>
      </c>
      <c r="C1525" s="20" t="s">
        <v>8</v>
      </c>
      <c r="D1525" s="20" t="s">
        <v>14</v>
      </c>
      <c r="E1525" s="20" t="s">
        <v>24</v>
      </c>
      <c r="F1525" s="20">
        <v>3387.13</v>
      </c>
      <c r="G1525" s="11">
        <f>VLOOKUP(A1525,'Operational Data'!$A$2:$E$201,3,FALSE)</f>
        <v>84851</v>
      </c>
      <c r="H1525" s="11">
        <f>VLOOKUP(A1525,'Operational Data'!$A$2:$E$201,4,FALSE)</f>
        <v>560.75</v>
      </c>
      <c r="I1525" s="11">
        <f>VLOOKUP(A1525,'Operational Data'!$A$2:$E$201,5,FALSE)</f>
        <v>80.23</v>
      </c>
      <c r="J1525" s="21">
        <f t="shared" si="23"/>
        <v>3.9918563128307272E-2</v>
      </c>
    </row>
    <row r="1526" spans="1:10" x14ac:dyDescent="0.25">
      <c r="A1526" s="20" t="s">
        <v>77</v>
      </c>
      <c r="B1526" s="20" t="s">
        <v>30</v>
      </c>
      <c r="C1526" s="20" t="s">
        <v>8</v>
      </c>
      <c r="D1526" s="20" t="s">
        <v>28</v>
      </c>
      <c r="E1526" s="20" t="s">
        <v>15</v>
      </c>
      <c r="F1526" s="20">
        <v>1014.2</v>
      </c>
      <c r="G1526" s="11">
        <f>VLOOKUP(A1526,'Operational Data'!$A$2:$E$201,3,FALSE)</f>
        <v>61942</v>
      </c>
      <c r="H1526" s="11">
        <f>VLOOKUP(A1526,'Operational Data'!$A$2:$E$201,4,FALSE)</f>
        <v>4891.32</v>
      </c>
      <c r="I1526" s="11">
        <f>VLOOKUP(A1526,'Operational Data'!$A$2:$E$201,5,FALSE)</f>
        <v>91.59</v>
      </c>
      <c r="J1526" s="21">
        <f t="shared" si="23"/>
        <v>1.6373381550482711E-2</v>
      </c>
    </row>
    <row r="1527" spans="1:10" ht="30" x14ac:dyDescent="0.25">
      <c r="A1527" s="20" t="s">
        <v>89</v>
      </c>
      <c r="B1527" s="20" t="s">
        <v>17</v>
      </c>
      <c r="C1527" s="20" t="s">
        <v>13</v>
      </c>
      <c r="D1527" s="20" t="s">
        <v>28</v>
      </c>
      <c r="E1527" s="20" t="s">
        <v>10</v>
      </c>
      <c r="F1527" s="20">
        <v>269.87</v>
      </c>
      <c r="G1527" s="11">
        <f>VLOOKUP(A1527,'Operational Data'!$A$2:$E$201,3,FALSE)</f>
        <v>36171</v>
      </c>
      <c r="H1527" s="11">
        <f>VLOOKUP(A1527,'Operational Data'!$A$2:$E$201,4,FALSE)</f>
        <v>6864.38</v>
      </c>
      <c r="I1527" s="11">
        <f>VLOOKUP(A1527,'Operational Data'!$A$2:$E$201,5,FALSE)</f>
        <v>37.03</v>
      </c>
      <c r="J1527" s="21">
        <f t="shared" si="23"/>
        <v>7.460949379337038E-3</v>
      </c>
    </row>
    <row r="1528" spans="1:10" x14ac:dyDescent="0.25">
      <c r="A1528" s="20" t="s">
        <v>161</v>
      </c>
      <c r="B1528" s="20" t="s">
        <v>7</v>
      </c>
      <c r="C1528" s="20" t="s">
        <v>13</v>
      </c>
      <c r="D1528" s="20" t="s">
        <v>14</v>
      </c>
      <c r="E1528" s="20" t="s">
        <v>10</v>
      </c>
      <c r="F1528" s="20">
        <v>2444.67</v>
      </c>
      <c r="G1528" s="11">
        <f>VLOOKUP(A1528,'Operational Data'!$A$2:$E$201,3,FALSE)</f>
        <v>15788</v>
      </c>
      <c r="H1528" s="11">
        <f>VLOOKUP(A1528,'Operational Data'!$A$2:$E$201,4,FALSE)</f>
        <v>1824.14</v>
      </c>
      <c r="I1528" s="11">
        <f>VLOOKUP(A1528,'Operational Data'!$A$2:$E$201,5,FALSE)</f>
        <v>52.78</v>
      </c>
      <c r="J1528" s="21">
        <f t="shared" si="23"/>
        <v>0.15484355206485939</v>
      </c>
    </row>
    <row r="1529" spans="1:10" x14ac:dyDescent="0.25">
      <c r="A1529" s="20" t="s">
        <v>51</v>
      </c>
      <c r="B1529" s="20" t="s">
        <v>30</v>
      </c>
      <c r="C1529" s="20" t="s">
        <v>23</v>
      </c>
      <c r="D1529" s="20" t="s">
        <v>14</v>
      </c>
      <c r="E1529" s="20" t="s">
        <v>10</v>
      </c>
      <c r="F1529" s="20">
        <v>1734.64</v>
      </c>
      <c r="G1529" s="11">
        <f>VLOOKUP(A1529,'Operational Data'!$A$2:$E$201,3,FALSE)</f>
        <v>44164</v>
      </c>
      <c r="H1529" s="11">
        <f>VLOOKUP(A1529,'Operational Data'!$A$2:$E$201,4,FALSE)</f>
        <v>3869.32</v>
      </c>
      <c r="I1529" s="11">
        <f>VLOOKUP(A1529,'Operational Data'!$A$2:$E$201,5,FALSE)</f>
        <v>13.81</v>
      </c>
      <c r="J1529" s="21">
        <f t="shared" si="23"/>
        <v>3.9277239380490901E-2</v>
      </c>
    </row>
    <row r="1530" spans="1:10" x14ac:dyDescent="0.25">
      <c r="A1530" s="20" t="s">
        <v>73</v>
      </c>
      <c r="B1530" s="20" t="s">
        <v>30</v>
      </c>
      <c r="C1530" s="20" t="s">
        <v>34</v>
      </c>
      <c r="D1530" s="20" t="s">
        <v>14</v>
      </c>
      <c r="E1530" s="20" t="s">
        <v>10</v>
      </c>
      <c r="F1530" s="20">
        <v>4948.8500000000004</v>
      </c>
      <c r="G1530" s="11">
        <f>VLOOKUP(A1530,'Operational Data'!$A$2:$E$201,3,FALSE)</f>
        <v>55974</v>
      </c>
      <c r="H1530" s="11">
        <f>VLOOKUP(A1530,'Operational Data'!$A$2:$E$201,4,FALSE)</f>
        <v>7542.28</v>
      </c>
      <c r="I1530" s="11">
        <f>VLOOKUP(A1530,'Operational Data'!$A$2:$E$201,5,FALSE)</f>
        <v>72.430000000000007</v>
      </c>
      <c r="J1530" s="21">
        <f t="shared" si="23"/>
        <v>8.8413370493443388E-2</v>
      </c>
    </row>
    <row r="1531" spans="1:10" ht="30" x14ac:dyDescent="0.25">
      <c r="A1531" s="20" t="s">
        <v>207</v>
      </c>
      <c r="B1531" s="20" t="s">
        <v>17</v>
      </c>
      <c r="C1531" s="20" t="s">
        <v>8</v>
      </c>
      <c r="D1531" s="20" t="s">
        <v>9</v>
      </c>
      <c r="E1531" s="20" t="s">
        <v>15</v>
      </c>
      <c r="F1531" s="20">
        <v>2924.7805619999999</v>
      </c>
      <c r="G1531" s="11">
        <f>VLOOKUP(A1531,'Operational Data'!$A$2:$E$201,3,FALSE)</f>
        <v>99115</v>
      </c>
      <c r="H1531" s="11">
        <f>VLOOKUP(A1531,'Operational Data'!$A$2:$E$201,4,FALSE)</f>
        <v>827.26</v>
      </c>
      <c r="I1531" s="11">
        <f>VLOOKUP(A1531,'Operational Data'!$A$2:$E$201,5,FALSE)</f>
        <v>28.88</v>
      </c>
      <c r="J1531" s="21">
        <f t="shared" si="23"/>
        <v>2.950895991524996E-2</v>
      </c>
    </row>
    <row r="1532" spans="1:10" ht="30" x14ac:dyDescent="0.25">
      <c r="A1532" s="20" t="s">
        <v>147</v>
      </c>
      <c r="B1532" s="20" t="s">
        <v>17</v>
      </c>
      <c r="C1532" s="20" t="s">
        <v>8</v>
      </c>
      <c r="D1532" s="20" t="s">
        <v>14</v>
      </c>
      <c r="E1532" s="20" t="s">
        <v>10</v>
      </c>
      <c r="F1532" s="20">
        <v>1898.32</v>
      </c>
      <c r="G1532" s="11">
        <f>VLOOKUP(A1532,'Operational Data'!$A$2:$E$201,3,FALSE)</f>
        <v>24095</v>
      </c>
      <c r="H1532" s="11">
        <f>VLOOKUP(A1532,'Operational Data'!$A$2:$E$201,4,FALSE)</f>
        <v>3167.52</v>
      </c>
      <c r="I1532" s="11">
        <f>VLOOKUP(A1532,'Operational Data'!$A$2:$E$201,5,FALSE)</f>
        <v>31.02</v>
      </c>
      <c r="J1532" s="21">
        <f t="shared" si="23"/>
        <v>7.8784810126582269E-2</v>
      </c>
    </row>
    <row r="1533" spans="1:10" x14ac:dyDescent="0.25">
      <c r="A1533" s="20" t="s">
        <v>32</v>
      </c>
      <c r="B1533" s="20" t="s">
        <v>7</v>
      </c>
      <c r="C1533" s="20" t="s">
        <v>13</v>
      </c>
      <c r="D1533" s="20" t="s">
        <v>28</v>
      </c>
      <c r="E1533" s="20" t="s">
        <v>15</v>
      </c>
      <c r="F1533" s="20">
        <v>1296.76</v>
      </c>
      <c r="G1533" s="11">
        <f>VLOOKUP(A1533,'Operational Data'!$A$2:$E$201,3,FALSE)</f>
        <v>10933</v>
      </c>
      <c r="H1533" s="11">
        <f>VLOOKUP(A1533,'Operational Data'!$A$2:$E$201,4,FALSE)</f>
        <v>9004.3700000000008</v>
      </c>
      <c r="I1533" s="11">
        <f>VLOOKUP(A1533,'Operational Data'!$A$2:$E$201,5,FALSE)</f>
        <v>26.84</v>
      </c>
      <c r="J1533" s="21">
        <f t="shared" si="23"/>
        <v>0.11860971371078387</v>
      </c>
    </row>
    <row r="1534" spans="1:10" x14ac:dyDescent="0.25">
      <c r="A1534" s="20" t="s">
        <v>75</v>
      </c>
      <c r="B1534" s="20" t="s">
        <v>19</v>
      </c>
      <c r="C1534" s="20" t="s">
        <v>23</v>
      </c>
      <c r="D1534" s="20" t="s">
        <v>14</v>
      </c>
      <c r="E1534" s="20" t="s">
        <v>24</v>
      </c>
      <c r="F1534" s="20">
        <v>1414.37</v>
      </c>
      <c r="G1534" s="11">
        <f>VLOOKUP(A1534,'Operational Data'!$A$2:$E$201,3,FALSE)</f>
        <v>54136</v>
      </c>
      <c r="H1534" s="11">
        <f>VLOOKUP(A1534,'Operational Data'!$A$2:$E$201,4,FALSE)</f>
        <v>2775.38</v>
      </c>
      <c r="I1534" s="11">
        <f>VLOOKUP(A1534,'Operational Data'!$A$2:$E$201,5,FALSE)</f>
        <v>75.459999999999994</v>
      </c>
      <c r="J1534" s="21">
        <f t="shared" si="23"/>
        <v>2.6126237623762375E-2</v>
      </c>
    </row>
    <row r="1535" spans="1:10" x14ac:dyDescent="0.25">
      <c r="A1535" s="20" t="s">
        <v>117</v>
      </c>
      <c r="B1535" s="20" t="s">
        <v>7</v>
      </c>
      <c r="C1535" s="20" t="s">
        <v>34</v>
      </c>
      <c r="D1535" s="20" t="s">
        <v>9</v>
      </c>
      <c r="E1535" s="20" t="s">
        <v>15</v>
      </c>
      <c r="F1535" s="20">
        <v>4136.0716000000002</v>
      </c>
      <c r="G1535" s="11">
        <f>VLOOKUP(A1535,'Operational Data'!$A$2:$E$201,3,FALSE)</f>
        <v>89321</v>
      </c>
      <c r="H1535" s="11">
        <f>VLOOKUP(A1535,'Operational Data'!$A$2:$E$201,4,FALSE)</f>
        <v>9836.34</v>
      </c>
      <c r="I1535" s="11">
        <f>VLOOKUP(A1535,'Operational Data'!$A$2:$E$201,5,FALSE)</f>
        <v>16.989999999999998</v>
      </c>
      <c r="J1535" s="21">
        <f t="shared" si="23"/>
        <v>4.630570190660651E-2</v>
      </c>
    </row>
    <row r="1536" spans="1:10" x14ac:dyDescent="0.25">
      <c r="A1536" s="20" t="s">
        <v>88</v>
      </c>
      <c r="B1536" s="20" t="s">
        <v>7</v>
      </c>
      <c r="C1536" s="20" t="s">
        <v>23</v>
      </c>
      <c r="D1536" s="20" t="s">
        <v>28</v>
      </c>
      <c r="E1536" s="20" t="s">
        <v>24</v>
      </c>
      <c r="F1536" s="20">
        <v>3952.36</v>
      </c>
      <c r="G1536" s="11">
        <f>VLOOKUP(A1536,'Operational Data'!$A$2:$E$201,3,FALSE)</f>
        <v>44825</v>
      </c>
      <c r="H1536" s="11">
        <f>VLOOKUP(A1536,'Operational Data'!$A$2:$E$201,4,FALSE)</f>
        <v>6023.03</v>
      </c>
      <c r="I1536" s="11">
        <f>VLOOKUP(A1536,'Operational Data'!$A$2:$E$201,5,FALSE)</f>
        <v>27.2</v>
      </c>
      <c r="J1536" s="21">
        <f t="shared" si="23"/>
        <v>8.8173117679866145E-2</v>
      </c>
    </row>
    <row r="1537" spans="1:10" x14ac:dyDescent="0.25">
      <c r="A1537" s="20" t="s">
        <v>193</v>
      </c>
      <c r="B1537" s="20" t="s">
        <v>12</v>
      </c>
      <c r="C1537" s="20" t="s">
        <v>34</v>
      </c>
      <c r="D1537" s="20" t="s">
        <v>14</v>
      </c>
      <c r="E1537" s="20" t="s">
        <v>10</v>
      </c>
      <c r="F1537" s="20">
        <v>4563.3599999999997</v>
      </c>
      <c r="G1537" s="11">
        <f>VLOOKUP(A1537,'Operational Data'!$A$2:$E$201,3,FALSE)</f>
        <v>13333</v>
      </c>
      <c r="H1537" s="11">
        <f>VLOOKUP(A1537,'Operational Data'!$A$2:$E$201,4,FALSE)</f>
        <v>6102.15</v>
      </c>
      <c r="I1537" s="11">
        <f>VLOOKUP(A1537,'Operational Data'!$A$2:$E$201,5,FALSE)</f>
        <v>17.670000000000002</v>
      </c>
      <c r="J1537" s="21">
        <f t="shared" si="23"/>
        <v>0.34226055651391285</v>
      </c>
    </row>
    <row r="1538" spans="1:10" ht="30" x14ac:dyDescent="0.25">
      <c r="A1538" s="20" t="s">
        <v>37</v>
      </c>
      <c r="B1538" s="20" t="s">
        <v>17</v>
      </c>
      <c r="C1538" s="20" t="s">
        <v>23</v>
      </c>
      <c r="D1538" s="20" t="s">
        <v>9</v>
      </c>
      <c r="E1538" s="20" t="s">
        <v>15</v>
      </c>
      <c r="F1538" s="20">
        <v>2084.5673750000001</v>
      </c>
      <c r="G1538" s="11">
        <f>VLOOKUP(A1538,'Operational Data'!$A$2:$E$201,3,FALSE)</f>
        <v>71747</v>
      </c>
      <c r="H1538" s="11">
        <f>VLOOKUP(A1538,'Operational Data'!$A$2:$E$201,4,FALSE)</f>
        <v>9838.66</v>
      </c>
      <c r="I1538" s="11">
        <f>VLOOKUP(A1538,'Operational Data'!$A$2:$E$201,5,FALSE)</f>
        <v>7.25</v>
      </c>
      <c r="J1538" s="21">
        <f t="shared" si="23"/>
        <v>2.905441865165094E-2</v>
      </c>
    </row>
    <row r="1539" spans="1:10" x14ac:dyDescent="0.25">
      <c r="A1539" s="20" t="s">
        <v>214</v>
      </c>
      <c r="B1539" s="20" t="s">
        <v>30</v>
      </c>
      <c r="C1539" s="20" t="s">
        <v>34</v>
      </c>
      <c r="D1539" s="20" t="s">
        <v>14</v>
      </c>
      <c r="E1539" s="20" t="s">
        <v>10</v>
      </c>
      <c r="F1539" s="20">
        <v>4081.51</v>
      </c>
      <c r="G1539" s="11">
        <f>VLOOKUP(A1539,'Operational Data'!$A$2:$E$201,3,FALSE)</f>
        <v>79330</v>
      </c>
      <c r="H1539" s="11">
        <f>VLOOKUP(A1539,'Operational Data'!$A$2:$E$201,4,FALSE)</f>
        <v>6075.23</v>
      </c>
      <c r="I1539" s="11">
        <f>VLOOKUP(A1539,'Operational Data'!$A$2:$E$201,5,FALSE)</f>
        <v>83.97</v>
      </c>
      <c r="J1539" s="21">
        <f t="shared" ref="J1539:J1602" si="24">F1539/G1539</f>
        <v>5.1449766796924243E-2</v>
      </c>
    </row>
    <row r="1540" spans="1:10" x14ac:dyDescent="0.25">
      <c r="A1540" s="20" t="s">
        <v>196</v>
      </c>
      <c r="B1540" s="20" t="s">
        <v>30</v>
      </c>
      <c r="C1540" s="20" t="s">
        <v>13</v>
      </c>
      <c r="D1540" s="20" t="s">
        <v>28</v>
      </c>
      <c r="E1540" s="20" t="s">
        <v>15</v>
      </c>
      <c r="F1540" s="20">
        <v>4483.63</v>
      </c>
      <c r="G1540" s="11">
        <f>VLOOKUP(A1540,'Operational Data'!$A$2:$E$201,3,FALSE)</f>
        <v>12262</v>
      </c>
      <c r="H1540" s="11">
        <f>VLOOKUP(A1540,'Operational Data'!$A$2:$E$201,4,FALSE)</f>
        <v>7106.18</v>
      </c>
      <c r="I1540" s="11">
        <f>VLOOKUP(A1540,'Operational Data'!$A$2:$E$201,5,FALSE)</f>
        <v>45.69</v>
      </c>
      <c r="J1540" s="21">
        <f t="shared" si="24"/>
        <v>0.3656524221171098</v>
      </c>
    </row>
    <row r="1541" spans="1:10" x14ac:dyDescent="0.25">
      <c r="A1541" s="20" t="s">
        <v>86</v>
      </c>
      <c r="B1541" s="20" t="s">
        <v>19</v>
      </c>
      <c r="C1541" s="20" t="s">
        <v>34</v>
      </c>
      <c r="D1541" s="20" t="s">
        <v>14</v>
      </c>
      <c r="E1541" s="20" t="s">
        <v>24</v>
      </c>
      <c r="F1541" s="20">
        <v>3368.54</v>
      </c>
      <c r="G1541" s="11">
        <f>VLOOKUP(A1541,'Operational Data'!$A$2:$E$201,3,FALSE)</f>
        <v>56531</v>
      </c>
      <c r="H1541" s="11">
        <f>VLOOKUP(A1541,'Operational Data'!$A$2:$E$201,4,FALSE)</f>
        <v>8958.07</v>
      </c>
      <c r="I1541" s="11">
        <f>VLOOKUP(A1541,'Operational Data'!$A$2:$E$201,5,FALSE)</f>
        <v>83.44</v>
      </c>
      <c r="J1541" s="21">
        <f t="shared" si="24"/>
        <v>5.9587482973943499E-2</v>
      </c>
    </row>
    <row r="1542" spans="1:10" x14ac:dyDescent="0.25">
      <c r="A1542" s="20" t="s">
        <v>202</v>
      </c>
      <c r="B1542" s="20" t="s">
        <v>12</v>
      </c>
      <c r="C1542" s="20" t="s">
        <v>13</v>
      </c>
      <c r="D1542" s="20" t="s">
        <v>14</v>
      </c>
      <c r="E1542" s="20" t="s">
        <v>24</v>
      </c>
      <c r="F1542" s="20">
        <v>82.35</v>
      </c>
      <c r="G1542" s="11">
        <f>VLOOKUP(A1542,'Operational Data'!$A$2:$E$201,3,FALSE)</f>
        <v>28400</v>
      </c>
      <c r="H1542" s="11">
        <f>VLOOKUP(A1542,'Operational Data'!$A$2:$E$201,4,FALSE)</f>
        <v>3056.67</v>
      </c>
      <c r="I1542" s="11">
        <f>VLOOKUP(A1542,'Operational Data'!$A$2:$E$201,5,FALSE)</f>
        <v>52.68</v>
      </c>
      <c r="J1542" s="21">
        <f t="shared" si="24"/>
        <v>2.8996478873239435E-3</v>
      </c>
    </row>
    <row r="1543" spans="1:10" ht="30" x14ac:dyDescent="0.25">
      <c r="A1543" s="20" t="s">
        <v>171</v>
      </c>
      <c r="B1543" s="20" t="s">
        <v>17</v>
      </c>
      <c r="C1543" s="20" t="s">
        <v>34</v>
      </c>
      <c r="D1543" s="20" t="s">
        <v>28</v>
      </c>
      <c r="E1543" s="20" t="s">
        <v>15</v>
      </c>
      <c r="F1543" s="20">
        <v>4175.62</v>
      </c>
      <c r="G1543" s="11">
        <f>VLOOKUP(A1543,'Operational Data'!$A$2:$E$201,3,FALSE)</f>
        <v>24502</v>
      </c>
      <c r="H1543" s="11">
        <f>VLOOKUP(A1543,'Operational Data'!$A$2:$E$201,4,FALSE)</f>
        <v>7466.86</v>
      </c>
      <c r="I1543" s="11">
        <f>VLOOKUP(A1543,'Operational Data'!$A$2:$E$201,5,FALSE)</f>
        <v>88.83</v>
      </c>
      <c r="J1543" s="21">
        <f t="shared" si="24"/>
        <v>0.17041955758713573</v>
      </c>
    </row>
    <row r="1544" spans="1:10" x14ac:dyDescent="0.25">
      <c r="A1544" s="20" t="s">
        <v>122</v>
      </c>
      <c r="B1544" s="20" t="s">
        <v>19</v>
      </c>
      <c r="C1544" s="20" t="s">
        <v>34</v>
      </c>
      <c r="D1544" s="20" t="s">
        <v>14</v>
      </c>
      <c r="E1544" s="20" t="s">
        <v>10</v>
      </c>
      <c r="F1544" s="20">
        <v>1796.14</v>
      </c>
      <c r="G1544" s="11">
        <f>VLOOKUP(A1544,'Operational Data'!$A$2:$E$201,3,FALSE)</f>
        <v>95962</v>
      </c>
      <c r="H1544" s="11">
        <f>VLOOKUP(A1544,'Operational Data'!$A$2:$E$201,4,FALSE)</f>
        <v>524.72</v>
      </c>
      <c r="I1544" s="11">
        <f>VLOOKUP(A1544,'Operational Data'!$A$2:$E$201,5,FALSE)</f>
        <v>49.55</v>
      </c>
      <c r="J1544" s="21">
        <f t="shared" si="24"/>
        <v>1.8717200558554428E-2</v>
      </c>
    </row>
    <row r="1545" spans="1:10" ht="30" x14ac:dyDescent="0.25">
      <c r="A1545" s="20" t="s">
        <v>80</v>
      </c>
      <c r="B1545" s="20" t="s">
        <v>17</v>
      </c>
      <c r="C1545" s="20" t="s">
        <v>34</v>
      </c>
      <c r="D1545" s="20" t="s">
        <v>28</v>
      </c>
      <c r="E1545" s="20" t="s">
        <v>15</v>
      </c>
      <c r="F1545" s="20">
        <v>3373.26</v>
      </c>
      <c r="G1545" s="11">
        <f>VLOOKUP(A1545,'Operational Data'!$A$2:$E$201,3,FALSE)</f>
        <v>75508</v>
      </c>
      <c r="H1545" s="11">
        <f>VLOOKUP(A1545,'Operational Data'!$A$2:$E$201,4,FALSE)</f>
        <v>6856.22</v>
      </c>
      <c r="I1545" s="11">
        <f>VLOOKUP(A1545,'Operational Data'!$A$2:$E$201,5,FALSE)</f>
        <v>18.2</v>
      </c>
      <c r="J1545" s="21">
        <f t="shared" si="24"/>
        <v>4.4674206706574141E-2</v>
      </c>
    </row>
    <row r="1546" spans="1:10" x14ac:dyDescent="0.25">
      <c r="A1546" s="20" t="s">
        <v>88</v>
      </c>
      <c r="B1546" s="20" t="s">
        <v>7</v>
      </c>
      <c r="C1546" s="20" t="s">
        <v>13</v>
      </c>
      <c r="D1546" s="20" t="s">
        <v>14</v>
      </c>
      <c r="E1546" s="20" t="s">
        <v>24</v>
      </c>
      <c r="F1546" s="20">
        <v>3051.55</v>
      </c>
      <c r="G1546" s="11">
        <f>VLOOKUP(A1546,'Operational Data'!$A$2:$E$201,3,FALSE)</f>
        <v>44825</v>
      </c>
      <c r="H1546" s="11">
        <f>VLOOKUP(A1546,'Operational Data'!$A$2:$E$201,4,FALSE)</f>
        <v>6023.03</v>
      </c>
      <c r="I1546" s="11">
        <f>VLOOKUP(A1546,'Operational Data'!$A$2:$E$201,5,FALSE)</f>
        <v>27.2</v>
      </c>
      <c r="J1546" s="21">
        <f t="shared" si="24"/>
        <v>6.807696597880647E-2</v>
      </c>
    </row>
    <row r="1547" spans="1:10" x14ac:dyDescent="0.25">
      <c r="A1547" s="20" t="s">
        <v>115</v>
      </c>
      <c r="B1547" s="20" t="s">
        <v>19</v>
      </c>
      <c r="C1547" s="20" t="s">
        <v>8</v>
      </c>
      <c r="D1547" s="20" t="s">
        <v>28</v>
      </c>
      <c r="E1547" s="20" t="s">
        <v>15</v>
      </c>
      <c r="F1547" s="20">
        <v>3770.37</v>
      </c>
      <c r="G1547" s="11">
        <f>VLOOKUP(A1547,'Operational Data'!$A$2:$E$201,3,FALSE)</f>
        <v>17162</v>
      </c>
      <c r="H1547" s="11">
        <f>VLOOKUP(A1547,'Operational Data'!$A$2:$E$201,4,FALSE)</f>
        <v>5079.95</v>
      </c>
      <c r="I1547" s="11">
        <f>VLOOKUP(A1547,'Operational Data'!$A$2:$E$201,5,FALSE)</f>
        <v>19.239999999999998</v>
      </c>
      <c r="J1547" s="21">
        <f t="shared" si="24"/>
        <v>0.21969292623237385</v>
      </c>
    </row>
    <row r="1548" spans="1:10" x14ac:dyDescent="0.25">
      <c r="A1548" s="20" t="s">
        <v>150</v>
      </c>
      <c r="B1548" s="20" t="s">
        <v>30</v>
      </c>
      <c r="C1548" s="20" t="s">
        <v>34</v>
      </c>
      <c r="D1548" s="20" t="s">
        <v>28</v>
      </c>
      <c r="E1548" s="20" t="s">
        <v>15</v>
      </c>
      <c r="F1548" s="20">
        <v>3887.64</v>
      </c>
      <c r="G1548" s="11">
        <f>VLOOKUP(A1548,'Operational Data'!$A$2:$E$201,3,FALSE)</f>
        <v>98356</v>
      </c>
      <c r="H1548" s="11">
        <f>VLOOKUP(A1548,'Operational Data'!$A$2:$E$201,4,FALSE)</f>
        <v>6968.69</v>
      </c>
      <c r="I1548" s="11">
        <f>VLOOKUP(A1548,'Operational Data'!$A$2:$E$201,5,FALSE)</f>
        <v>81.72</v>
      </c>
      <c r="J1548" s="21">
        <f t="shared" si="24"/>
        <v>3.9526210907316277E-2</v>
      </c>
    </row>
    <row r="1549" spans="1:10" x14ac:dyDescent="0.25">
      <c r="A1549" s="20" t="s">
        <v>182</v>
      </c>
      <c r="B1549" s="20" t="s">
        <v>12</v>
      </c>
      <c r="C1549" s="20" t="s">
        <v>8</v>
      </c>
      <c r="D1549" s="20" t="s">
        <v>14</v>
      </c>
      <c r="E1549" s="20" t="s">
        <v>10</v>
      </c>
      <c r="F1549" s="20">
        <v>4523.25</v>
      </c>
      <c r="G1549" s="11">
        <f>VLOOKUP(A1549,'Operational Data'!$A$2:$E$201,3,FALSE)</f>
        <v>21081</v>
      </c>
      <c r="H1549" s="11">
        <f>VLOOKUP(A1549,'Operational Data'!$A$2:$E$201,4,FALSE)</f>
        <v>9001.77</v>
      </c>
      <c r="I1549" s="11">
        <f>VLOOKUP(A1549,'Operational Data'!$A$2:$E$201,5,FALSE)</f>
        <v>49.27</v>
      </c>
      <c r="J1549" s="21">
        <f t="shared" si="24"/>
        <v>0.21456524832787818</v>
      </c>
    </row>
    <row r="1550" spans="1:10" x14ac:dyDescent="0.25">
      <c r="A1550" s="20" t="s">
        <v>61</v>
      </c>
      <c r="B1550" s="20" t="s">
        <v>30</v>
      </c>
      <c r="C1550" s="20" t="s">
        <v>23</v>
      </c>
      <c r="D1550" s="20" t="s">
        <v>28</v>
      </c>
      <c r="E1550" s="20" t="s">
        <v>15</v>
      </c>
      <c r="F1550" s="20">
        <v>4229.33</v>
      </c>
      <c r="G1550" s="11">
        <f>VLOOKUP(A1550,'Operational Data'!$A$2:$E$201,3,FALSE)</f>
        <v>95718</v>
      </c>
      <c r="H1550" s="11">
        <f>VLOOKUP(A1550,'Operational Data'!$A$2:$E$201,4,FALSE)</f>
        <v>2443.12</v>
      </c>
      <c r="I1550" s="11">
        <f>VLOOKUP(A1550,'Operational Data'!$A$2:$E$201,5,FALSE)</f>
        <v>35.49</v>
      </c>
      <c r="J1550" s="21">
        <f t="shared" si="24"/>
        <v>4.418531519672371E-2</v>
      </c>
    </row>
    <row r="1551" spans="1:10" x14ac:dyDescent="0.25">
      <c r="A1551" s="20" t="s">
        <v>211</v>
      </c>
      <c r="B1551" s="20" t="s">
        <v>7</v>
      </c>
      <c r="C1551" s="20" t="s">
        <v>23</v>
      </c>
      <c r="D1551" s="20" t="s">
        <v>14</v>
      </c>
      <c r="E1551" s="20" t="s">
        <v>24</v>
      </c>
      <c r="F1551" s="20">
        <v>1909.18</v>
      </c>
      <c r="G1551" s="11">
        <f>VLOOKUP(A1551,'Operational Data'!$A$2:$E$201,3,FALSE)</f>
        <v>27028</v>
      </c>
      <c r="H1551" s="11">
        <f>VLOOKUP(A1551,'Operational Data'!$A$2:$E$201,4,FALSE)</f>
        <v>4617.92</v>
      </c>
      <c r="I1551" s="11">
        <f>VLOOKUP(A1551,'Operational Data'!$A$2:$E$201,5,FALSE)</f>
        <v>57.62</v>
      </c>
      <c r="J1551" s="21">
        <f t="shared" si="24"/>
        <v>7.0637117063785712E-2</v>
      </c>
    </row>
    <row r="1552" spans="1:10" x14ac:dyDescent="0.25">
      <c r="A1552" s="20" t="s">
        <v>195</v>
      </c>
      <c r="B1552" s="20" t="s">
        <v>7</v>
      </c>
      <c r="C1552" s="20" t="s">
        <v>13</v>
      </c>
      <c r="D1552" s="20" t="s">
        <v>14</v>
      </c>
      <c r="E1552" s="20" t="s">
        <v>24</v>
      </c>
      <c r="F1552" s="20">
        <v>1689.24</v>
      </c>
      <c r="G1552" s="11">
        <f>VLOOKUP(A1552,'Operational Data'!$A$2:$E$201,3,FALSE)</f>
        <v>68278</v>
      </c>
      <c r="H1552" s="11">
        <f>VLOOKUP(A1552,'Operational Data'!$A$2:$E$201,4,FALSE)</f>
        <v>3272.65</v>
      </c>
      <c r="I1552" s="11">
        <f>VLOOKUP(A1552,'Operational Data'!$A$2:$E$201,5,FALSE)</f>
        <v>30.47</v>
      </c>
      <c r="J1552" s="21">
        <f t="shared" si="24"/>
        <v>2.4740619233135124E-2</v>
      </c>
    </row>
    <row r="1553" spans="1:10" x14ac:dyDescent="0.25">
      <c r="A1553" s="20" t="s">
        <v>90</v>
      </c>
      <c r="B1553" s="20" t="s">
        <v>19</v>
      </c>
      <c r="C1553" s="20" t="s">
        <v>13</v>
      </c>
      <c r="D1553" s="20" t="s">
        <v>14</v>
      </c>
      <c r="E1553" s="20" t="s">
        <v>24</v>
      </c>
      <c r="F1553" s="20">
        <v>1270.1199999999999</v>
      </c>
      <c r="G1553" s="11">
        <f>VLOOKUP(A1553,'Operational Data'!$A$2:$E$201,3,FALSE)</f>
        <v>97337</v>
      </c>
      <c r="H1553" s="11">
        <f>VLOOKUP(A1553,'Operational Data'!$A$2:$E$201,4,FALSE)</f>
        <v>3362.06</v>
      </c>
      <c r="I1553" s="11">
        <f>VLOOKUP(A1553,'Operational Data'!$A$2:$E$201,5,FALSE)</f>
        <v>55.46</v>
      </c>
      <c r="J1553" s="21">
        <f t="shared" si="24"/>
        <v>1.3048686522083072E-2</v>
      </c>
    </row>
    <row r="1554" spans="1:10" x14ac:dyDescent="0.25">
      <c r="A1554" s="20" t="s">
        <v>64</v>
      </c>
      <c r="B1554" s="20" t="s">
        <v>30</v>
      </c>
      <c r="C1554" s="20" t="s">
        <v>8</v>
      </c>
      <c r="D1554" s="20" t="s">
        <v>9</v>
      </c>
      <c r="E1554" s="20" t="s">
        <v>15</v>
      </c>
      <c r="F1554" s="20">
        <v>1816.03</v>
      </c>
      <c r="G1554" s="11">
        <f>VLOOKUP(A1554,'Operational Data'!$A$2:$E$201,3,FALSE)</f>
        <v>52836</v>
      </c>
      <c r="H1554" s="11">
        <f>VLOOKUP(A1554,'Operational Data'!$A$2:$E$201,4,FALSE)</f>
        <v>9330.2999999999993</v>
      </c>
      <c r="I1554" s="11">
        <f>VLOOKUP(A1554,'Operational Data'!$A$2:$E$201,5,FALSE)</f>
        <v>87.27</v>
      </c>
      <c r="J1554" s="21">
        <f t="shared" si="24"/>
        <v>3.4371072753425692E-2</v>
      </c>
    </row>
    <row r="1555" spans="1:10" ht="30" x14ac:dyDescent="0.25">
      <c r="A1555" s="20" t="s">
        <v>148</v>
      </c>
      <c r="B1555" s="20" t="s">
        <v>17</v>
      </c>
      <c r="C1555" s="20" t="s">
        <v>34</v>
      </c>
      <c r="D1555" s="20" t="s">
        <v>14</v>
      </c>
      <c r="E1555" s="20" t="s">
        <v>15</v>
      </c>
      <c r="F1555" s="20">
        <v>1943.87</v>
      </c>
      <c r="G1555" s="11">
        <f>VLOOKUP(A1555,'Operational Data'!$A$2:$E$201,3,FALSE)</f>
        <v>44994</v>
      </c>
      <c r="H1555" s="11">
        <f>VLOOKUP(A1555,'Operational Data'!$A$2:$E$201,4,FALSE)</f>
        <v>7305.59</v>
      </c>
      <c r="I1555" s="11">
        <f>VLOOKUP(A1555,'Operational Data'!$A$2:$E$201,5,FALSE)</f>
        <v>91.53</v>
      </c>
      <c r="J1555" s="21">
        <f t="shared" si="24"/>
        <v>4.3202871493976974E-2</v>
      </c>
    </row>
    <row r="1556" spans="1:10" x14ac:dyDescent="0.25">
      <c r="A1556" s="20" t="s">
        <v>154</v>
      </c>
      <c r="B1556" s="20" t="s">
        <v>12</v>
      </c>
      <c r="C1556" s="20" t="s">
        <v>8</v>
      </c>
      <c r="D1556" s="20" t="s">
        <v>28</v>
      </c>
      <c r="E1556" s="20" t="s">
        <v>15</v>
      </c>
      <c r="F1556" s="20">
        <v>2832.16</v>
      </c>
      <c r="G1556" s="11">
        <f>VLOOKUP(A1556,'Operational Data'!$A$2:$E$201,3,FALSE)</f>
        <v>87012</v>
      </c>
      <c r="H1556" s="11">
        <f>VLOOKUP(A1556,'Operational Data'!$A$2:$E$201,4,FALSE)</f>
        <v>7478.13</v>
      </c>
      <c r="I1556" s="11">
        <f>VLOOKUP(A1556,'Operational Data'!$A$2:$E$201,5,FALSE)</f>
        <v>27.22</v>
      </c>
      <c r="J1556" s="21">
        <f t="shared" si="24"/>
        <v>3.2549073690985149E-2</v>
      </c>
    </row>
    <row r="1557" spans="1:10" x14ac:dyDescent="0.25">
      <c r="A1557" s="20" t="s">
        <v>219</v>
      </c>
      <c r="B1557" s="20" t="s">
        <v>12</v>
      </c>
      <c r="C1557" s="20" t="s">
        <v>13</v>
      </c>
      <c r="D1557" s="20" t="s">
        <v>28</v>
      </c>
      <c r="E1557" s="20" t="s">
        <v>10</v>
      </c>
      <c r="F1557" s="20">
        <v>4684.57</v>
      </c>
      <c r="G1557" s="11">
        <f>VLOOKUP(A1557,'Operational Data'!$A$2:$E$201,3,FALSE)</f>
        <v>84524</v>
      </c>
      <c r="H1557" s="11">
        <f>VLOOKUP(A1557,'Operational Data'!$A$2:$E$201,4,FALSE)</f>
        <v>9350.11</v>
      </c>
      <c r="I1557" s="11">
        <f>VLOOKUP(A1557,'Operational Data'!$A$2:$E$201,5,FALSE)</f>
        <v>27.53</v>
      </c>
      <c r="J1557" s="21">
        <f t="shared" si="24"/>
        <v>5.5422956793336801E-2</v>
      </c>
    </row>
    <row r="1558" spans="1:10" x14ac:dyDescent="0.25">
      <c r="A1558" s="20" t="s">
        <v>25</v>
      </c>
      <c r="B1558" s="20" t="s">
        <v>19</v>
      </c>
      <c r="C1558" s="20" t="s">
        <v>8</v>
      </c>
      <c r="D1558" s="20" t="s">
        <v>9</v>
      </c>
      <c r="E1558" s="20" t="s">
        <v>10</v>
      </c>
      <c r="F1558" s="20">
        <v>785.4165941</v>
      </c>
      <c r="G1558" s="11">
        <f>VLOOKUP(A1558,'Operational Data'!$A$2:$E$201,3,FALSE)</f>
        <v>95306</v>
      </c>
      <c r="H1558" s="11">
        <f>VLOOKUP(A1558,'Operational Data'!$A$2:$E$201,4,FALSE)</f>
        <v>9037.76</v>
      </c>
      <c r="I1558" s="11">
        <f>VLOOKUP(A1558,'Operational Data'!$A$2:$E$201,5,FALSE)</f>
        <v>13.35</v>
      </c>
      <c r="J1558" s="21">
        <f t="shared" si="24"/>
        <v>8.2409984061863895E-3</v>
      </c>
    </row>
    <row r="1559" spans="1:10" x14ac:dyDescent="0.25">
      <c r="A1559" s="20" t="s">
        <v>139</v>
      </c>
      <c r="B1559" s="20" t="s">
        <v>7</v>
      </c>
      <c r="C1559" s="20" t="s">
        <v>8</v>
      </c>
      <c r="D1559" s="20" t="s">
        <v>9</v>
      </c>
      <c r="E1559" s="20" t="s">
        <v>24</v>
      </c>
      <c r="F1559" s="20">
        <v>828.30804790000002</v>
      </c>
      <c r="G1559" s="11">
        <f>VLOOKUP(A1559,'Operational Data'!$A$2:$E$201,3,FALSE)</f>
        <v>10067</v>
      </c>
      <c r="H1559" s="11">
        <f>VLOOKUP(A1559,'Operational Data'!$A$2:$E$201,4,FALSE)</f>
        <v>1953.33</v>
      </c>
      <c r="I1559" s="11">
        <f>VLOOKUP(A1559,'Operational Data'!$A$2:$E$201,5,FALSE)</f>
        <v>25.15</v>
      </c>
      <c r="J1559" s="21">
        <f t="shared" si="24"/>
        <v>8.2279531926095162E-2</v>
      </c>
    </row>
    <row r="1560" spans="1:10" x14ac:dyDescent="0.25">
      <c r="A1560" s="20" t="s">
        <v>219</v>
      </c>
      <c r="B1560" s="20" t="s">
        <v>12</v>
      </c>
      <c r="C1560" s="20" t="s">
        <v>8</v>
      </c>
      <c r="D1560" s="20" t="s">
        <v>14</v>
      </c>
      <c r="E1560" s="20" t="s">
        <v>10</v>
      </c>
      <c r="F1560" s="20">
        <v>4960.6099999999997</v>
      </c>
      <c r="G1560" s="11">
        <f>VLOOKUP(A1560,'Operational Data'!$A$2:$E$201,3,FALSE)</f>
        <v>84524</v>
      </c>
      <c r="H1560" s="11">
        <f>VLOOKUP(A1560,'Operational Data'!$A$2:$E$201,4,FALSE)</f>
        <v>9350.11</v>
      </c>
      <c r="I1560" s="11">
        <f>VLOOKUP(A1560,'Operational Data'!$A$2:$E$201,5,FALSE)</f>
        <v>27.53</v>
      </c>
      <c r="J1560" s="21">
        <f t="shared" si="24"/>
        <v>5.8688774785859633E-2</v>
      </c>
    </row>
    <row r="1561" spans="1:10" ht="30" x14ac:dyDescent="0.25">
      <c r="A1561" s="20" t="s">
        <v>190</v>
      </c>
      <c r="B1561" s="20" t="s">
        <v>17</v>
      </c>
      <c r="C1561" s="20" t="s">
        <v>13</v>
      </c>
      <c r="D1561" s="20" t="s">
        <v>28</v>
      </c>
      <c r="E1561" s="20" t="s">
        <v>10</v>
      </c>
      <c r="F1561" s="20">
        <v>4377.79</v>
      </c>
      <c r="G1561" s="11">
        <f>VLOOKUP(A1561,'Operational Data'!$A$2:$E$201,3,FALSE)</f>
        <v>41953</v>
      </c>
      <c r="H1561" s="11">
        <f>VLOOKUP(A1561,'Operational Data'!$A$2:$E$201,4,FALSE)</f>
        <v>2379.14</v>
      </c>
      <c r="I1561" s="11">
        <f>VLOOKUP(A1561,'Operational Data'!$A$2:$E$201,5,FALSE)</f>
        <v>65.67</v>
      </c>
      <c r="J1561" s="21">
        <f t="shared" si="24"/>
        <v>0.10434986770910304</v>
      </c>
    </row>
    <row r="1562" spans="1:10" x14ac:dyDescent="0.25">
      <c r="A1562" s="20" t="s">
        <v>91</v>
      </c>
      <c r="B1562" s="20" t="s">
        <v>30</v>
      </c>
      <c r="C1562" s="20" t="s">
        <v>13</v>
      </c>
      <c r="D1562" s="20" t="s">
        <v>9</v>
      </c>
      <c r="E1562" s="20" t="s">
        <v>15</v>
      </c>
      <c r="F1562" s="20">
        <v>2535.300616</v>
      </c>
      <c r="G1562" s="11">
        <f>VLOOKUP(A1562,'Operational Data'!$A$2:$E$201,3,FALSE)</f>
        <v>20207</v>
      </c>
      <c r="H1562" s="11">
        <f>VLOOKUP(A1562,'Operational Data'!$A$2:$E$201,4,FALSE)</f>
        <v>5369.46</v>
      </c>
      <c r="I1562" s="11">
        <f>VLOOKUP(A1562,'Operational Data'!$A$2:$E$201,5,FALSE)</f>
        <v>57.51</v>
      </c>
      <c r="J1562" s="21">
        <f t="shared" si="24"/>
        <v>0.12546645301133272</v>
      </c>
    </row>
    <row r="1563" spans="1:10" x14ac:dyDescent="0.25">
      <c r="A1563" s="20" t="s">
        <v>85</v>
      </c>
      <c r="B1563" s="20" t="s">
        <v>30</v>
      </c>
      <c r="C1563" s="20" t="s">
        <v>23</v>
      </c>
      <c r="D1563" s="20" t="s">
        <v>14</v>
      </c>
      <c r="E1563" s="20" t="s">
        <v>10</v>
      </c>
      <c r="F1563" s="20">
        <v>2251.6</v>
      </c>
      <c r="G1563" s="11">
        <f>VLOOKUP(A1563,'Operational Data'!$A$2:$E$201,3,FALSE)</f>
        <v>45519</v>
      </c>
      <c r="H1563" s="11">
        <f>VLOOKUP(A1563,'Operational Data'!$A$2:$E$201,4,FALSE)</f>
        <v>7987.69</v>
      </c>
      <c r="I1563" s="11">
        <f>VLOOKUP(A1563,'Operational Data'!$A$2:$E$201,5,FALSE)</f>
        <v>10.86</v>
      </c>
      <c r="J1563" s="21">
        <f t="shared" si="24"/>
        <v>4.9465058546980377E-2</v>
      </c>
    </row>
    <row r="1564" spans="1:10" x14ac:dyDescent="0.25">
      <c r="A1564" s="20" t="s">
        <v>175</v>
      </c>
      <c r="B1564" s="20" t="s">
        <v>7</v>
      </c>
      <c r="C1564" s="20" t="s">
        <v>8</v>
      </c>
      <c r="D1564" s="20" t="s">
        <v>9</v>
      </c>
      <c r="E1564" s="20" t="s">
        <v>24</v>
      </c>
      <c r="F1564" s="20">
        <v>733.12507359999995</v>
      </c>
      <c r="G1564" s="11">
        <f>VLOOKUP(A1564,'Operational Data'!$A$2:$E$201,3,FALSE)</f>
        <v>83923</v>
      </c>
      <c r="H1564" s="11">
        <f>VLOOKUP(A1564,'Operational Data'!$A$2:$E$201,4,FALSE)</f>
        <v>8768.7999999999993</v>
      </c>
      <c r="I1564" s="11">
        <f>VLOOKUP(A1564,'Operational Data'!$A$2:$E$201,5,FALSE)</f>
        <v>65.290000000000006</v>
      </c>
      <c r="J1564" s="21">
        <f t="shared" si="24"/>
        <v>8.7356871608498254E-3</v>
      </c>
    </row>
    <row r="1565" spans="1:10" x14ac:dyDescent="0.25">
      <c r="A1565" s="20" t="s">
        <v>212</v>
      </c>
      <c r="B1565" s="20" t="s">
        <v>7</v>
      </c>
      <c r="C1565" s="20" t="s">
        <v>8</v>
      </c>
      <c r="D1565" s="20" t="s">
        <v>28</v>
      </c>
      <c r="E1565" s="20" t="s">
        <v>15</v>
      </c>
      <c r="F1565" s="20">
        <v>1054.48</v>
      </c>
      <c r="G1565" s="11">
        <f>VLOOKUP(A1565,'Operational Data'!$A$2:$E$201,3,FALSE)</f>
        <v>67820</v>
      </c>
      <c r="H1565" s="11">
        <f>VLOOKUP(A1565,'Operational Data'!$A$2:$E$201,4,FALSE)</f>
        <v>8177.95</v>
      </c>
      <c r="I1565" s="11">
        <f>VLOOKUP(A1565,'Operational Data'!$A$2:$E$201,5,FALSE)</f>
        <v>40.69</v>
      </c>
      <c r="J1565" s="21">
        <f t="shared" si="24"/>
        <v>1.5548215865526394E-2</v>
      </c>
    </row>
    <row r="1566" spans="1:10" x14ac:dyDescent="0.25">
      <c r="A1566" s="20" t="s">
        <v>52</v>
      </c>
      <c r="B1566" s="20" t="s">
        <v>19</v>
      </c>
      <c r="C1566" s="20" t="s">
        <v>13</v>
      </c>
      <c r="D1566" s="20" t="s">
        <v>14</v>
      </c>
      <c r="E1566" s="20" t="s">
        <v>15</v>
      </c>
      <c r="F1566" s="20">
        <v>4429.91</v>
      </c>
      <c r="G1566" s="11">
        <f>VLOOKUP(A1566,'Operational Data'!$A$2:$E$201,3,FALSE)</f>
        <v>94949</v>
      </c>
      <c r="H1566" s="11">
        <f>VLOOKUP(A1566,'Operational Data'!$A$2:$E$201,4,FALSE)</f>
        <v>9714.76</v>
      </c>
      <c r="I1566" s="11">
        <f>VLOOKUP(A1566,'Operational Data'!$A$2:$E$201,5,FALSE)</f>
        <v>64.900000000000006</v>
      </c>
      <c r="J1566" s="21">
        <f t="shared" si="24"/>
        <v>4.6655678311514598E-2</v>
      </c>
    </row>
    <row r="1567" spans="1:10" x14ac:dyDescent="0.25">
      <c r="A1567" s="20" t="s">
        <v>31</v>
      </c>
      <c r="B1567" s="20" t="s">
        <v>30</v>
      </c>
      <c r="C1567" s="20" t="s">
        <v>23</v>
      </c>
      <c r="D1567" s="20" t="s">
        <v>9</v>
      </c>
      <c r="E1567" s="20" t="s">
        <v>24</v>
      </c>
      <c r="F1567" s="20">
        <v>3923.1479300000001</v>
      </c>
      <c r="G1567" s="11">
        <f>VLOOKUP(A1567,'Operational Data'!$A$2:$E$201,3,FALSE)</f>
        <v>84851</v>
      </c>
      <c r="H1567" s="11">
        <f>VLOOKUP(A1567,'Operational Data'!$A$2:$E$201,4,FALSE)</f>
        <v>560.75</v>
      </c>
      <c r="I1567" s="11">
        <f>VLOOKUP(A1567,'Operational Data'!$A$2:$E$201,5,FALSE)</f>
        <v>80.23</v>
      </c>
      <c r="J1567" s="21">
        <f t="shared" si="24"/>
        <v>4.623573004443083E-2</v>
      </c>
    </row>
    <row r="1568" spans="1:10" ht="30" x14ac:dyDescent="0.25">
      <c r="A1568" s="20" t="s">
        <v>137</v>
      </c>
      <c r="B1568" s="20" t="s">
        <v>17</v>
      </c>
      <c r="C1568" s="20" t="s">
        <v>13</v>
      </c>
      <c r="D1568" s="20" t="s">
        <v>9</v>
      </c>
      <c r="E1568" s="20" t="s">
        <v>10</v>
      </c>
      <c r="F1568" s="20">
        <v>767.46223359999999</v>
      </c>
      <c r="G1568" s="11">
        <f>VLOOKUP(A1568,'Operational Data'!$A$2:$E$201,3,FALSE)</f>
        <v>19265</v>
      </c>
      <c r="H1568" s="11">
        <f>VLOOKUP(A1568,'Operational Data'!$A$2:$E$201,4,FALSE)</f>
        <v>776.6</v>
      </c>
      <c r="I1568" s="11">
        <f>VLOOKUP(A1568,'Operational Data'!$A$2:$E$201,5,FALSE)</f>
        <v>39.75</v>
      </c>
      <c r="J1568" s="21">
        <f t="shared" si="24"/>
        <v>3.9837126062808204E-2</v>
      </c>
    </row>
    <row r="1569" spans="1:10" x14ac:dyDescent="0.25">
      <c r="A1569" s="20" t="s">
        <v>55</v>
      </c>
      <c r="B1569" s="20" t="s">
        <v>12</v>
      </c>
      <c r="C1569" s="20" t="s">
        <v>34</v>
      </c>
      <c r="D1569" s="20" t="s">
        <v>9</v>
      </c>
      <c r="E1569" s="20" t="s">
        <v>24</v>
      </c>
      <c r="F1569" s="20">
        <v>592.72258729999999</v>
      </c>
      <c r="G1569" s="11">
        <f>VLOOKUP(A1569,'Operational Data'!$A$2:$E$201,3,FALSE)</f>
        <v>38181</v>
      </c>
      <c r="H1569" s="11">
        <f>VLOOKUP(A1569,'Operational Data'!$A$2:$E$201,4,FALSE)</f>
        <v>691.84</v>
      </c>
      <c r="I1569" s="11">
        <f>VLOOKUP(A1569,'Operational Data'!$A$2:$E$201,5,FALSE)</f>
        <v>33.53</v>
      </c>
      <c r="J1569" s="21">
        <f t="shared" si="24"/>
        <v>1.552401946779812E-2</v>
      </c>
    </row>
    <row r="1570" spans="1:10" ht="30" x14ac:dyDescent="0.25">
      <c r="A1570" s="20" t="s">
        <v>37</v>
      </c>
      <c r="B1570" s="20" t="s">
        <v>17</v>
      </c>
      <c r="C1570" s="20" t="s">
        <v>8</v>
      </c>
      <c r="D1570" s="20" t="s">
        <v>14</v>
      </c>
      <c r="E1570" s="20" t="s">
        <v>10</v>
      </c>
      <c r="F1570" s="20">
        <v>3539.99</v>
      </c>
      <c r="G1570" s="11">
        <f>VLOOKUP(A1570,'Operational Data'!$A$2:$E$201,3,FALSE)</f>
        <v>71747</v>
      </c>
      <c r="H1570" s="11">
        <f>VLOOKUP(A1570,'Operational Data'!$A$2:$E$201,4,FALSE)</f>
        <v>9838.66</v>
      </c>
      <c r="I1570" s="11">
        <f>VLOOKUP(A1570,'Operational Data'!$A$2:$E$201,5,FALSE)</f>
        <v>7.25</v>
      </c>
      <c r="J1570" s="21">
        <f t="shared" si="24"/>
        <v>4.9339902713702311E-2</v>
      </c>
    </row>
    <row r="1571" spans="1:10" x14ac:dyDescent="0.25">
      <c r="A1571" s="20" t="s">
        <v>61</v>
      </c>
      <c r="B1571" s="20" t="s">
        <v>30</v>
      </c>
      <c r="C1571" s="20" t="s">
        <v>8</v>
      </c>
      <c r="D1571" s="20" t="s">
        <v>9</v>
      </c>
      <c r="E1571" s="20" t="s">
        <v>24</v>
      </c>
      <c r="F1571" s="20">
        <v>2579.1888560000002</v>
      </c>
      <c r="G1571" s="11">
        <f>VLOOKUP(A1571,'Operational Data'!$A$2:$E$201,3,FALSE)</f>
        <v>95718</v>
      </c>
      <c r="H1571" s="11">
        <f>VLOOKUP(A1571,'Operational Data'!$A$2:$E$201,4,FALSE)</f>
        <v>2443.12</v>
      </c>
      <c r="I1571" s="11">
        <f>VLOOKUP(A1571,'Operational Data'!$A$2:$E$201,5,FALSE)</f>
        <v>35.49</v>
      </c>
      <c r="J1571" s="21">
        <f t="shared" si="24"/>
        <v>2.6945703587621977E-2</v>
      </c>
    </row>
    <row r="1572" spans="1:10" x14ac:dyDescent="0.25">
      <c r="A1572" s="20" t="s">
        <v>204</v>
      </c>
      <c r="B1572" s="20" t="s">
        <v>30</v>
      </c>
      <c r="C1572" s="20" t="s">
        <v>34</v>
      </c>
      <c r="D1572" s="20" t="s">
        <v>28</v>
      </c>
      <c r="E1572" s="20" t="s">
        <v>24</v>
      </c>
      <c r="F1572" s="20">
        <v>4158.7700000000004</v>
      </c>
      <c r="G1572" s="11">
        <f>VLOOKUP(A1572,'Operational Data'!$A$2:$E$201,3,FALSE)</f>
        <v>36423</v>
      </c>
      <c r="H1572" s="11">
        <f>VLOOKUP(A1572,'Operational Data'!$A$2:$E$201,4,FALSE)</f>
        <v>589.96</v>
      </c>
      <c r="I1572" s="11">
        <f>VLOOKUP(A1572,'Operational Data'!$A$2:$E$201,5,FALSE)</f>
        <v>30.9</v>
      </c>
      <c r="J1572" s="21">
        <f t="shared" si="24"/>
        <v>0.11417977651483954</v>
      </c>
    </row>
    <row r="1573" spans="1:10" x14ac:dyDescent="0.25">
      <c r="A1573" s="20" t="s">
        <v>214</v>
      </c>
      <c r="B1573" s="20" t="s">
        <v>30</v>
      </c>
      <c r="C1573" s="20" t="s">
        <v>13</v>
      </c>
      <c r="D1573" s="20" t="s">
        <v>9</v>
      </c>
      <c r="E1573" s="20" t="s">
        <v>15</v>
      </c>
      <c r="F1573" s="20">
        <v>687.46053629999994</v>
      </c>
      <c r="G1573" s="11">
        <f>VLOOKUP(A1573,'Operational Data'!$A$2:$E$201,3,FALSE)</f>
        <v>79330</v>
      </c>
      <c r="H1573" s="11">
        <f>VLOOKUP(A1573,'Operational Data'!$A$2:$E$201,4,FALSE)</f>
        <v>6075.23</v>
      </c>
      <c r="I1573" s="11">
        <f>VLOOKUP(A1573,'Operational Data'!$A$2:$E$201,5,FALSE)</f>
        <v>83.97</v>
      </c>
      <c r="J1573" s="21">
        <f t="shared" si="24"/>
        <v>8.6658330555905699E-3</v>
      </c>
    </row>
    <row r="1574" spans="1:10" x14ac:dyDescent="0.25">
      <c r="A1574" s="20" t="s">
        <v>86</v>
      </c>
      <c r="B1574" s="20" t="s">
        <v>19</v>
      </c>
      <c r="C1574" s="20" t="s">
        <v>23</v>
      </c>
      <c r="D1574" s="20" t="s">
        <v>14</v>
      </c>
      <c r="E1574" s="20" t="s">
        <v>24</v>
      </c>
      <c r="F1574" s="20">
        <v>2922.31</v>
      </c>
      <c r="G1574" s="11">
        <f>VLOOKUP(A1574,'Operational Data'!$A$2:$E$201,3,FALSE)</f>
        <v>56531</v>
      </c>
      <c r="H1574" s="11">
        <f>VLOOKUP(A1574,'Operational Data'!$A$2:$E$201,4,FALSE)</f>
        <v>8958.07</v>
      </c>
      <c r="I1574" s="11">
        <f>VLOOKUP(A1574,'Operational Data'!$A$2:$E$201,5,FALSE)</f>
        <v>83.44</v>
      </c>
      <c r="J1574" s="21">
        <f t="shared" si="24"/>
        <v>5.1693937839415539E-2</v>
      </c>
    </row>
    <row r="1575" spans="1:10" x14ac:dyDescent="0.25">
      <c r="A1575" s="20" t="s">
        <v>32</v>
      </c>
      <c r="B1575" s="20" t="s">
        <v>7</v>
      </c>
      <c r="C1575" s="20" t="s">
        <v>34</v>
      </c>
      <c r="D1575" s="20" t="s">
        <v>14</v>
      </c>
      <c r="E1575" s="20" t="s">
        <v>15</v>
      </c>
      <c r="F1575" s="20">
        <v>584.58000000000004</v>
      </c>
      <c r="G1575" s="11">
        <f>VLOOKUP(A1575,'Operational Data'!$A$2:$E$201,3,FALSE)</f>
        <v>10933</v>
      </c>
      <c r="H1575" s="11">
        <f>VLOOKUP(A1575,'Operational Data'!$A$2:$E$201,4,FALSE)</f>
        <v>9004.3700000000008</v>
      </c>
      <c r="I1575" s="11">
        <f>VLOOKUP(A1575,'Operational Data'!$A$2:$E$201,5,FALSE)</f>
        <v>26.84</v>
      </c>
      <c r="J1575" s="21">
        <f t="shared" si="24"/>
        <v>5.346931308881369E-2</v>
      </c>
    </row>
    <row r="1576" spans="1:10" x14ac:dyDescent="0.25">
      <c r="A1576" s="20" t="s">
        <v>170</v>
      </c>
      <c r="B1576" s="20" t="s">
        <v>12</v>
      </c>
      <c r="C1576" s="20" t="s">
        <v>13</v>
      </c>
      <c r="D1576" s="20" t="s">
        <v>14</v>
      </c>
      <c r="E1576" s="20" t="s">
        <v>15</v>
      </c>
      <c r="F1576" s="20">
        <v>87.51</v>
      </c>
      <c r="G1576" s="11">
        <f>VLOOKUP(A1576,'Operational Data'!$A$2:$E$201,3,FALSE)</f>
        <v>54133</v>
      </c>
      <c r="H1576" s="11">
        <f>VLOOKUP(A1576,'Operational Data'!$A$2:$E$201,4,FALSE)</f>
        <v>8543.68</v>
      </c>
      <c r="I1576" s="11">
        <f>VLOOKUP(A1576,'Operational Data'!$A$2:$E$201,5,FALSE)</f>
        <v>24</v>
      </c>
      <c r="J1576" s="21">
        <f t="shared" si="24"/>
        <v>1.6165739936822273E-3</v>
      </c>
    </row>
    <row r="1577" spans="1:10" x14ac:dyDescent="0.25">
      <c r="A1577" s="20" t="s">
        <v>132</v>
      </c>
      <c r="B1577" s="20" t="s">
        <v>19</v>
      </c>
      <c r="C1577" s="20" t="s">
        <v>23</v>
      </c>
      <c r="D1577" s="20" t="s">
        <v>14</v>
      </c>
      <c r="E1577" s="20" t="s">
        <v>24</v>
      </c>
      <c r="F1577" s="20">
        <v>3948.45</v>
      </c>
      <c r="G1577" s="11">
        <f>VLOOKUP(A1577,'Operational Data'!$A$2:$E$201,3,FALSE)</f>
        <v>29860</v>
      </c>
      <c r="H1577" s="11">
        <f>VLOOKUP(A1577,'Operational Data'!$A$2:$E$201,4,FALSE)</f>
        <v>3956.23</v>
      </c>
      <c r="I1577" s="11">
        <f>VLOOKUP(A1577,'Operational Data'!$A$2:$E$201,5,FALSE)</f>
        <v>57.5</v>
      </c>
      <c r="J1577" s="21">
        <f t="shared" si="24"/>
        <v>0.13223208305425319</v>
      </c>
    </row>
    <row r="1578" spans="1:10" x14ac:dyDescent="0.25">
      <c r="A1578" s="20" t="s">
        <v>66</v>
      </c>
      <c r="B1578" s="20" t="s">
        <v>30</v>
      </c>
      <c r="C1578" s="20" t="s">
        <v>34</v>
      </c>
      <c r="D1578" s="20" t="s">
        <v>9</v>
      </c>
      <c r="E1578" s="20" t="s">
        <v>15</v>
      </c>
      <c r="F1578" s="20">
        <v>3846.6288559999998</v>
      </c>
      <c r="G1578" s="11">
        <f>VLOOKUP(A1578,'Operational Data'!$A$2:$E$201,3,FALSE)</f>
        <v>98396</v>
      </c>
      <c r="H1578" s="11">
        <f>VLOOKUP(A1578,'Operational Data'!$A$2:$E$201,4,FALSE)</f>
        <v>5174.07</v>
      </c>
      <c r="I1578" s="11">
        <f>VLOOKUP(A1578,'Operational Data'!$A$2:$E$201,5,FALSE)</f>
        <v>63.38</v>
      </c>
      <c r="J1578" s="21">
        <f t="shared" si="24"/>
        <v>3.9093345827066139E-2</v>
      </c>
    </row>
    <row r="1579" spans="1:10" x14ac:dyDescent="0.25">
      <c r="A1579" s="20" t="s">
        <v>213</v>
      </c>
      <c r="B1579" s="20" t="s">
        <v>12</v>
      </c>
      <c r="C1579" s="20" t="s">
        <v>8</v>
      </c>
      <c r="D1579" s="20" t="s">
        <v>9</v>
      </c>
      <c r="E1579" s="20" t="s">
        <v>24</v>
      </c>
      <c r="F1579" s="20">
        <v>4673.8026419999997</v>
      </c>
      <c r="G1579" s="11">
        <f>VLOOKUP(A1579,'Operational Data'!$A$2:$E$201,3,FALSE)</f>
        <v>58622</v>
      </c>
      <c r="H1579" s="11">
        <f>VLOOKUP(A1579,'Operational Data'!$A$2:$E$201,4,FALSE)</f>
        <v>7795.36</v>
      </c>
      <c r="I1579" s="11">
        <f>VLOOKUP(A1579,'Operational Data'!$A$2:$E$201,5,FALSE)</f>
        <v>59.81</v>
      </c>
      <c r="J1579" s="21">
        <f t="shared" si="24"/>
        <v>7.9727792330524377E-2</v>
      </c>
    </row>
    <row r="1580" spans="1:10" ht="30" x14ac:dyDescent="0.25">
      <c r="A1580" s="20" t="s">
        <v>171</v>
      </c>
      <c r="B1580" s="20" t="s">
        <v>17</v>
      </c>
      <c r="C1580" s="20" t="s">
        <v>34</v>
      </c>
      <c r="D1580" s="20" t="s">
        <v>28</v>
      </c>
      <c r="E1580" s="20" t="s">
        <v>24</v>
      </c>
      <c r="F1580" s="20">
        <v>4711.6899999999996</v>
      </c>
      <c r="G1580" s="11">
        <f>VLOOKUP(A1580,'Operational Data'!$A$2:$E$201,3,FALSE)</f>
        <v>24502</v>
      </c>
      <c r="H1580" s="11">
        <f>VLOOKUP(A1580,'Operational Data'!$A$2:$E$201,4,FALSE)</f>
        <v>7466.86</v>
      </c>
      <c r="I1580" s="11">
        <f>VLOOKUP(A1580,'Operational Data'!$A$2:$E$201,5,FALSE)</f>
        <v>88.83</v>
      </c>
      <c r="J1580" s="21">
        <f t="shared" si="24"/>
        <v>0.19229817974042934</v>
      </c>
    </row>
    <row r="1581" spans="1:10" ht="30" x14ac:dyDescent="0.25">
      <c r="A1581" s="20" t="s">
        <v>37</v>
      </c>
      <c r="B1581" s="20" t="s">
        <v>17</v>
      </c>
      <c r="C1581" s="20" t="s">
        <v>13</v>
      </c>
      <c r="D1581" s="20" t="s">
        <v>9</v>
      </c>
      <c r="E1581" s="20" t="s">
        <v>15</v>
      </c>
      <c r="F1581" s="20">
        <v>2670.5212799999999</v>
      </c>
      <c r="G1581" s="11">
        <f>VLOOKUP(A1581,'Operational Data'!$A$2:$E$201,3,FALSE)</f>
        <v>71747</v>
      </c>
      <c r="H1581" s="11">
        <f>VLOOKUP(A1581,'Operational Data'!$A$2:$E$201,4,FALSE)</f>
        <v>9838.66</v>
      </c>
      <c r="I1581" s="11">
        <f>VLOOKUP(A1581,'Operational Data'!$A$2:$E$201,5,FALSE)</f>
        <v>7.25</v>
      </c>
      <c r="J1581" s="21">
        <f t="shared" si="24"/>
        <v>3.7221365074497886E-2</v>
      </c>
    </row>
    <row r="1582" spans="1:10" x14ac:dyDescent="0.25">
      <c r="A1582" s="20" t="s">
        <v>40</v>
      </c>
      <c r="B1582" s="20" t="s">
        <v>19</v>
      </c>
      <c r="C1582" s="20" t="s">
        <v>34</v>
      </c>
      <c r="D1582" s="20" t="s">
        <v>9</v>
      </c>
      <c r="E1582" s="20" t="s">
        <v>15</v>
      </c>
      <c r="F1582" s="20">
        <v>919.40386920000003</v>
      </c>
      <c r="G1582" s="11">
        <f>VLOOKUP(A1582,'Operational Data'!$A$2:$E$201,3,FALSE)</f>
        <v>96474</v>
      </c>
      <c r="H1582" s="11">
        <f>VLOOKUP(A1582,'Operational Data'!$A$2:$E$201,4,FALSE)</f>
        <v>7574.39</v>
      </c>
      <c r="I1582" s="11">
        <f>VLOOKUP(A1582,'Operational Data'!$A$2:$E$201,5,FALSE)</f>
        <v>95.54</v>
      </c>
      <c r="J1582" s="21">
        <f t="shared" si="24"/>
        <v>9.530068922196655E-3</v>
      </c>
    </row>
    <row r="1583" spans="1:10" x14ac:dyDescent="0.25">
      <c r="A1583" s="20" t="s">
        <v>25</v>
      </c>
      <c r="B1583" s="20" t="s">
        <v>19</v>
      </c>
      <c r="C1583" s="20" t="s">
        <v>23</v>
      </c>
      <c r="D1583" s="20" t="s">
        <v>14</v>
      </c>
      <c r="E1583" s="20" t="s">
        <v>24</v>
      </c>
      <c r="F1583" s="20">
        <v>4514.75</v>
      </c>
      <c r="G1583" s="11">
        <f>VLOOKUP(A1583,'Operational Data'!$A$2:$E$201,3,FALSE)</f>
        <v>95306</v>
      </c>
      <c r="H1583" s="11">
        <f>VLOOKUP(A1583,'Operational Data'!$A$2:$E$201,4,FALSE)</f>
        <v>9037.76</v>
      </c>
      <c r="I1583" s="11">
        <f>VLOOKUP(A1583,'Operational Data'!$A$2:$E$201,5,FALSE)</f>
        <v>13.35</v>
      </c>
      <c r="J1583" s="21">
        <f t="shared" si="24"/>
        <v>4.7371099406123433E-2</v>
      </c>
    </row>
    <row r="1584" spans="1:10" ht="30" x14ac:dyDescent="0.25">
      <c r="A1584" s="20" t="s">
        <v>89</v>
      </c>
      <c r="B1584" s="20" t="s">
        <v>17</v>
      </c>
      <c r="C1584" s="20" t="s">
        <v>34</v>
      </c>
      <c r="D1584" s="20" t="s">
        <v>9</v>
      </c>
      <c r="E1584" s="20" t="s">
        <v>15</v>
      </c>
      <c r="F1584" s="20">
        <v>3766.601905</v>
      </c>
      <c r="G1584" s="11">
        <f>VLOOKUP(A1584,'Operational Data'!$A$2:$E$201,3,FALSE)</f>
        <v>36171</v>
      </c>
      <c r="H1584" s="11">
        <f>VLOOKUP(A1584,'Operational Data'!$A$2:$E$201,4,FALSE)</f>
        <v>6864.38</v>
      </c>
      <c r="I1584" s="11">
        <f>VLOOKUP(A1584,'Operational Data'!$A$2:$E$201,5,FALSE)</f>
        <v>37.03</v>
      </c>
      <c r="J1584" s="21">
        <f t="shared" si="24"/>
        <v>0.1041331980039258</v>
      </c>
    </row>
    <row r="1585" spans="1:10" x14ac:dyDescent="0.25">
      <c r="A1585" s="20" t="s">
        <v>192</v>
      </c>
      <c r="B1585" s="20" t="s">
        <v>19</v>
      </c>
      <c r="C1585" s="20" t="s">
        <v>23</v>
      </c>
      <c r="D1585" s="20" t="s">
        <v>28</v>
      </c>
      <c r="E1585" s="20" t="s">
        <v>10</v>
      </c>
      <c r="F1585" s="20">
        <v>730.13</v>
      </c>
      <c r="G1585" s="11">
        <f>VLOOKUP(A1585,'Operational Data'!$A$2:$E$201,3,FALSE)</f>
        <v>43227</v>
      </c>
      <c r="H1585" s="11">
        <f>VLOOKUP(A1585,'Operational Data'!$A$2:$E$201,4,FALSE)</f>
        <v>5199.53</v>
      </c>
      <c r="I1585" s="11">
        <f>VLOOKUP(A1585,'Operational Data'!$A$2:$E$201,5,FALSE)</f>
        <v>44.09</v>
      </c>
      <c r="J1585" s="21">
        <f t="shared" si="24"/>
        <v>1.6890600781918709E-2</v>
      </c>
    </row>
    <row r="1586" spans="1:10" x14ac:dyDescent="0.25">
      <c r="A1586" s="20" t="s">
        <v>213</v>
      </c>
      <c r="B1586" s="20" t="s">
        <v>12</v>
      </c>
      <c r="C1586" s="20" t="s">
        <v>13</v>
      </c>
      <c r="D1586" s="20" t="s">
        <v>14</v>
      </c>
      <c r="E1586" s="20" t="s">
        <v>24</v>
      </c>
      <c r="F1586" s="20">
        <v>2811.95</v>
      </c>
      <c r="G1586" s="11">
        <f>VLOOKUP(A1586,'Operational Data'!$A$2:$E$201,3,FALSE)</f>
        <v>58622</v>
      </c>
      <c r="H1586" s="11">
        <f>VLOOKUP(A1586,'Operational Data'!$A$2:$E$201,4,FALSE)</f>
        <v>7795.36</v>
      </c>
      <c r="I1586" s="11">
        <f>VLOOKUP(A1586,'Operational Data'!$A$2:$E$201,5,FALSE)</f>
        <v>59.81</v>
      </c>
      <c r="J1586" s="21">
        <f t="shared" si="24"/>
        <v>4.7967486609122853E-2</v>
      </c>
    </row>
    <row r="1587" spans="1:10" ht="30" x14ac:dyDescent="0.25">
      <c r="A1587" s="20" t="s">
        <v>37</v>
      </c>
      <c r="B1587" s="20" t="s">
        <v>17</v>
      </c>
      <c r="C1587" s="20" t="s">
        <v>13</v>
      </c>
      <c r="D1587" s="20" t="s">
        <v>9</v>
      </c>
      <c r="E1587" s="20" t="s">
        <v>15</v>
      </c>
      <c r="F1587" s="20">
        <v>5044.2036189999999</v>
      </c>
      <c r="G1587" s="11">
        <f>VLOOKUP(A1587,'Operational Data'!$A$2:$E$201,3,FALSE)</f>
        <v>71747</v>
      </c>
      <c r="H1587" s="11">
        <f>VLOOKUP(A1587,'Operational Data'!$A$2:$E$201,4,FALSE)</f>
        <v>9838.66</v>
      </c>
      <c r="I1587" s="11">
        <f>VLOOKUP(A1587,'Operational Data'!$A$2:$E$201,5,FALSE)</f>
        <v>7.25</v>
      </c>
      <c r="J1587" s="21">
        <f t="shared" si="24"/>
        <v>7.0305429063236086E-2</v>
      </c>
    </row>
    <row r="1588" spans="1:10" x14ac:dyDescent="0.25">
      <c r="A1588" s="20" t="s">
        <v>67</v>
      </c>
      <c r="B1588" s="20" t="s">
        <v>7</v>
      </c>
      <c r="C1588" s="20" t="s">
        <v>8</v>
      </c>
      <c r="D1588" s="20" t="s">
        <v>28</v>
      </c>
      <c r="E1588" s="20" t="s">
        <v>15</v>
      </c>
      <c r="F1588" s="20">
        <v>4074.33</v>
      </c>
      <c r="G1588" s="11">
        <f>VLOOKUP(A1588,'Operational Data'!$A$2:$E$201,3,FALSE)</f>
        <v>70582</v>
      </c>
      <c r="H1588" s="11">
        <f>VLOOKUP(A1588,'Operational Data'!$A$2:$E$201,4,FALSE)</f>
        <v>7517.59</v>
      </c>
      <c r="I1588" s="11">
        <f>VLOOKUP(A1588,'Operational Data'!$A$2:$E$201,5,FALSE)</f>
        <v>95.71</v>
      </c>
      <c r="J1588" s="21">
        <f t="shared" si="24"/>
        <v>5.7724774021705248E-2</v>
      </c>
    </row>
    <row r="1589" spans="1:10" ht="30" x14ac:dyDescent="0.25">
      <c r="A1589" s="20" t="s">
        <v>205</v>
      </c>
      <c r="B1589" s="20" t="s">
        <v>17</v>
      </c>
      <c r="C1589" s="20" t="s">
        <v>8</v>
      </c>
      <c r="D1589" s="20" t="s">
        <v>28</v>
      </c>
      <c r="E1589" s="20" t="s">
        <v>15</v>
      </c>
      <c r="F1589" s="20">
        <v>1048.08</v>
      </c>
      <c r="G1589" s="11">
        <f>VLOOKUP(A1589,'Operational Data'!$A$2:$E$201,3,FALSE)</f>
        <v>52594</v>
      </c>
      <c r="H1589" s="11">
        <f>VLOOKUP(A1589,'Operational Data'!$A$2:$E$201,4,FALSE)</f>
        <v>8715.0400000000009</v>
      </c>
      <c r="I1589" s="11">
        <f>VLOOKUP(A1589,'Operational Data'!$A$2:$E$201,5,FALSE)</f>
        <v>90.54</v>
      </c>
      <c r="J1589" s="21">
        <f t="shared" si="24"/>
        <v>1.9927748412366428E-2</v>
      </c>
    </row>
    <row r="1590" spans="1:10" x14ac:dyDescent="0.25">
      <c r="A1590" s="20" t="s">
        <v>160</v>
      </c>
      <c r="B1590" s="20" t="s">
        <v>30</v>
      </c>
      <c r="C1590" s="20" t="s">
        <v>34</v>
      </c>
      <c r="D1590" s="20" t="s">
        <v>9</v>
      </c>
      <c r="E1590" s="20" t="s">
        <v>15</v>
      </c>
      <c r="F1590" s="20">
        <v>3290.44</v>
      </c>
      <c r="G1590" s="11">
        <f>VLOOKUP(A1590,'Operational Data'!$A$2:$E$201,3,FALSE)</f>
        <v>18341</v>
      </c>
      <c r="H1590" s="11">
        <f>VLOOKUP(A1590,'Operational Data'!$A$2:$E$201,4,FALSE)</f>
        <v>8465.57</v>
      </c>
      <c r="I1590" s="11">
        <f>VLOOKUP(A1590,'Operational Data'!$A$2:$E$201,5,FALSE)</f>
        <v>38.39</v>
      </c>
      <c r="J1590" s="21">
        <f t="shared" si="24"/>
        <v>0.17940352216345892</v>
      </c>
    </row>
    <row r="1591" spans="1:10" x14ac:dyDescent="0.25">
      <c r="A1591" s="20" t="s">
        <v>144</v>
      </c>
      <c r="B1591" s="20" t="s">
        <v>30</v>
      </c>
      <c r="C1591" s="20" t="s">
        <v>13</v>
      </c>
      <c r="D1591" s="20" t="s">
        <v>9</v>
      </c>
      <c r="E1591" s="20" t="s">
        <v>10</v>
      </c>
      <c r="F1591" s="20">
        <v>1966.43</v>
      </c>
      <c r="G1591" s="11">
        <f>VLOOKUP(A1591,'Operational Data'!$A$2:$E$201,3,FALSE)</f>
        <v>11426</v>
      </c>
      <c r="H1591" s="11">
        <f>VLOOKUP(A1591,'Operational Data'!$A$2:$E$201,4,FALSE)</f>
        <v>4439.5600000000004</v>
      </c>
      <c r="I1591" s="11">
        <f>VLOOKUP(A1591,'Operational Data'!$A$2:$E$201,5,FALSE)</f>
        <v>52.71</v>
      </c>
      <c r="J1591" s="21">
        <f t="shared" si="24"/>
        <v>0.17210134780325573</v>
      </c>
    </row>
    <row r="1592" spans="1:10" x14ac:dyDescent="0.25">
      <c r="A1592" s="20" t="s">
        <v>97</v>
      </c>
      <c r="B1592" s="20" t="s">
        <v>7</v>
      </c>
      <c r="C1592" s="20" t="s">
        <v>8</v>
      </c>
      <c r="D1592" s="20" t="s">
        <v>28</v>
      </c>
      <c r="E1592" s="20" t="s">
        <v>15</v>
      </c>
      <c r="F1592" s="20">
        <v>2842.86</v>
      </c>
      <c r="G1592" s="11">
        <f>VLOOKUP(A1592,'Operational Data'!$A$2:$E$201,3,FALSE)</f>
        <v>78624</v>
      </c>
      <c r="H1592" s="11">
        <f>VLOOKUP(A1592,'Operational Data'!$A$2:$E$201,4,FALSE)</f>
        <v>2373.27</v>
      </c>
      <c r="I1592" s="11">
        <f>VLOOKUP(A1592,'Operational Data'!$A$2:$E$201,5,FALSE)</f>
        <v>25.07</v>
      </c>
      <c r="J1592" s="21">
        <f t="shared" si="24"/>
        <v>3.6157661782661783E-2</v>
      </c>
    </row>
    <row r="1593" spans="1:10" x14ac:dyDescent="0.25">
      <c r="A1593" s="20" t="s">
        <v>189</v>
      </c>
      <c r="B1593" s="20" t="s">
        <v>19</v>
      </c>
      <c r="C1593" s="20" t="s">
        <v>13</v>
      </c>
      <c r="D1593" s="20" t="s">
        <v>14</v>
      </c>
      <c r="E1593" s="20" t="s">
        <v>15</v>
      </c>
      <c r="F1593" s="20">
        <v>2556.0500000000002</v>
      </c>
      <c r="G1593" s="11">
        <f>VLOOKUP(A1593,'Operational Data'!$A$2:$E$201,3,FALSE)</f>
        <v>27681</v>
      </c>
      <c r="H1593" s="11">
        <f>VLOOKUP(A1593,'Operational Data'!$A$2:$E$201,4,FALSE)</f>
        <v>928.26</v>
      </c>
      <c r="I1593" s="11">
        <f>VLOOKUP(A1593,'Operational Data'!$A$2:$E$201,5,FALSE)</f>
        <v>44.97</v>
      </c>
      <c r="J1593" s="21">
        <f t="shared" si="24"/>
        <v>9.2339510855821691E-2</v>
      </c>
    </row>
    <row r="1594" spans="1:10" x14ac:dyDescent="0.25">
      <c r="A1594" s="20" t="s">
        <v>146</v>
      </c>
      <c r="B1594" s="20" t="s">
        <v>7</v>
      </c>
      <c r="C1594" s="20" t="s">
        <v>23</v>
      </c>
      <c r="D1594" s="20" t="s">
        <v>28</v>
      </c>
      <c r="E1594" s="20" t="s">
        <v>15</v>
      </c>
      <c r="F1594" s="20">
        <v>3688.09</v>
      </c>
      <c r="G1594" s="11">
        <f>VLOOKUP(A1594,'Operational Data'!$A$2:$E$201,3,FALSE)</f>
        <v>14170</v>
      </c>
      <c r="H1594" s="11">
        <f>VLOOKUP(A1594,'Operational Data'!$A$2:$E$201,4,FALSE)</f>
        <v>5455.23</v>
      </c>
      <c r="I1594" s="11">
        <f>VLOOKUP(A1594,'Operational Data'!$A$2:$E$201,5,FALSE)</f>
        <v>25.46</v>
      </c>
      <c r="J1594" s="21">
        <f t="shared" si="24"/>
        <v>0.26027452364149611</v>
      </c>
    </row>
    <row r="1595" spans="1:10" x14ac:dyDescent="0.25">
      <c r="A1595" s="20" t="s">
        <v>56</v>
      </c>
      <c r="B1595" s="20" t="s">
        <v>19</v>
      </c>
      <c r="C1595" s="20" t="s">
        <v>8</v>
      </c>
      <c r="D1595" s="20" t="s">
        <v>9</v>
      </c>
      <c r="E1595" s="20" t="s">
        <v>10</v>
      </c>
      <c r="F1595" s="20">
        <v>3222.3519350000001</v>
      </c>
      <c r="G1595" s="11">
        <f>VLOOKUP(A1595,'Operational Data'!$A$2:$E$201,3,FALSE)</f>
        <v>43747</v>
      </c>
      <c r="H1595" s="11">
        <f>VLOOKUP(A1595,'Operational Data'!$A$2:$E$201,4,FALSE)</f>
        <v>3453.48</v>
      </c>
      <c r="I1595" s="11">
        <f>VLOOKUP(A1595,'Operational Data'!$A$2:$E$201,5,FALSE)</f>
        <v>98.78</v>
      </c>
      <c r="J1595" s="21">
        <f t="shared" si="24"/>
        <v>7.3658809404073419E-2</v>
      </c>
    </row>
    <row r="1596" spans="1:10" x14ac:dyDescent="0.25">
      <c r="A1596" s="20" t="s">
        <v>85</v>
      </c>
      <c r="B1596" s="20" t="s">
        <v>30</v>
      </c>
      <c r="C1596" s="20" t="s">
        <v>23</v>
      </c>
      <c r="D1596" s="20" t="s">
        <v>14</v>
      </c>
      <c r="E1596" s="20" t="s">
        <v>24</v>
      </c>
      <c r="F1596" s="20">
        <v>475.84</v>
      </c>
      <c r="G1596" s="11">
        <f>VLOOKUP(A1596,'Operational Data'!$A$2:$E$201,3,FALSE)</f>
        <v>45519</v>
      </c>
      <c r="H1596" s="11">
        <f>VLOOKUP(A1596,'Operational Data'!$A$2:$E$201,4,FALSE)</f>
        <v>7987.69</v>
      </c>
      <c r="I1596" s="11">
        <f>VLOOKUP(A1596,'Operational Data'!$A$2:$E$201,5,FALSE)</f>
        <v>10.86</v>
      </c>
      <c r="J1596" s="21">
        <f t="shared" si="24"/>
        <v>1.0453656714778443E-2</v>
      </c>
    </row>
    <row r="1597" spans="1:10" x14ac:dyDescent="0.25">
      <c r="A1597" s="20" t="s">
        <v>200</v>
      </c>
      <c r="B1597" s="20" t="s">
        <v>30</v>
      </c>
      <c r="C1597" s="20" t="s">
        <v>8</v>
      </c>
      <c r="D1597" s="20" t="s">
        <v>14</v>
      </c>
      <c r="E1597" s="20" t="s">
        <v>15</v>
      </c>
      <c r="F1597" s="20">
        <v>258.93</v>
      </c>
      <c r="G1597" s="11">
        <f>VLOOKUP(A1597,'Operational Data'!$A$2:$E$201,3,FALSE)</f>
        <v>46863</v>
      </c>
      <c r="H1597" s="11">
        <f>VLOOKUP(A1597,'Operational Data'!$A$2:$E$201,4,FALSE)</f>
        <v>6762.98</v>
      </c>
      <c r="I1597" s="11">
        <f>VLOOKUP(A1597,'Operational Data'!$A$2:$E$201,5,FALSE)</f>
        <v>23.45</v>
      </c>
      <c r="J1597" s="21">
        <f t="shared" si="24"/>
        <v>5.5252544651430771E-3</v>
      </c>
    </row>
    <row r="1598" spans="1:10" x14ac:dyDescent="0.25">
      <c r="A1598" s="20" t="s">
        <v>123</v>
      </c>
      <c r="B1598" s="20" t="s">
        <v>30</v>
      </c>
      <c r="C1598" s="20" t="s">
        <v>8</v>
      </c>
      <c r="D1598" s="20" t="s">
        <v>9</v>
      </c>
      <c r="E1598" s="20" t="s">
        <v>24</v>
      </c>
      <c r="F1598" s="20">
        <v>850.45</v>
      </c>
      <c r="G1598" s="11">
        <f>VLOOKUP(A1598,'Operational Data'!$A$2:$E$201,3,FALSE)</f>
        <v>73977</v>
      </c>
      <c r="H1598" s="11">
        <f>VLOOKUP(A1598,'Operational Data'!$A$2:$E$201,4,FALSE)</f>
        <v>1646.75</v>
      </c>
      <c r="I1598" s="11">
        <f>VLOOKUP(A1598,'Operational Data'!$A$2:$E$201,5,FALSE)</f>
        <v>43.77</v>
      </c>
      <c r="J1598" s="21">
        <f t="shared" si="24"/>
        <v>1.149614069237736E-2</v>
      </c>
    </row>
    <row r="1599" spans="1:10" x14ac:dyDescent="0.25">
      <c r="A1599" s="20" t="s">
        <v>150</v>
      </c>
      <c r="B1599" s="20" t="s">
        <v>30</v>
      </c>
      <c r="C1599" s="20" t="s">
        <v>34</v>
      </c>
      <c r="D1599" s="20" t="s">
        <v>14</v>
      </c>
      <c r="E1599" s="20" t="s">
        <v>24</v>
      </c>
      <c r="F1599" s="20">
        <v>1887.87</v>
      </c>
      <c r="G1599" s="11">
        <f>VLOOKUP(A1599,'Operational Data'!$A$2:$E$201,3,FALSE)</f>
        <v>98356</v>
      </c>
      <c r="H1599" s="11">
        <f>VLOOKUP(A1599,'Operational Data'!$A$2:$E$201,4,FALSE)</f>
        <v>6968.69</v>
      </c>
      <c r="I1599" s="11">
        <f>VLOOKUP(A1599,'Operational Data'!$A$2:$E$201,5,FALSE)</f>
        <v>81.72</v>
      </c>
      <c r="J1599" s="21">
        <f t="shared" si="24"/>
        <v>1.9194253528000325E-2</v>
      </c>
    </row>
    <row r="1600" spans="1:10" x14ac:dyDescent="0.25">
      <c r="A1600" s="20" t="s">
        <v>100</v>
      </c>
      <c r="B1600" s="20" t="s">
        <v>7</v>
      </c>
      <c r="C1600" s="20" t="s">
        <v>34</v>
      </c>
      <c r="D1600" s="20" t="s">
        <v>28</v>
      </c>
      <c r="E1600" s="20" t="s">
        <v>24</v>
      </c>
      <c r="F1600" s="20">
        <v>533.01</v>
      </c>
      <c r="G1600" s="11">
        <f>VLOOKUP(A1600,'Operational Data'!$A$2:$E$201,3,FALSE)</f>
        <v>17468</v>
      </c>
      <c r="H1600" s="11">
        <f>VLOOKUP(A1600,'Operational Data'!$A$2:$E$201,4,FALSE)</f>
        <v>6359.73</v>
      </c>
      <c r="I1600" s="11">
        <f>VLOOKUP(A1600,'Operational Data'!$A$2:$E$201,5,FALSE)</f>
        <v>5.22</v>
      </c>
      <c r="J1600" s="21">
        <f t="shared" si="24"/>
        <v>3.0513510419051981E-2</v>
      </c>
    </row>
    <row r="1601" spans="1:10" x14ac:dyDescent="0.25">
      <c r="A1601" s="20" t="s">
        <v>132</v>
      </c>
      <c r="B1601" s="20" t="s">
        <v>19</v>
      </c>
      <c r="C1601" s="20" t="s">
        <v>8</v>
      </c>
      <c r="D1601" s="20" t="s">
        <v>28</v>
      </c>
      <c r="E1601" s="20" t="s">
        <v>10</v>
      </c>
      <c r="F1601" s="20">
        <v>572.46</v>
      </c>
      <c r="G1601" s="11">
        <f>VLOOKUP(A1601,'Operational Data'!$A$2:$E$201,3,FALSE)</f>
        <v>29860</v>
      </c>
      <c r="H1601" s="11">
        <f>VLOOKUP(A1601,'Operational Data'!$A$2:$E$201,4,FALSE)</f>
        <v>3956.23</v>
      </c>
      <c r="I1601" s="11">
        <f>VLOOKUP(A1601,'Operational Data'!$A$2:$E$201,5,FALSE)</f>
        <v>57.5</v>
      </c>
      <c r="J1601" s="21">
        <f t="shared" si="24"/>
        <v>1.9171466845277964E-2</v>
      </c>
    </row>
    <row r="1602" spans="1:10" ht="30" x14ac:dyDescent="0.25">
      <c r="A1602" s="20" t="s">
        <v>20</v>
      </c>
      <c r="B1602" s="20" t="s">
        <v>17</v>
      </c>
      <c r="C1602" s="20" t="s">
        <v>13</v>
      </c>
      <c r="D1602" s="20" t="s">
        <v>28</v>
      </c>
      <c r="E1602" s="20" t="s">
        <v>24</v>
      </c>
      <c r="F1602" s="20">
        <v>4635.99</v>
      </c>
      <c r="G1602" s="11">
        <f>VLOOKUP(A1602,'Operational Data'!$A$2:$E$201,3,FALSE)</f>
        <v>29895</v>
      </c>
      <c r="H1602" s="11">
        <f>VLOOKUP(A1602,'Operational Data'!$A$2:$E$201,4,FALSE)</f>
        <v>1631.08</v>
      </c>
      <c r="I1602" s="11">
        <f>VLOOKUP(A1602,'Operational Data'!$A$2:$E$201,5,FALSE)</f>
        <v>39.93</v>
      </c>
      <c r="J1602" s="21">
        <f t="shared" si="24"/>
        <v>0.15507576517812344</v>
      </c>
    </row>
    <row r="1603" spans="1:10" x14ac:dyDescent="0.25">
      <c r="A1603" s="20" t="s">
        <v>112</v>
      </c>
      <c r="B1603" s="20" t="s">
        <v>30</v>
      </c>
      <c r="C1603" s="20" t="s">
        <v>34</v>
      </c>
      <c r="D1603" s="20" t="s">
        <v>14</v>
      </c>
      <c r="E1603" s="20" t="s">
        <v>24</v>
      </c>
      <c r="F1603" s="20">
        <v>4891.97</v>
      </c>
      <c r="G1603" s="11">
        <f>VLOOKUP(A1603,'Operational Data'!$A$2:$E$201,3,FALSE)</f>
        <v>43294</v>
      </c>
      <c r="H1603" s="11">
        <f>VLOOKUP(A1603,'Operational Data'!$A$2:$E$201,4,FALSE)</f>
        <v>3802.13</v>
      </c>
      <c r="I1603" s="11">
        <f>VLOOKUP(A1603,'Operational Data'!$A$2:$E$201,5,FALSE)</f>
        <v>45.84</v>
      </c>
      <c r="J1603" s="21">
        <f t="shared" ref="J1603:J1666" si="25">F1603/G1603</f>
        <v>0.11299417933200906</v>
      </c>
    </row>
    <row r="1604" spans="1:10" x14ac:dyDescent="0.25">
      <c r="A1604" s="20" t="s">
        <v>182</v>
      </c>
      <c r="B1604" s="20" t="s">
        <v>12</v>
      </c>
      <c r="C1604" s="20" t="s">
        <v>23</v>
      </c>
      <c r="D1604" s="20" t="s">
        <v>28</v>
      </c>
      <c r="E1604" s="20" t="s">
        <v>10</v>
      </c>
      <c r="F1604" s="20">
        <v>1184.1400000000001</v>
      </c>
      <c r="G1604" s="11">
        <f>VLOOKUP(A1604,'Operational Data'!$A$2:$E$201,3,FALSE)</f>
        <v>21081</v>
      </c>
      <c r="H1604" s="11">
        <f>VLOOKUP(A1604,'Operational Data'!$A$2:$E$201,4,FALSE)</f>
        <v>9001.77</v>
      </c>
      <c r="I1604" s="11">
        <f>VLOOKUP(A1604,'Operational Data'!$A$2:$E$201,5,FALSE)</f>
        <v>49.27</v>
      </c>
      <c r="J1604" s="21">
        <f t="shared" si="25"/>
        <v>5.6170959631896028E-2</v>
      </c>
    </row>
    <row r="1605" spans="1:10" x14ac:dyDescent="0.25">
      <c r="A1605" s="20" t="s">
        <v>123</v>
      </c>
      <c r="B1605" s="20" t="s">
        <v>30</v>
      </c>
      <c r="C1605" s="20" t="s">
        <v>13</v>
      </c>
      <c r="D1605" s="20" t="s">
        <v>14</v>
      </c>
      <c r="E1605" s="20" t="s">
        <v>15</v>
      </c>
      <c r="F1605" s="20">
        <v>802.03</v>
      </c>
      <c r="G1605" s="11">
        <f>VLOOKUP(A1605,'Operational Data'!$A$2:$E$201,3,FALSE)</f>
        <v>73977</v>
      </c>
      <c r="H1605" s="11">
        <f>VLOOKUP(A1605,'Operational Data'!$A$2:$E$201,4,FALSE)</f>
        <v>1646.75</v>
      </c>
      <c r="I1605" s="11">
        <f>VLOOKUP(A1605,'Operational Data'!$A$2:$E$201,5,FALSE)</f>
        <v>43.77</v>
      </c>
      <c r="J1605" s="21">
        <f t="shared" si="25"/>
        <v>1.0841612933749679E-2</v>
      </c>
    </row>
    <row r="1606" spans="1:10" x14ac:dyDescent="0.25">
      <c r="A1606" s="20" t="s">
        <v>54</v>
      </c>
      <c r="B1606" s="20" t="s">
        <v>12</v>
      </c>
      <c r="C1606" s="20" t="s">
        <v>13</v>
      </c>
      <c r="D1606" s="20" t="s">
        <v>9</v>
      </c>
      <c r="E1606" s="20" t="s">
        <v>10</v>
      </c>
      <c r="F1606" s="20">
        <v>2408.4791700000001</v>
      </c>
      <c r="G1606" s="11">
        <f>VLOOKUP(A1606,'Operational Data'!$A$2:$E$201,3,FALSE)</f>
        <v>58111</v>
      </c>
      <c r="H1606" s="11">
        <f>VLOOKUP(A1606,'Operational Data'!$A$2:$E$201,4,FALSE)</f>
        <v>4610.8999999999996</v>
      </c>
      <c r="I1606" s="11">
        <f>VLOOKUP(A1606,'Operational Data'!$A$2:$E$201,5,FALSE)</f>
        <v>21.53</v>
      </c>
      <c r="J1606" s="21">
        <f t="shared" si="25"/>
        <v>4.1446183510867138E-2</v>
      </c>
    </row>
    <row r="1607" spans="1:10" x14ac:dyDescent="0.25">
      <c r="A1607" s="20" t="s">
        <v>161</v>
      </c>
      <c r="B1607" s="20" t="s">
        <v>7</v>
      </c>
      <c r="C1607" s="20" t="s">
        <v>13</v>
      </c>
      <c r="D1607" s="20" t="s">
        <v>9</v>
      </c>
      <c r="E1607" s="20" t="s">
        <v>15</v>
      </c>
      <c r="F1607" s="20">
        <v>3733.1564819999999</v>
      </c>
      <c r="G1607" s="11">
        <f>VLOOKUP(A1607,'Operational Data'!$A$2:$E$201,3,FALSE)</f>
        <v>15788</v>
      </c>
      <c r="H1607" s="11">
        <f>VLOOKUP(A1607,'Operational Data'!$A$2:$E$201,4,FALSE)</f>
        <v>1824.14</v>
      </c>
      <c r="I1607" s="11">
        <f>VLOOKUP(A1607,'Operational Data'!$A$2:$E$201,5,FALSE)</f>
        <v>52.78</v>
      </c>
      <c r="J1607" s="21">
        <f t="shared" si="25"/>
        <v>0.23645531302254877</v>
      </c>
    </row>
    <row r="1608" spans="1:10" x14ac:dyDescent="0.25">
      <c r="A1608" s="20" t="s">
        <v>165</v>
      </c>
      <c r="B1608" s="20" t="s">
        <v>7</v>
      </c>
      <c r="C1608" s="20" t="s">
        <v>23</v>
      </c>
      <c r="D1608" s="20" t="s">
        <v>9</v>
      </c>
      <c r="E1608" s="20" t="s">
        <v>24</v>
      </c>
      <c r="F1608" s="20">
        <v>163.45412289999999</v>
      </c>
      <c r="G1608" s="11">
        <f>VLOOKUP(A1608,'Operational Data'!$A$2:$E$201,3,FALSE)</f>
        <v>32991</v>
      </c>
      <c r="H1608" s="11">
        <f>VLOOKUP(A1608,'Operational Data'!$A$2:$E$201,4,FALSE)</f>
        <v>8540.14</v>
      </c>
      <c r="I1608" s="11">
        <f>VLOOKUP(A1608,'Operational Data'!$A$2:$E$201,5,FALSE)</f>
        <v>37.75</v>
      </c>
      <c r="J1608" s="21">
        <f t="shared" si="25"/>
        <v>4.9545064684307838E-3</v>
      </c>
    </row>
    <row r="1609" spans="1:10" x14ac:dyDescent="0.25">
      <c r="A1609" s="20" t="s">
        <v>125</v>
      </c>
      <c r="B1609" s="20" t="s">
        <v>7</v>
      </c>
      <c r="C1609" s="20" t="s">
        <v>23</v>
      </c>
      <c r="D1609" s="20" t="s">
        <v>14</v>
      </c>
      <c r="E1609" s="20" t="s">
        <v>15</v>
      </c>
      <c r="F1609" s="20">
        <v>106.8</v>
      </c>
      <c r="G1609" s="11">
        <f>VLOOKUP(A1609,'Operational Data'!$A$2:$E$201,3,FALSE)</f>
        <v>56392</v>
      </c>
      <c r="H1609" s="11">
        <f>VLOOKUP(A1609,'Operational Data'!$A$2:$E$201,4,FALSE)</f>
        <v>5703.76</v>
      </c>
      <c r="I1609" s="11">
        <f>VLOOKUP(A1609,'Operational Data'!$A$2:$E$201,5,FALSE)</f>
        <v>23.04</v>
      </c>
      <c r="J1609" s="21">
        <f t="shared" si="25"/>
        <v>1.8938856575400765E-3</v>
      </c>
    </row>
    <row r="1610" spans="1:10" x14ac:dyDescent="0.25">
      <c r="A1610" s="20" t="s">
        <v>122</v>
      </c>
      <c r="B1610" s="20" t="s">
        <v>19</v>
      </c>
      <c r="C1610" s="20" t="s">
        <v>34</v>
      </c>
      <c r="D1610" s="20" t="s">
        <v>14</v>
      </c>
      <c r="E1610" s="20" t="s">
        <v>15</v>
      </c>
      <c r="F1610" s="20">
        <v>2626.92</v>
      </c>
      <c r="G1610" s="11">
        <f>VLOOKUP(A1610,'Operational Data'!$A$2:$E$201,3,FALSE)</f>
        <v>95962</v>
      </c>
      <c r="H1610" s="11">
        <f>VLOOKUP(A1610,'Operational Data'!$A$2:$E$201,4,FALSE)</f>
        <v>524.72</v>
      </c>
      <c r="I1610" s="11">
        <f>VLOOKUP(A1610,'Operational Data'!$A$2:$E$201,5,FALSE)</f>
        <v>49.55</v>
      </c>
      <c r="J1610" s="21">
        <f t="shared" si="25"/>
        <v>2.7374585773535357E-2</v>
      </c>
    </row>
    <row r="1611" spans="1:10" x14ac:dyDescent="0.25">
      <c r="A1611" s="20" t="s">
        <v>39</v>
      </c>
      <c r="B1611" s="20" t="s">
        <v>7</v>
      </c>
      <c r="C1611" s="20" t="s">
        <v>8</v>
      </c>
      <c r="D1611" s="20" t="s">
        <v>14</v>
      </c>
      <c r="E1611" s="20" t="s">
        <v>15</v>
      </c>
      <c r="F1611" s="20">
        <v>4932.7299999999996</v>
      </c>
      <c r="G1611" s="11">
        <f>VLOOKUP(A1611,'Operational Data'!$A$2:$E$201,3,FALSE)</f>
        <v>80904</v>
      </c>
      <c r="H1611" s="11">
        <f>VLOOKUP(A1611,'Operational Data'!$A$2:$E$201,4,FALSE)</f>
        <v>3263.09</v>
      </c>
      <c r="I1611" s="11">
        <f>VLOOKUP(A1611,'Operational Data'!$A$2:$E$201,5,FALSE)</f>
        <v>58.37</v>
      </c>
      <c r="J1611" s="21">
        <f t="shared" si="25"/>
        <v>6.0970162167507162E-2</v>
      </c>
    </row>
    <row r="1612" spans="1:10" x14ac:dyDescent="0.25">
      <c r="A1612" s="20" t="s">
        <v>198</v>
      </c>
      <c r="B1612" s="20" t="s">
        <v>12</v>
      </c>
      <c r="C1612" s="20" t="s">
        <v>8</v>
      </c>
      <c r="D1612" s="20" t="s">
        <v>28</v>
      </c>
      <c r="E1612" s="20" t="s">
        <v>24</v>
      </c>
      <c r="F1612" s="20">
        <v>2097.4</v>
      </c>
      <c r="G1612" s="11">
        <f>VLOOKUP(A1612,'Operational Data'!$A$2:$E$201,3,FALSE)</f>
        <v>58113</v>
      </c>
      <c r="H1612" s="11">
        <f>VLOOKUP(A1612,'Operational Data'!$A$2:$E$201,4,FALSE)</f>
        <v>6382.12</v>
      </c>
      <c r="I1612" s="11">
        <f>VLOOKUP(A1612,'Operational Data'!$A$2:$E$201,5,FALSE)</f>
        <v>56.66</v>
      </c>
      <c r="J1612" s="21">
        <f t="shared" si="25"/>
        <v>3.6091752275738652E-2</v>
      </c>
    </row>
    <row r="1613" spans="1:10" x14ac:dyDescent="0.25">
      <c r="A1613" s="20" t="s">
        <v>189</v>
      </c>
      <c r="B1613" s="20" t="s">
        <v>19</v>
      </c>
      <c r="C1613" s="20" t="s">
        <v>13</v>
      </c>
      <c r="D1613" s="20" t="s">
        <v>9</v>
      </c>
      <c r="E1613" s="20" t="s">
        <v>15</v>
      </c>
      <c r="F1613" s="20">
        <v>3185.28</v>
      </c>
      <c r="G1613" s="11">
        <f>VLOOKUP(A1613,'Operational Data'!$A$2:$E$201,3,FALSE)</f>
        <v>27681</v>
      </c>
      <c r="H1613" s="11">
        <f>VLOOKUP(A1613,'Operational Data'!$A$2:$E$201,4,FALSE)</f>
        <v>928.26</v>
      </c>
      <c r="I1613" s="11">
        <f>VLOOKUP(A1613,'Operational Data'!$A$2:$E$201,5,FALSE)</f>
        <v>44.97</v>
      </c>
      <c r="J1613" s="21">
        <f t="shared" si="25"/>
        <v>0.11507098731982227</v>
      </c>
    </row>
    <row r="1614" spans="1:10" x14ac:dyDescent="0.25">
      <c r="A1614" s="20" t="s">
        <v>124</v>
      </c>
      <c r="B1614" s="20" t="s">
        <v>12</v>
      </c>
      <c r="C1614" s="20" t="s">
        <v>34</v>
      </c>
      <c r="D1614" s="20" t="s">
        <v>14</v>
      </c>
      <c r="E1614" s="20" t="s">
        <v>10</v>
      </c>
      <c r="F1614" s="20">
        <v>3081.68</v>
      </c>
      <c r="G1614" s="11">
        <f>VLOOKUP(A1614,'Operational Data'!$A$2:$E$201,3,FALSE)</f>
        <v>47491</v>
      </c>
      <c r="H1614" s="11">
        <f>VLOOKUP(A1614,'Operational Data'!$A$2:$E$201,4,FALSE)</f>
        <v>5781.05</v>
      </c>
      <c r="I1614" s="11">
        <f>VLOOKUP(A1614,'Operational Data'!$A$2:$E$201,5,FALSE)</f>
        <v>92.18</v>
      </c>
      <c r="J1614" s="21">
        <f t="shared" si="25"/>
        <v>6.4889768587732405E-2</v>
      </c>
    </row>
    <row r="1615" spans="1:10" x14ac:dyDescent="0.25">
      <c r="A1615" s="20" t="s">
        <v>209</v>
      </c>
      <c r="B1615" s="20" t="s">
        <v>7</v>
      </c>
      <c r="C1615" s="20" t="s">
        <v>13</v>
      </c>
      <c r="D1615" s="20" t="s">
        <v>28</v>
      </c>
      <c r="E1615" s="20" t="s">
        <v>15</v>
      </c>
      <c r="F1615" s="20">
        <v>1531.36</v>
      </c>
      <c r="G1615" s="11">
        <f>VLOOKUP(A1615,'Operational Data'!$A$2:$E$201,3,FALSE)</f>
        <v>52357</v>
      </c>
      <c r="H1615" s="11">
        <f>VLOOKUP(A1615,'Operational Data'!$A$2:$E$201,4,FALSE)</f>
        <v>5643.16</v>
      </c>
      <c r="I1615" s="11">
        <f>VLOOKUP(A1615,'Operational Data'!$A$2:$E$201,5,FALSE)</f>
        <v>37.130000000000003</v>
      </c>
      <c r="J1615" s="21">
        <f t="shared" si="25"/>
        <v>2.924842905437668E-2</v>
      </c>
    </row>
    <row r="1616" spans="1:10" x14ac:dyDescent="0.25">
      <c r="A1616" s="20" t="s">
        <v>202</v>
      </c>
      <c r="B1616" s="20" t="s">
        <v>12</v>
      </c>
      <c r="C1616" s="20" t="s">
        <v>34</v>
      </c>
      <c r="D1616" s="20" t="s">
        <v>14</v>
      </c>
      <c r="E1616" s="20" t="s">
        <v>10</v>
      </c>
      <c r="F1616" s="20">
        <v>1564.12</v>
      </c>
      <c r="G1616" s="11">
        <f>VLOOKUP(A1616,'Operational Data'!$A$2:$E$201,3,FALSE)</f>
        <v>28400</v>
      </c>
      <c r="H1616" s="11">
        <f>VLOOKUP(A1616,'Operational Data'!$A$2:$E$201,4,FALSE)</f>
        <v>3056.67</v>
      </c>
      <c r="I1616" s="11">
        <f>VLOOKUP(A1616,'Operational Data'!$A$2:$E$201,5,FALSE)</f>
        <v>52.68</v>
      </c>
      <c r="J1616" s="21">
        <f t="shared" si="25"/>
        <v>5.5074647887323941E-2</v>
      </c>
    </row>
    <row r="1617" spans="1:10" x14ac:dyDescent="0.25">
      <c r="A1617" s="20" t="s">
        <v>101</v>
      </c>
      <c r="B1617" s="20" t="s">
        <v>19</v>
      </c>
      <c r="C1617" s="20" t="s">
        <v>23</v>
      </c>
      <c r="D1617" s="20" t="s">
        <v>28</v>
      </c>
      <c r="E1617" s="20" t="s">
        <v>10</v>
      </c>
      <c r="F1617" s="20">
        <v>3016.94</v>
      </c>
      <c r="G1617" s="11">
        <f>VLOOKUP(A1617,'Operational Data'!$A$2:$E$201,3,FALSE)</f>
        <v>39050</v>
      </c>
      <c r="H1617" s="11">
        <f>VLOOKUP(A1617,'Operational Data'!$A$2:$E$201,4,FALSE)</f>
        <v>5885.73</v>
      </c>
      <c r="I1617" s="11">
        <f>VLOOKUP(A1617,'Operational Data'!$A$2:$E$201,5,FALSE)</f>
        <v>93.04</v>
      </c>
      <c r="J1617" s="21">
        <f t="shared" si="25"/>
        <v>7.72583866837388E-2</v>
      </c>
    </row>
    <row r="1618" spans="1:10" x14ac:dyDescent="0.25">
      <c r="A1618" s="20" t="s">
        <v>56</v>
      </c>
      <c r="B1618" s="20" t="s">
        <v>19</v>
      </c>
      <c r="C1618" s="20" t="s">
        <v>34</v>
      </c>
      <c r="D1618" s="20" t="s">
        <v>9</v>
      </c>
      <c r="E1618" s="20" t="s">
        <v>15</v>
      </c>
      <c r="F1618" s="20">
        <v>3853.1870269999999</v>
      </c>
      <c r="G1618" s="11">
        <f>VLOOKUP(A1618,'Operational Data'!$A$2:$E$201,3,FALSE)</f>
        <v>43747</v>
      </c>
      <c r="H1618" s="11">
        <f>VLOOKUP(A1618,'Operational Data'!$A$2:$E$201,4,FALSE)</f>
        <v>3453.48</v>
      </c>
      <c r="I1618" s="11">
        <f>VLOOKUP(A1618,'Operational Data'!$A$2:$E$201,5,FALSE)</f>
        <v>98.78</v>
      </c>
      <c r="J1618" s="21">
        <f t="shared" si="25"/>
        <v>8.807888602647039E-2</v>
      </c>
    </row>
    <row r="1619" spans="1:10" ht="30" x14ac:dyDescent="0.25">
      <c r="A1619" s="20" t="s">
        <v>171</v>
      </c>
      <c r="B1619" s="20" t="s">
        <v>17</v>
      </c>
      <c r="C1619" s="20" t="s">
        <v>23</v>
      </c>
      <c r="D1619" s="20" t="s">
        <v>28</v>
      </c>
      <c r="E1619" s="20" t="s">
        <v>10</v>
      </c>
      <c r="F1619" s="20">
        <v>459.36</v>
      </c>
      <c r="G1619" s="11">
        <f>VLOOKUP(A1619,'Operational Data'!$A$2:$E$201,3,FALSE)</f>
        <v>24502</v>
      </c>
      <c r="H1619" s="11">
        <f>VLOOKUP(A1619,'Operational Data'!$A$2:$E$201,4,FALSE)</f>
        <v>7466.86</v>
      </c>
      <c r="I1619" s="11">
        <f>VLOOKUP(A1619,'Operational Data'!$A$2:$E$201,5,FALSE)</f>
        <v>88.83</v>
      </c>
      <c r="J1619" s="21">
        <f t="shared" si="25"/>
        <v>1.874785731776998E-2</v>
      </c>
    </row>
    <row r="1620" spans="1:10" ht="30" x14ac:dyDescent="0.25">
      <c r="A1620" s="20" t="s">
        <v>216</v>
      </c>
      <c r="B1620" s="20" t="s">
        <v>17</v>
      </c>
      <c r="C1620" s="20" t="s">
        <v>23</v>
      </c>
      <c r="D1620" s="20" t="s">
        <v>14</v>
      </c>
      <c r="E1620" s="20" t="s">
        <v>15</v>
      </c>
      <c r="F1620" s="20">
        <v>2792.22</v>
      </c>
      <c r="G1620" s="11">
        <f>VLOOKUP(A1620,'Operational Data'!$A$2:$E$201,3,FALSE)</f>
        <v>13302</v>
      </c>
      <c r="H1620" s="11">
        <f>VLOOKUP(A1620,'Operational Data'!$A$2:$E$201,4,FALSE)</f>
        <v>821.51</v>
      </c>
      <c r="I1620" s="11">
        <f>VLOOKUP(A1620,'Operational Data'!$A$2:$E$201,5,FALSE)</f>
        <v>69.599999999999994</v>
      </c>
      <c r="J1620" s="21">
        <f t="shared" si="25"/>
        <v>0.20990978800180424</v>
      </c>
    </row>
    <row r="1621" spans="1:10" x14ac:dyDescent="0.25">
      <c r="A1621" s="20" t="s">
        <v>53</v>
      </c>
      <c r="B1621" s="20" t="s">
        <v>7</v>
      </c>
      <c r="C1621" s="20" t="s">
        <v>34</v>
      </c>
      <c r="D1621" s="20" t="s">
        <v>28</v>
      </c>
      <c r="E1621" s="20" t="s">
        <v>15</v>
      </c>
      <c r="F1621" s="20">
        <v>4129.93</v>
      </c>
      <c r="G1621" s="11">
        <f>VLOOKUP(A1621,'Operational Data'!$A$2:$E$201,3,FALSE)</f>
        <v>90632</v>
      </c>
      <c r="H1621" s="11">
        <f>VLOOKUP(A1621,'Operational Data'!$A$2:$E$201,4,FALSE)</f>
        <v>5292.17</v>
      </c>
      <c r="I1621" s="11">
        <f>VLOOKUP(A1621,'Operational Data'!$A$2:$E$201,5,FALSE)</f>
        <v>78.45</v>
      </c>
      <c r="J1621" s="21">
        <f t="shared" si="25"/>
        <v>4.5568121634742699E-2</v>
      </c>
    </row>
    <row r="1622" spans="1:10" x14ac:dyDescent="0.25">
      <c r="A1622" s="20" t="s">
        <v>192</v>
      </c>
      <c r="B1622" s="20" t="s">
        <v>19</v>
      </c>
      <c r="C1622" s="20" t="s">
        <v>34</v>
      </c>
      <c r="D1622" s="20" t="s">
        <v>28</v>
      </c>
      <c r="E1622" s="20" t="s">
        <v>15</v>
      </c>
      <c r="F1622" s="20">
        <v>2515.67</v>
      </c>
      <c r="G1622" s="11">
        <f>VLOOKUP(A1622,'Operational Data'!$A$2:$E$201,3,FALSE)</f>
        <v>43227</v>
      </c>
      <c r="H1622" s="11">
        <f>VLOOKUP(A1622,'Operational Data'!$A$2:$E$201,4,FALSE)</f>
        <v>5199.53</v>
      </c>
      <c r="I1622" s="11">
        <f>VLOOKUP(A1622,'Operational Data'!$A$2:$E$201,5,FALSE)</f>
        <v>44.09</v>
      </c>
      <c r="J1622" s="21">
        <f t="shared" si="25"/>
        <v>5.8196728896291669E-2</v>
      </c>
    </row>
    <row r="1623" spans="1:10" ht="30" x14ac:dyDescent="0.25">
      <c r="A1623" s="20" t="s">
        <v>37</v>
      </c>
      <c r="B1623" s="20" t="s">
        <v>17</v>
      </c>
      <c r="C1623" s="20" t="s">
        <v>13</v>
      </c>
      <c r="D1623" s="20" t="s">
        <v>9</v>
      </c>
      <c r="E1623" s="20" t="s">
        <v>10</v>
      </c>
      <c r="F1623" s="20">
        <v>1577.952059</v>
      </c>
      <c r="G1623" s="11">
        <f>VLOOKUP(A1623,'Operational Data'!$A$2:$E$201,3,FALSE)</f>
        <v>71747</v>
      </c>
      <c r="H1623" s="11">
        <f>VLOOKUP(A1623,'Operational Data'!$A$2:$E$201,4,FALSE)</f>
        <v>9838.66</v>
      </c>
      <c r="I1623" s="11">
        <f>VLOOKUP(A1623,'Operational Data'!$A$2:$E$201,5,FALSE)</f>
        <v>7.25</v>
      </c>
      <c r="J1623" s="21">
        <f t="shared" si="25"/>
        <v>2.1993282771405075E-2</v>
      </c>
    </row>
    <row r="1624" spans="1:10" x14ac:dyDescent="0.25">
      <c r="A1624" s="20" t="s">
        <v>102</v>
      </c>
      <c r="B1624" s="20" t="s">
        <v>19</v>
      </c>
      <c r="C1624" s="20" t="s">
        <v>13</v>
      </c>
      <c r="D1624" s="20" t="s">
        <v>9</v>
      </c>
      <c r="E1624" s="20" t="s">
        <v>24</v>
      </c>
      <c r="F1624" s="20">
        <v>4224.2000390000003</v>
      </c>
      <c r="G1624" s="11">
        <f>VLOOKUP(A1624,'Operational Data'!$A$2:$E$201,3,FALSE)</f>
        <v>86263</v>
      </c>
      <c r="H1624" s="11">
        <f>VLOOKUP(A1624,'Operational Data'!$A$2:$E$201,4,FALSE)</f>
        <v>3213.71</v>
      </c>
      <c r="I1624" s="11">
        <f>VLOOKUP(A1624,'Operational Data'!$A$2:$E$201,5,FALSE)</f>
        <v>98.39</v>
      </c>
      <c r="J1624" s="21">
        <f t="shared" si="25"/>
        <v>4.8968851523828294E-2</v>
      </c>
    </row>
    <row r="1625" spans="1:10" x14ac:dyDescent="0.25">
      <c r="A1625" s="20" t="s">
        <v>101</v>
      </c>
      <c r="B1625" s="20" t="s">
        <v>19</v>
      </c>
      <c r="C1625" s="20" t="s">
        <v>23</v>
      </c>
      <c r="D1625" s="20" t="s">
        <v>9</v>
      </c>
      <c r="E1625" s="20" t="s">
        <v>24</v>
      </c>
      <c r="F1625" s="20">
        <v>4932.401664</v>
      </c>
      <c r="G1625" s="11">
        <f>VLOOKUP(A1625,'Operational Data'!$A$2:$E$201,3,FALSE)</f>
        <v>39050</v>
      </c>
      <c r="H1625" s="11">
        <f>VLOOKUP(A1625,'Operational Data'!$A$2:$E$201,4,FALSE)</f>
        <v>5885.73</v>
      </c>
      <c r="I1625" s="11">
        <f>VLOOKUP(A1625,'Operational Data'!$A$2:$E$201,5,FALSE)</f>
        <v>93.04</v>
      </c>
      <c r="J1625" s="21">
        <f t="shared" si="25"/>
        <v>0.12630990176696544</v>
      </c>
    </row>
    <row r="1626" spans="1:10" x14ac:dyDescent="0.25">
      <c r="A1626" s="20" t="s">
        <v>212</v>
      </c>
      <c r="B1626" s="20" t="s">
        <v>7</v>
      </c>
      <c r="C1626" s="20" t="s">
        <v>13</v>
      </c>
      <c r="D1626" s="20" t="s">
        <v>28</v>
      </c>
      <c r="E1626" s="20" t="s">
        <v>10</v>
      </c>
      <c r="F1626" s="20">
        <v>1505.22</v>
      </c>
      <c r="G1626" s="11">
        <f>VLOOKUP(A1626,'Operational Data'!$A$2:$E$201,3,FALSE)</f>
        <v>67820</v>
      </c>
      <c r="H1626" s="11">
        <f>VLOOKUP(A1626,'Operational Data'!$A$2:$E$201,4,FALSE)</f>
        <v>8177.95</v>
      </c>
      <c r="I1626" s="11">
        <f>VLOOKUP(A1626,'Operational Data'!$A$2:$E$201,5,FALSE)</f>
        <v>40.69</v>
      </c>
      <c r="J1626" s="21">
        <f t="shared" si="25"/>
        <v>2.2194337953406074E-2</v>
      </c>
    </row>
    <row r="1627" spans="1:10" x14ac:dyDescent="0.25">
      <c r="A1627" s="20" t="s">
        <v>141</v>
      </c>
      <c r="B1627" s="20" t="s">
        <v>7</v>
      </c>
      <c r="C1627" s="20" t="s">
        <v>23</v>
      </c>
      <c r="D1627" s="20" t="s">
        <v>9</v>
      </c>
      <c r="E1627" s="20" t="s">
        <v>15</v>
      </c>
      <c r="F1627" s="20">
        <v>2186.8441339999999</v>
      </c>
      <c r="G1627" s="11">
        <f>VLOOKUP(A1627,'Operational Data'!$A$2:$E$201,3,FALSE)</f>
        <v>45644</v>
      </c>
      <c r="H1627" s="11">
        <f>VLOOKUP(A1627,'Operational Data'!$A$2:$E$201,4,FALSE)</f>
        <v>7724.73</v>
      </c>
      <c r="I1627" s="11">
        <f>VLOOKUP(A1627,'Operational Data'!$A$2:$E$201,5,FALSE)</f>
        <v>31</v>
      </c>
      <c r="J1627" s="21">
        <f t="shared" si="25"/>
        <v>4.7910878406800451E-2</v>
      </c>
    </row>
    <row r="1628" spans="1:10" x14ac:dyDescent="0.25">
      <c r="A1628" s="20" t="s">
        <v>165</v>
      </c>
      <c r="B1628" s="20" t="s">
        <v>7</v>
      </c>
      <c r="C1628" s="20" t="s">
        <v>13</v>
      </c>
      <c r="D1628" s="20" t="s">
        <v>14</v>
      </c>
      <c r="E1628" s="20" t="s">
        <v>10</v>
      </c>
      <c r="F1628" s="20">
        <v>1236.5999999999999</v>
      </c>
      <c r="G1628" s="11">
        <f>VLOOKUP(A1628,'Operational Data'!$A$2:$E$201,3,FALSE)</f>
        <v>32991</v>
      </c>
      <c r="H1628" s="11">
        <f>VLOOKUP(A1628,'Operational Data'!$A$2:$E$201,4,FALSE)</f>
        <v>8540.14</v>
      </c>
      <c r="I1628" s="11">
        <f>VLOOKUP(A1628,'Operational Data'!$A$2:$E$201,5,FALSE)</f>
        <v>37.75</v>
      </c>
      <c r="J1628" s="21">
        <f t="shared" si="25"/>
        <v>3.748294989542602E-2</v>
      </c>
    </row>
    <row r="1629" spans="1:10" x14ac:dyDescent="0.25">
      <c r="A1629" s="20" t="s">
        <v>169</v>
      </c>
      <c r="B1629" s="20" t="s">
        <v>12</v>
      </c>
      <c r="C1629" s="20" t="s">
        <v>34</v>
      </c>
      <c r="D1629" s="20" t="s">
        <v>14</v>
      </c>
      <c r="E1629" s="20" t="s">
        <v>10</v>
      </c>
      <c r="F1629" s="20">
        <v>950.62</v>
      </c>
      <c r="G1629" s="11">
        <f>VLOOKUP(A1629,'Operational Data'!$A$2:$E$201,3,FALSE)</f>
        <v>82377</v>
      </c>
      <c r="H1629" s="11">
        <f>VLOOKUP(A1629,'Operational Data'!$A$2:$E$201,4,FALSE)</f>
        <v>7974.74</v>
      </c>
      <c r="I1629" s="11">
        <f>VLOOKUP(A1629,'Operational Data'!$A$2:$E$201,5,FALSE)</f>
        <v>9.17</v>
      </c>
      <c r="J1629" s="21">
        <f t="shared" si="25"/>
        <v>1.1539871566092477E-2</v>
      </c>
    </row>
    <row r="1630" spans="1:10" x14ac:dyDescent="0.25">
      <c r="A1630" s="20" t="s">
        <v>212</v>
      </c>
      <c r="B1630" s="20" t="s">
        <v>7</v>
      </c>
      <c r="C1630" s="20" t="s">
        <v>34</v>
      </c>
      <c r="D1630" s="20" t="s">
        <v>9</v>
      </c>
      <c r="E1630" s="20" t="s">
        <v>10</v>
      </c>
      <c r="F1630" s="20">
        <v>1417.732332</v>
      </c>
      <c r="G1630" s="11">
        <f>VLOOKUP(A1630,'Operational Data'!$A$2:$E$201,3,FALSE)</f>
        <v>67820</v>
      </c>
      <c r="H1630" s="11">
        <f>VLOOKUP(A1630,'Operational Data'!$A$2:$E$201,4,FALSE)</f>
        <v>8177.95</v>
      </c>
      <c r="I1630" s="11">
        <f>VLOOKUP(A1630,'Operational Data'!$A$2:$E$201,5,FALSE)</f>
        <v>40.69</v>
      </c>
      <c r="J1630" s="21">
        <f t="shared" si="25"/>
        <v>2.0904339899734593E-2</v>
      </c>
    </row>
    <row r="1631" spans="1:10" x14ac:dyDescent="0.25">
      <c r="A1631" s="20" t="s">
        <v>153</v>
      </c>
      <c r="B1631" s="20" t="s">
        <v>7</v>
      </c>
      <c r="C1631" s="20" t="s">
        <v>8</v>
      </c>
      <c r="D1631" s="20" t="s">
        <v>14</v>
      </c>
      <c r="E1631" s="20" t="s">
        <v>10</v>
      </c>
      <c r="F1631" s="20">
        <v>1840.6</v>
      </c>
      <c r="G1631" s="11">
        <f>VLOOKUP(A1631,'Operational Data'!$A$2:$E$201,3,FALSE)</f>
        <v>21388</v>
      </c>
      <c r="H1631" s="11">
        <f>VLOOKUP(A1631,'Operational Data'!$A$2:$E$201,4,FALSE)</f>
        <v>5249.39</v>
      </c>
      <c r="I1631" s="11">
        <f>VLOOKUP(A1631,'Operational Data'!$A$2:$E$201,5,FALSE)</f>
        <v>64.2</v>
      </c>
      <c r="J1631" s="21">
        <f t="shared" si="25"/>
        <v>8.6057602393865715E-2</v>
      </c>
    </row>
    <row r="1632" spans="1:10" x14ac:dyDescent="0.25">
      <c r="A1632" s="20" t="s">
        <v>91</v>
      </c>
      <c r="B1632" s="20" t="s">
        <v>30</v>
      </c>
      <c r="C1632" s="20" t="s">
        <v>34</v>
      </c>
      <c r="D1632" s="20" t="s">
        <v>28</v>
      </c>
      <c r="E1632" s="20" t="s">
        <v>15</v>
      </c>
      <c r="F1632" s="20">
        <v>136.41</v>
      </c>
      <c r="G1632" s="11">
        <f>VLOOKUP(A1632,'Operational Data'!$A$2:$E$201,3,FALSE)</f>
        <v>20207</v>
      </c>
      <c r="H1632" s="11">
        <f>VLOOKUP(A1632,'Operational Data'!$A$2:$E$201,4,FALSE)</f>
        <v>5369.46</v>
      </c>
      <c r="I1632" s="11">
        <f>VLOOKUP(A1632,'Operational Data'!$A$2:$E$201,5,FALSE)</f>
        <v>57.51</v>
      </c>
      <c r="J1632" s="21">
        <f t="shared" si="25"/>
        <v>6.7506309694660262E-3</v>
      </c>
    </row>
    <row r="1633" spans="1:10" x14ac:dyDescent="0.25">
      <c r="A1633" s="20" t="s">
        <v>39</v>
      </c>
      <c r="B1633" s="20" t="s">
        <v>7</v>
      </c>
      <c r="C1633" s="20" t="s">
        <v>23</v>
      </c>
      <c r="D1633" s="20" t="s">
        <v>14</v>
      </c>
      <c r="E1633" s="20" t="s">
        <v>24</v>
      </c>
      <c r="F1633" s="20">
        <v>2167.6999999999998</v>
      </c>
      <c r="G1633" s="11">
        <f>VLOOKUP(A1633,'Operational Data'!$A$2:$E$201,3,FALSE)</f>
        <v>80904</v>
      </c>
      <c r="H1633" s="11">
        <f>VLOOKUP(A1633,'Operational Data'!$A$2:$E$201,4,FALSE)</f>
        <v>3263.09</v>
      </c>
      <c r="I1633" s="11">
        <f>VLOOKUP(A1633,'Operational Data'!$A$2:$E$201,5,FALSE)</f>
        <v>58.37</v>
      </c>
      <c r="J1633" s="21">
        <f t="shared" si="25"/>
        <v>2.6793483634925341E-2</v>
      </c>
    </row>
    <row r="1634" spans="1:10" x14ac:dyDescent="0.25">
      <c r="A1634" s="20" t="s">
        <v>68</v>
      </c>
      <c r="B1634" s="20" t="s">
        <v>12</v>
      </c>
      <c r="C1634" s="20" t="s">
        <v>13</v>
      </c>
      <c r="D1634" s="20" t="s">
        <v>28</v>
      </c>
      <c r="E1634" s="20" t="s">
        <v>24</v>
      </c>
      <c r="F1634" s="20">
        <v>3755.45</v>
      </c>
      <c r="G1634" s="11">
        <f>VLOOKUP(A1634,'Operational Data'!$A$2:$E$201,3,FALSE)</f>
        <v>69100</v>
      </c>
      <c r="H1634" s="11">
        <f>VLOOKUP(A1634,'Operational Data'!$A$2:$E$201,4,FALSE)</f>
        <v>9356.02</v>
      </c>
      <c r="I1634" s="11">
        <f>VLOOKUP(A1634,'Operational Data'!$A$2:$E$201,5,FALSE)</f>
        <v>16.5</v>
      </c>
      <c r="J1634" s="21">
        <f t="shared" si="25"/>
        <v>5.4348046309696092E-2</v>
      </c>
    </row>
    <row r="1635" spans="1:10" x14ac:dyDescent="0.25">
      <c r="A1635" s="20" t="s">
        <v>110</v>
      </c>
      <c r="B1635" s="20" t="s">
        <v>12</v>
      </c>
      <c r="C1635" s="20" t="s">
        <v>13</v>
      </c>
      <c r="D1635" s="20" t="s">
        <v>28</v>
      </c>
      <c r="E1635" s="20" t="s">
        <v>10</v>
      </c>
      <c r="F1635" s="20">
        <v>1313.84</v>
      </c>
      <c r="G1635" s="11">
        <f>VLOOKUP(A1635,'Operational Data'!$A$2:$E$201,3,FALSE)</f>
        <v>70481</v>
      </c>
      <c r="H1635" s="11">
        <f>VLOOKUP(A1635,'Operational Data'!$A$2:$E$201,4,FALSE)</f>
        <v>4452.83</v>
      </c>
      <c r="I1635" s="11">
        <f>VLOOKUP(A1635,'Operational Data'!$A$2:$E$201,5,FALSE)</f>
        <v>91.26</v>
      </c>
      <c r="J1635" s="21">
        <f t="shared" si="25"/>
        <v>1.8641052198464833E-2</v>
      </c>
    </row>
    <row r="1636" spans="1:10" ht="30" x14ac:dyDescent="0.25">
      <c r="A1636" s="20" t="s">
        <v>142</v>
      </c>
      <c r="B1636" s="20" t="s">
        <v>17</v>
      </c>
      <c r="C1636" s="20" t="s">
        <v>13</v>
      </c>
      <c r="D1636" s="20" t="s">
        <v>9</v>
      </c>
      <c r="E1636" s="20" t="s">
        <v>10</v>
      </c>
      <c r="F1636" s="20">
        <v>460.07946659999999</v>
      </c>
      <c r="G1636" s="11">
        <f>VLOOKUP(A1636,'Operational Data'!$A$2:$E$201,3,FALSE)</f>
        <v>75736</v>
      </c>
      <c r="H1636" s="11">
        <f>VLOOKUP(A1636,'Operational Data'!$A$2:$E$201,4,FALSE)</f>
        <v>6287.07</v>
      </c>
      <c r="I1636" s="11">
        <f>VLOOKUP(A1636,'Operational Data'!$A$2:$E$201,5,FALSE)</f>
        <v>63.11</v>
      </c>
      <c r="J1636" s="21">
        <f t="shared" si="25"/>
        <v>6.0747790561952045E-3</v>
      </c>
    </row>
    <row r="1637" spans="1:10" x14ac:dyDescent="0.25">
      <c r="A1637" s="20" t="s">
        <v>181</v>
      </c>
      <c r="B1637" s="20" t="s">
        <v>30</v>
      </c>
      <c r="C1637" s="20" t="s">
        <v>13</v>
      </c>
      <c r="D1637" s="20" t="s">
        <v>9</v>
      </c>
      <c r="E1637" s="20" t="s">
        <v>24</v>
      </c>
      <c r="F1637" s="20">
        <v>2230.0799240000001</v>
      </c>
      <c r="G1637" s="11">
        <f>VLOOKUP(A1637,'Operational Data'!$A$2:$E$201,3,FALSE)</f>
        <v>28704</v>
      </c>
      <c r="H1637" s="11">
        <f>VLOOKUP(A1637,'Operational Data'!$A$2:$E$201,4,FALSE)</f>
        <v>6009.24</v>
      </c>
      <c r="I1637" s="11">
        <f>VLOOKUP(A1637,'Operational Data'!$A$2:$E$201,5,FALSE)</f>
        <v>39.31</v>
      </c>
      <c r="J1637" s="21">
        <f t="shared" si="25"/>
        <v>7.7692305044593096E-2</v>
      </c>
    </row>
    <row r="1638" spans="1:10" x14ac:dyDescent="0.25">
      <c r="A1638" s="20" t="s">
        <v>21</v>
      </c>
      <c r="B1638" s="20" t="s">
        <v>19</v>
      </c>
      <c r="C1638" s="20" t="s">
        <v>8</v>
      </c>
      <c r="D1638" s="20" t="s">
        <v>14</v>
      </c>
      <c r="E1638" s="20" t="s">
        <v>24</v>
      </c>
      <c r="F1638" s="20">
        <v>324.83</v>
      </c>
      <c r="G1638" s="11">
        <f>VLOOKUP(A1638,'Operational Data'!$A$2:$E$201,3,FALSE)</f>
        <v>61157</v>
      </c>
      <c r="H1638" s="11">
        <f>VLOOKUP(A1638,'Operational Data'!$A$2:$E$201,4,FALSE)</f>
        <v>7331.54</v>
      </c>
      <c r="I1638" s="11">
        <f>VLOOKUP(A1638,'Operational Data'!$A$2:$E$201,5,FALSE)</f>
        <v>55.52</v>
      </c>
      <c r="J1638" s="21">
        <f t="shared" si="25"/>
        <v>5.3114116127344372E-3</v>
      </c>
    </row>
    <row r="1639" spans="1:10" ht="30" x14ac:dyDescent="0.25">
      <c r="A1639" s="20" t="s">
        <v>218</v>
      </c>
      <c r="B1639" s="20" t="s">
        <v>17</v>
      </c>
      <c r="C1639" s="20" t="s">
        <v>23</v>
      </c>
      <c r="D1639" s="20" t="s">
        <v>9</v>
      </c>
      <c r="E1639" s="20" t="s">
        <v>10</v>
      </c>
      <c r="F1639" s="20">
        <v>621.26902540000003</v>
      </c>
      <c r="G1639" s="11">
        <f>VLOOKUP(A1639,'Operational Data'!$A$2:$E$201,3,FALSE)</f>
        <v>22525</v>
      </c>
      <c r="H1639" s="11">
        <f>VLOOKUP(A1639,'Operational Data'!$A$2:$E$201,4,FALSE)</f>
        <v>9465.65</v>
      </c>
      <c r="I1639" s="11">
        <f>VLOOKUP(A1639,'Operational Data'!$A$2:$E$201,5,FALSE)</f>
        <v>37.79</v>
      </c>
      <c r="J1639" s="21">
        <f t="shared" si="25"/>
        <v>2.7581310783573808E-2</v>
      </c>
    </row>
    <row r="1640" spans="1:10" x14ac:dyDescent="0.25">
      <c r="A1640" s="20" t="s">
        <v>187</v>
      </c>
      <c r="B1640" s="20" t="s">
        <v>19</v>
      </c>
      <c r="C1640" s="20" t="s">
        <v>23</v>
      </c>
      <c r="D1640" s="20" t="s">
        <v>28</v>
      </c>
      <c r="E1640" s="20" t="s">
        <v>10</v>
      </c>
      <c r="F1640" s="20">
        <v>1054.75</v>
      </c>
      <c r="G1640" s="11">
        <f>VLOOKUP(A1640,'Operational Data'!$A$2:$E$201,3,FALSE)</f>
        <v>94861</v>
      </c>
      <c r="H1640" s="11">
        <f>VLOOKUP(A1640,'Operational Data'!$A$2:$E$201,4,FALSE)</f>
        <v>8363.57</v>
      </c>
      <c r="I1640" s="11">
        <f>VLOOKUP(A1640,'Operational Data'!$A$2:$E$201,5,FALSE)</f>
        <v>90.29</v>
      </c>
      <c r="J1640" s="21">
        <f t="shared" si="25"/>
        <v>1.1118900285681155E-2</v>
      </c>
    </row>
    <row r="1641" spans="1:10" x14ac:dyDescent="0.25">
      <c r="A1641" s="20" t="s">
        <v>100</v>
      </c>
      <c r="B1641" s="20" t="s">
        <v>7</v>
      </c>
      <c r="C1641" s="20" t="s">
        <v>13</v>
      </c>
      <c r="D1641" s="20" t="s">
        <v>9</v>
      </c>
      <c r="E1641" s="20" t="s">
        <v>15</v>
      </c>
      <c r="F1641" s="20">
        <v>5086.7290380000004</v>
      </c>
      <c r="G1641" s="11">
        <f>VLOOKUP(A1641,'Operational Data'!$A$2:$E$201,3,FALSE)</f>
        <v>17468</v>
      </c>
      <c r="H1641" s="11">
        <f>VLOOKUP(A1641,'Operational Data'!$A$2:$E$201,4,FALSE)</f>
        <v>6359.73</v>
      </c>
      <c r="I1641" s="11">
        <f>VLOOKUP(A1641,'Operational Data'!$A$2:$E$201,5,FALSE)</f>
        <v>5.22</v>
      </c>
      <c r="J1641" s="21">
        <f t="shared" si="25"/>
        <v>0.29120271570872452</v>
      </c>
    </row>
    <row r="1642" spans="1:10" x14ac:dyDescent="0.25">
      <c r="A1642" s="20" t="s">
        <v>206</v>
      </c>
      <c r="B1642" s="20" t="s">
        <v>19</v>
      </c>
      <c r="C1642" s="20" t="s">
        <v>23</v>
      </c>
      <c r="D1642" s="20" t="s">
        <v>28</v>
      </c>
      <c r="E1642" s="20" t="s">
        <v>24</v>
      </c>
      <c r="F1642" s="20">
        <v>733.07</v>
      </c>
      <c r="G1642" s="11">
        <f>VLOOKUP(A1642,'Operational Data'!$A$2:$E$201,3,FALSE)</f>
        <v>10250</v>
      </c>
      <c r="H1642" s="11">
        <f>VLOOKUP(A1642,'Operational Data'!$A$2:$E$201,4,FALSE)</f>
        <v>4717</v>
      </c>
      <c r="I1642" s="11">
        <f>VLOOKUP(A1642,'Operational Data'!$A$2:$E$201,5,FALSE)</f>
        <v>16.600000000000001</v>
      </c>
      <c r="J1642" s="21">
        <f t="shared" si="25"/>
        <v>7.1519024390243907E-2</v>
      </c>
    </row>
    <row r="1643" spans="1:10" x14ac:dyDescent="0.25">
      <c r="A1643" s="20" t="s">
        <v>108</v>
      </c>
      <c r="B1643" s="20" t="s">
        <v>7</v>
      </c>
      <c r="C1643" s="20" t="s">
        <v>13</v>
      </c>
      <c r="D1643" s="20" t="s">
        <v>14</v>
      </c>
      <c r="E1643" s="20" t="s">
        <v>24</v>
      </c>
      <c r="F1643" s="20">
        <v>4608.12</v>
      </c>
      <c r="G1643" s="11">
        <f>VLOOKUP(A1643,'Operational Data'!$A$2:$E$201,3,FALSE)</f>
        <v>22201</v>
      </c>
      <c r="H1643" s="11">
        <f>VLOOKUP(A1643,'Operational Data'!$A$2:$E$201,4,FALSE)</f>
        <v>2853.66</v>
      </c>
      <c r="I1643" s="11">
        <f>VLOOKUP(A1643,'Operational Data'!$A$2:$E$201,5,FALSE)</f>
        <v>71.94</v>
      </c>
      <c r="J1643" s="21">
        <f t="shared" si="25"/>
        <v>0.20756362326021349</v>
      </c>
    </row>
    <row r="1644" spans="1:10" x14ac:dyDescent="0.25">
      <c r="A1644" s="20" t="s">
        <v>44</v>
      </c>
      <c r="B1644" s="20" t="s">
        <v>19</v>
      </c>
      <c r="C1644" s="20" t="s">
        <v>23</v>
      </c>
      <c r="D1644" s="20" t="s">
        <v>28</v>
      </c>
      <c r="E1644" s="20" t="s">
        <v>10</v>
      </c>
      <c r="F1644" s="20">
        <v>3092.45</v>
      </c>
      <c r="G1644" s="11">
        <f>VLOOKUP(A1644,'Operational Data'!$A$2:$E$201,3,FALSE)</f>
        <v>16256</v>
      </c>
      <c r="H1644" s="11">
        <f>VLOOKUP(A1644,'Operational Data'!$A$2:$E$201,4,FALSE)</f>
        <v>2127.1799999999998</v>
      </c>
      <c r="I1644" s="11">
        <f>VLOOKUP(A1644,'Operational Data'!$A$2:$E$201,5,FALSE)</f>
        <v>38.94</v>
      </c>
      <c r="J1644" s="21">
        <f t="shared" si="25"/>
        <v>0.19023437499999998</v>
      </c>
    </row>
    <row r="1645" spans="1:10" x14ac:dyDescent="0.25">
      <c r="A1645" s="20" t="s">
        <v>61</v>
      </c>
      <c r="B1645" s="20" t="s">
        <v>30</v>
      </c>
      <c r="C1645" s="20" t="s">
        <v>34</v>
      </c>
      <c r="D1645" s="20" t="s">
        <v>14</v>
      </c>
      <c r="E1645" s="20" t="s">
        <v>15</v>
      </c>
      <c r="F1645" s="20">
        <v>824.2</v>
      </c>
      <c r="G1645" s="11">
        <f>VLOOKUP(A1645,'Operational Data'!$A$2:$E$201,3,FALSE)</f>
        <v>95718</v>
      </c>
      <c r="H1645" s="11">
        <f>VLOOKUP(A1645,'Operational Data'!$A$2:$E$201,4,FALSE)</f>
        <v>2443.12</v>
      </c>
      <c r="I1645" s="11">
        <f>VLOOKUP(A1645,'Operational Data'!$A$2:$E$201,5,FALSE)</f>
        <v>35.49</v>
      </c>
      <c r="J1645" s="21">
        <f t="shared" si="25"/>
        <v>8.6107106291397652E-3</v>
      </c>
    </row>
    <row r="1646" spans="1:10" ht="30" x14ac:dyDescent="0.25">
      <c r="A1646" s="20" t="s">
        <v>58</v>
      </c>
      <c r="B1646" s="20" t="s">
        <v>17</v>
      </c>
      <c r="C1646" s="20" t="s">
        <v>8</v>
      </c>
      <c r="D1646" s="20" t="s">
        <v>28</v>
      </c>
      <c r="E1646" s="20" t="s">
        <v>10</v>
      </c>
      <c r="F1646" s="20">
        <v>1816.62</v>
      </c>
      <c r="G1646" s="11">
        <f>VLOOKUP(A1646,'Operational Data'!$A$2:$E$201,3,FALSE)</f>
        <v>32246</v>
      </c>
      <c r="H1646" s="11">
        <f>VLOOKUP(A1646,'Operational Data'!$A$2:$E$201,4,FALSE)</f>
        <v>7903.93</v>
      </c>
      <c r="I1646" s="11">
        <f>VLOOKUP(A1646,'Operational Data'!$A$2:$E$201,5,FALSE)</f>
        <v>42.12</v>
      </c>
      <c r="J1646" s="21">
        <f t="shared" si="25"/>
        <v>5.6336289772374863E-2</v>
      </c>
    </row>
    <row r="1647" spans="1:10" ht="30" x14ac:dyDescent="0.25">
      <c r="A1647" s="20" t="s">
        <v>142</v>
      </c>
      <c r="B1647" s="20" t="s">
        <v>17</v>
      </c>
      <c r="C1647" s="20" t="s">
        <v>13</v>
      </c>
      <c r="D1647" s="20" t="s">
        <v>9</v>
      </c>
      <c r="E1647" s="20" t="s">
        <v>15</v>
      </c>
      <c r="F1647" s="20">
        <v>1750.321625</v>
      </c>
      <c r="G1647" s="11">
        <f>VLOOKUP(A1647,'Operational Data'!$A$2:$E$201,3,FALSE)</f>
        <v>75736</v>
      </c>
      <c r="H1647" s="11">
        <f>VLOOKUP(A1647,'Operational Data'!$A$2:$E$201,4,FALSE)</f>
        <v>6287.07</v>
      </c>
      <c r="I1647" s="11">
        <f>VLOOKUP(A1647,'Operational Data'!$A$2:$E$201,5,FALSE)</f>
        <v>63.11</v>
      </c>
      <c r="J1647" s="21">
        <f t="shared" si="25"/>
        <v>2.3110827413647408E-2</v>
      </c>
    </row>
    <row r="1648" spans="1:10" x14ac:dyDescent="0.25">
      <c r="A1648" s="20" t="s">
        <v>183</v>
      </c>
      <c r="B1648" s="20" t="s">
        <v>7</v>
      </c>
      <c r="C1648" s="20" t="s">
        <v>13</v>
      </c>
      <c r="D1648" s="20" t="s">
        <v>9</v>
      </c>
      <c r="E1648" s="20" t="s">
        <v>10</v>
      </c>
      <c r="F1648" s="20">
        <v>4387.1743159999996</v>
      </c>
      <c r="G1648" s="11">
        <f>VLOOKUP(A1648,'Operational Data'!$A$2:$E$201,3,FALSE)</f>
        <v>14009</v>
      </c>
      <c r="H1648" s="11">
        <f>VLOOKUP(A1648,'Operational Data'!$A$2:$E$201,4,FALSE)</f>
        <v>7528.98</v>
      </c>
      <c r="I1648" s="11">
        <f>VLOOKUP(A1648,'Operational Data'!$A$2:$E$201,5,FALSE)</f>
        <v>77.62</v>
      </c>
      <c r="J1648" s="21">
        <f t="shared" si="25"/>
        <v>0.31316827153972443</v>
      </c>
    </row>
    <row r="1649" spans="1:10" x14ac:dyDescent="0.25">
      <c r="A1649" s="20" t="s">
        <v>219</v>
      </c>
      <c r="B1649" s="20" t="s">
        <v>12</v>
      </c>
      <c r="C1649" s="20" t="s">
        <v>23</v>
      </c>
      <c r="D1649" s="20" t="s">
        <v>28</v>
      </c>
      <c r="E1649" s="20" t="s">
        <v>24</v>
      </c>
      <c r="F1649" s="20">
        <v>3959.46</v>
      </c>
      <c r="G1649" s="11">
        <f>VLOOKUP(A1649,'Operational Data'!$A$2:$E$201,3,FALSE)</f>
        <v>84524</v>
      </c>
      <c r="H1649" s="11">
        <f>VLOOKUP(A1649,'Operational Data'!$A$2:$E$201,4,FALSE)</f>
        <v>9350.11</v>
      </c>
      <c r="I1649" s="11">
        <f>VLOOKUP(A1649,'Operational Data'!$A$2:$E$201,5,FALSE)</f>
        <v>27.53</v>
      </c>
      <c r="J1649" s="21">
        <f t="shared" si="25"/>
        <v>4.6844209928541006E-2</v>
      </c>
    </row>
    <row r="1650" spans="1:10" x14ac:dyDescent="0.25">
      <c r="A1650" s="20" t="s">
        <v>38</v>
      </c>
      <c r="B1650" s="20" t="s">
        <v>30</v>
      </c>
      <c r="C1650" s="20" t="s">
        <v>23</v>
      </c>
      <c r="D1650" s="20" t="s">
        <v>28</v>
      </c>
      <c r="E1650" s="20" t="s">
        <v>24</v>
      </c>
      <c r="F1650" s="20">
        <v>976.87</v>
      </c>
      <c r="G1650" s="11">
        <f>VLOOKUP(A1650,'Operational Data'!$A$2:$E$201,3,FALSE)</f>
        <v>57215</v>
      </c>
      <c r="H1650" s="11">
        <f>VLOOKUP(A1650,'Operational Data'!$A$2:$E$201,4,FALSE)</f>
        <v>3227.1</v>
      </c>
      <c r="I1650" s="11">
        <f>VLOOKUP(A1650,'Operational Data'!$A$2:$E$201,5,FALSE)</f>
        <v>32.909999999999997</v>
      </c>
      <c r="J1650" s="21">
        <f t="shared" si="25"/>
        <v>1.7073669492266016E-2</v>
      </c>
    </row>
    <row r="1651" spans="1:10" x14ac:dyDescent="0.25">
      <c r="A1651" s="20" t="s">
        <v>90</v>
      </c>
      <c r="B1651" s="20" t="s">
        <v>19</v>
      </c>
      <c r="C1651" s="20" t="s">
        <v>8</v>
      </c>
      <c r="D1651" s="20" t="s">
        <v>14</v>
      </c>
      <c r="E1651" s="20" t="s">
        <v>24</v>
      </c>
      <c r="F1651" s="20">
        <v>836.5</v>
      </c>
      <c r="G1651" s="11">
        <f>VLOOKUP(A1651,'Operational Data'!$A$2:$E$201,3,FALSE)</f>
        <v>97337</v>
      </c>
      <c r="H1651" s="11">
        <f>VLOOKUP(A1651,'Operational Data'!$A$2:$E$201,4,FALSE)</f>
        <v>3362.06</v>
      </c>
      <c r="I1651" s="11">
        <f>VLOOKUP(A1651,'Operational Data'!$A$2:$E$201,5,FALSE)</f>
        <v>55.46</v>
      </c>
      <c r="J1651" s="21">
        <f t="shared" si="25"/>
        <v>8.5938543411035878E-3</v>
      </c>
    </row>
    <row r="1652" spans="1:10" x14ac:dyDescent="0.25">
      <c r="A1652" s="20" t="s">
        <v>184</v>
      </c>
      <c r="B1652" s="20" t="s">
        <v>30</v>
      </c>
      <c r="C1652" s="20" t="s">
        <v>34</v>
      </c>
      <c r="D1652" s="20" t="s">
        <v>14</v>
      </c>
      <c r="E1652" s="20" t="s">
        <v>15</v>
      </c>
      <c r="F1652" s="20">
        <v>4095.46</v>
      </c>
      <c r="G1652" s="11">
        <f>VLOOKUP(A1652,'Operational Data'!$A$2:$E$201,3,FALSE)</f>
        <v>13543</v>
      </c>
      <c r="H1652" s="11">
        <f>VLOOKUP(A1652,'Operational Data'!$A$2:$E$201,4,FALSE)</f>
        <v>7854.96</v>
      </c>
      <c r="I1652" s="11">
        <f>VLOOKUP(A1652,'Operational Data'!$A$2:$E$201,5,FALSE)</f>
        <v>85.57</v>
      </c>
      <c r="J1652" s="21">
        <f t="shared" si="25"/>
        <v>0.30240419404858598</v>
      </c>
    </row>
    <row r="1653" spans="1:10" x14ac:dyDescent="0.25">
      <c r="A1653" s="20" t="s">
        <v>109</v>
      </c>
      <c r="B1653" s="20" t="s">
        <v>12</v>
      </c>
      <c r="C1653" s="20" t="s">
        <v>23</v>
      </c>
      <c r="D1653" s="20" t="s">
        <v>28</v>
      </c>
      <c r="E1653" s="20" t="s">
        <v>15</v>
      </c>
      <c r="F1653" s="20">
        <v>3574.84</v>
      </c>
      <c r="G1653" s="11">
        <f>VLOOKUP(A1653,'Operational Data'!$A$2:$E$201,3,FALSE)</f>
        <v>84721</v>
      </c>
      <c r="H1653" s="11">
        <f>VLOOKUP(A1653,'Operational Data'!$A$2:$E$201,4,FALSE)</f>
        <v>2278.9699999999998</v>
      </c>
      <c r="I1653" s="11">
        <f>VLOOKUP(A1653,'Operational Data'!$A$2:$E$201,5,FALSE)</f>
        <v>68.53</v>
      </c>
      <c r="J1653" s="21">
        <f t="shared" si="25"/>
        <v>4.2195441508008642E-2</v>
      </c>
    </row>
    <row r="1654" spans="1:10" x14ac:dyDescent="0.25">
      <c r="A1654" s="20" t="s">
        <v>186</v>
      </c>
      <c r="B1654" s="20" t="s">
        <v>30</v>
      </c>
      <c r="C1654" s="20" t="s">
        <v>34</v>
      </c>
      <c r="D1654" s="20" t="s">
        <v>28</v>
      </c>
      <c r="E1654" s="20" t="s">
        <v>24</v>
      </c>
      <c r="F1654" s="20">
        <v>4705.34</v>
      </c>
      <c r="G1654" s="11">
        <f>VLOOKUP(A1654,'Operational Data'!$A$2:$E$201,3,FALSE)</f>
        <v>85868</v>
      </c>
      <c r="H1654" s="11">
        <f>VLOOKUP(A1654,'Operational Data'!$A$2:$E$201,4,FALSE)</f>
        <v>907.72</v>
      </c>
      <c r="I1654" s="11">
        <f>VLOOKUP(A1654,'Operational Data'!$A$2:$E$201,5,FALSE)</f>
        <v>90.36</v>
      </c>
      <c r="J1654" s="21">
        <f t="shared" si="25"/>
        <v>5.4797363394978343E-2</v>
      </c>
    </row>
    <row r="1655" spans="1:10" x14ac:dyDescent="0.25">
      <c r="A1655" s="20" t="s">
        <v>177</v>
      </c>
      <c r="B1655" s="20" t="s">
        <v>7</v>
      </c>
      <c r="C1655" s="20" t="s">
        <v>13</v>
      </c>
      <c r="D1655" s="20" t="s">
        <v>14</v>
      </c>
      <c r="E1655" s="20" t="s">
        <v>24</v>
      </c>
      <c r="F1655" s="20">
        <v>4617.59</v>
      </c>
      <c r="G1655" s="11">
        <f>VLOOKUP(A1655,'Operational Data'!$A$2:$E$201,3,FALSE)</f>
        <v>17097</v>
      </c>
      <c r="H1655" s="11">
        <f>VLOOKUP(A1655,'Operational Data'!$A$2:$E$201,4,FALSE)</f>
        <v>9061.7800000000007</v>
      </c>
      <c r="I1655" s="11">
        <f>VLOOKUP(A1655,'Operational Data'!$A$2:$E$201,5,FALSE)</f>
        <v>95.92</v>
      </c>
      <c r="J1655" s="21">
        <f t="shared" si="25"/>
        <v>0.27008188571094344</v>
      </c>
    </row>
    <row r="1656" spans="1:10" ht="30" x14ac:dyDescent="0.25">
      <c r="A1656" s="20" t="s">
        <v>205</v>
      </c>
      <c r="B1656" s="20" t="s">
        <v>17</v>
      </c>
      <c r="C1656" s="20" t="s">
        <v>8</v>
      </c>
      <c r="D1656" s="20" t="s">
        <v>14</v>
      </c>
      <c r="E1656" s="20" t="s">
        <v>10</v>
      </c>
      <c r="F1656" s="20">
        <v>3378.57</v>
      </c>
      <c r="G1656" s="11">
        <f>VLOOKUP(A1656,'Operational Data'!$A$2:$E$201,3,FALSE)</f>
        <v>52594</v>
      </c>
      <c r="H1656" s="11">
        <f>VLOOKUP(A1656,'Operational Data'!$A$2:$E$201,4,FALSE)</f>
        <v>8715.0400000000009</v>
      </c>
      <c r="I1656" s="11">
        <f>VLOOKUP(A1656,'Operational Data'!$A$2:$E$201,5,FALSE)</f>
        <v>90.54</v>
      </c>
      <c r="J1656" s="21">
        <f t="shared" si="25"/>
        <v>6.4238696429250494E-2</v>
      </c>
    </row>
    <row r="1657" spans="1:10" x14ac:dyDescent="0.25">
      <c r="A1657" s="20" t="s">
        <v>18</v>
      </c>
      <c r="B1657" s="20" t="s">
        <v>19</v>
      </c>
      <c r="C1657" s="20" t="s">
        <v>23</v>
      </c>
      <c r="D1657" s="20" t="s">
        <v>28</v>
      </c>
      <c r="E1657" s="20" t="s">
        <v>10</v>
      </c>
      <c r="F1657" s="20">
        <v>1071.83</v>
      </c>
      <c r="G1657" s="11">
        <f>VLOOKUP(A1657,'Operational Data'!$A$2:$E$201,3,FALSE)</f>
        <v>98682</v>
      </c>
      <c r="H1657" s="11">
        <f>VLOOKUP(A1657,'Operational Data'!$A$2:$E$201,4,FALSE)</f>
        <v>6220.56</v>
      </c>
      <c r="I1657" s="11">
        <f>VLOOKUP(A1657,'Operational Data'!$A$2:$E$201,5,FALSE)</f>
        <v>70.099999999999994</v>
      </c>
      <c r="J1657" s="21">
        <f t="shared" si="25"/>
        <v>1.0861453963235443E-2</v>
      </c>
    </row>
    <row r="1658" spans="1:10" x14ac:dyDescent="0.25">
      <c r="A1658" s="20" t="s">
        <v>162</v>
      </c>
      <c r="B1658" s="20" t="s">
        <v>30</v>
      </c>
      <c r="C1658" s="20" t="s">
        <v>13</v>
      </c>
      <c r="D1658" s="20" t="s">
        <v>9</v>
      </c>
      <c r="E1658" s="20" t="s">
        <v>24</v>
      </c>
      <c r="F1658" s="20">
        <v>958.6543772</v>
      </c>
      <c r="G1658" s="11">
        <f>VLOOKUP(A1658,'Operational Data'!$A$2:$E$201,3,FALSE)</f>
        <v>94347</v>
      </c>
      <c r="H1658" s="11">
        <f>VLOOKUP(A1658,'Operational Data'!$A$2:$E$201,4,FALSE)</f>
        <v>2272.58</v>
      </c>
      <c r="I1658" s="11">
        <f>VLOOKUP(A1658,'Operational Data'!$A$2:$E$201,5,FALSE)</f>
        <v>34.75</v>
      </c>
      <c r="J1658" s="21">
        <f t="shared" si="25"/>
        <v>1.0160941812670249E-2</v>
      </c>
    </row>
    <row r="1659" spans="1:10" ht="30" x14ac:dyDescent="0.25">
      <c r="A1659" s="20" t="s">
        <v>37</v>
      </c>
      <c r="B1659" s="20" t="s">
        <v>17</v>
      </c>
      <c r="C1659" s="20" t="s">
        <v>23</v>
      </c>
      <c r="D1659" s="20" t="s">
        <v>9</v>
      </c>
      <c r="E1659" s="20" t="s">
        <v>24</v>
      </c>
      <c r="F1659" s="20">
        <v>1194.635671</v>
      </c>
      <c r="G1659" s="11">
        <f>VLOOKUP(A1659,'Operational Data'!$A$2:$E$201,3,FALSE)</f>
        <v>71747</v>
      </c>
      <c r="H1659" s="11">
        <f>VLOOKUP(A1659,'Operational Data'!$A$2:$E$201,4,FALSE)</f>
        <v>9838.66</v>
      </c>
      <c r="I1659" s="11">
        <f>VLOOKUP(A1659,'Operational Data'!$A$2:$E$201,5,FALSE)</f>
        <v>7.25</v>
      </c>
      <c r="J1659" s="21">
        <f t="shared" si="25"/>
        <v>1.6650670704001561E-2</v>
      </c>
    </row>
    <row r="1660" spans="1:10" ht="30" x14ac:dyDescent="0.25">
      <c r="A1660" s="20" t="s">
        <v>156</v>
      </c>
      <c r="B1660" s="20" t="s">
        <v>17</v>
      </c>
      <c r="C1660" s="20" t="s">
        <v>34</v>
      </c>
      <c r="D1660" s="20" t="s">
        <v>9</v>
      </c>
      <c r="E1660" s="20" t="s">
        <v>24</v>
      </c>
      <c r="F1660" s="20">
        <v>1366.7456500000001</v>
      </c>
      <c r="G1660" s="11">
        <f>VLOOKUP(A1660,'Operational Data'!$A$2:$E$201,3,FALSE)</f>
        <v>81057</v>
      </c>
      <c r="H1660" s="11">
        <f>VLOOKUP(A1660,'Operational Data'!$A$2:$E$201,4,FALSE)</f>
        <v>675.41</v>
      </c>
      <c r="I1660" s="11">
        <f>VLOOKUP(A1660,'Operational Data'!$A$2:$E$201,5,FALSE)</f>
        <v>55.44</v>
      </c>
      <c r="J1660" s="21">
        <f t="shared" si="25"/>
        <v>1.6861537559988652E-2</v>
      </c>
    </row>
    <row r="1661" spans="1:10" x14ac:dyDescent="0.25">
      <c r="A1661" s="20" t="s">
        <v>65</v>
      </c>
      <c r="B1661" s="20" t="s">
        <v>30</v>
      </c>
      <c r="C1661" s="20" t="s">
        <v>23</v>
      </c>
      <c r="D1661" s="20" t="s">
        <v>14</v>
      </c>
      <c r="E1661" s="20" t="s">
        <v>15</v>
      </c>
      <c r="F1661" s="20">
        <v>1936.56</v>
      </c>
      <c r="G1661" s="11">
        <f>VLOOKUP(A1661,'Operational Data'!$A$2:$E$201,3,FALSE)</f>
        <v>99026</v>
      </c>
      <c r="H1661" s="11">
        <f>VLOOKUP(A1661,'Operational Data'!$A$2:$E$201,4,FALSE)</f>
        <v>5453.2</v>
      </c>
      <c r="I1661" s="11">
        <f>VLOOKUP(A1661,'Operational Data'!$A$2:$E$201,5,FALSE)</f>
        <v>57.49</v>
      </c>
      <c r="J1661" s="21">
        <f t="shared" si="25"/>
        <v>1.9556076182012803E-2</v>
      </c>
    </row>
    <row r="1662" spans="1:10" x14ac:dyDescent="0.25">
      <c r="A1662" s="20" t="s">
        <v>27</v>
      </c>
      <c r="B1662" s="20" t="s">
        <v>12</v>
      </c>
      <c r="C1662" s="20" t="s">
        <v>13</v>
      </c>
      <c r="D1662" s="20" t="s">
        <v>9</v>
      </c>
      <c r="E1662" s="20" t="s">
        <v>10</v>
      </c>
      <c r="F1662" s="20">
        <v>872.02317370000003</v>
      </c>
      <c r="G1662" s="11">
        <f>VLOOKUP(A1662,'Operational Data'!$A$2:$E$201,3,FALSE)</f>
        <v>91031</v>
      </c>
      <c r="H1662" s="11">
        <f>VLOOKUP(A1662,'Operational Data'!$A$2:$E$201,4,FALSE)</f>
        <v>1783.57</v>
      </c>
      <c r="I1662" s="11">
        <f>VLOOKUP(A1662,'Operational Data'!$A$2:$E$201,5,FALSE)</f>
        <v>32.049999999999997</v>
      </c>
      <c r="J1662" s="21">
        <f t="shared" si="25"/>
        <v>9.5794089233338098E-3</v>
      </c>
    </row>
    <row r="1663" spans="1:10" ht="30" x14ac:dyDescent="0.25">
      <c r="A1663" s="20" t="s">
        <v>58</v>
      </c>
      <c r="B1663" s="20" t="s">
        <v>17</v>
      </c>
      <c r="C1663" s="20" t="s">
        <v>34</v>
      </c>
      <c r="D1663" s="20" t="s">
        <v>28</v>
      </c>
      <c r="E1663" s="20" t="s">
        <v>15</v>
      </c>
      <c r="F1663" s="20">
        <v>4730.6899999999996</v>
      </c>
      <c r="G1663" s="11">
        <f>VLOOKUP(A1663,'Operational Data'!$A$2:$E$201,3,FALSE)</f>
        <v>32246</v>
      </c>
      <c r="H1663" s="11">
        <f>VLOOKUP(A1663,'Operational Data'!$A$2:$E$201,4,FALSE)</f>
        <v>7903.93</v>
      </c>
      <c r="I1663" s="11">
        <f>VLOOKUP(A1663,'Operational Data'!$A$2:$E$201,5,FALSE)</f>
        <v>42.12</v>
      </c>
      <c r="J1663" s="21">
        <f t="shared" si="25"/>
        <v>0.14670625814054455</v>
      </c>
    </row>
    <row r="1664" spans="1:10" x14ac:dyDescent="0.25">
      <c r="A1664" s="20" t="s">
        <v>96</v>
      </c>
      <c r="B1664" s="20" t="s">
        <v>19</v>
      </c>
      <c r="C1664" s="20" t="s">
        <v>13</v>
      </c>
      <c r="D1664" s="20" t="s">
        <v>9</v>
      </c>
      <c r="E1664" s="20" t="s">
        <v>10</v>
      </c>
      <c r="F1664" s="20">
        <v>3135.117119</v>
      </c>
      <c r="G1664" s="11">
        <f>VLOOKUP(A1664,'Operational Data'!$A$2:$E$201,3,FALSE)</f>
        <v>53942</v>
      </c>
      <c r="H1664" s="11">
        <f>VLOOKUP(A1664,'Operational Data'!$A$2:$E$201,4,FALSE)</f>
        <v>5904.31</v>
      </c>
      <c r="I1664" s="11">
        <f>VLOOKUP(A1664,'Operational Data'!$A$2:$E$201,5,FALSE)</f>
        <v>32.78</v>
      </c>
      <c r="J1664" s="21">
        <f t="shared" si="25"/>
        <v>5.8120149771977311E-2</v>
      </c>
    </row>
    <row r="1665" spans="1:10" ht="30" x14ac:dyDescent="0.25">
      <c r="A1665" s="20" t="s">
        <v>190</v>
      </c>
      <c r="B1665" s="20" t="s">
        <v>17</v>
      </c>
      <c r="C1665" s="20" t="s">
        <v>23</v>
      </c>
      <c r="D1665" s="20" t="s">
        <v>9</v>
      </c>
      <c r="E1665" s="20" t="s">
        <v>15</v>
      </c>
      <c r="F1665" s="20">
        <v>1288.693927</v>
      </c>
      <c r="G1665" s="11">
        <f>VLOOKUP(A1665,'Operational Data'!$A$2:$E$201,3,FALSE)</f>
        <v>41953</v>
      </c>
      <c r="H1665" s="11">
        <f>VLOOKUP(A1665,'Operational Data'!$A$2:$E$201,4,FALSE)</f>
        <v>2379.14</v>
      </c>
      <c r="I1665" s="11">
        <f>VLOOKUP(A1665,'Operational Data'!$A$2:$E$201,5,FALSE)</f>
        <v>65.67</v>
      </c>
      <c r="J1665" s="21">
        <f t="shared" si="25"/>
        <v>3.0717563154005673E-2</v>
      </c>
    </row>
    <row r="1666" spans="1:10" x14ac:dyDescent="0.25">
      <c r="A1666" s="20" t="s">
        <v>66</v>
      </c>
      <c r="B1666" s="20" t="s">
        <v>30</v>
      </c>
      <c r="C1666" s="20" t="s">
        <v>8</v>
      </c>
      <c r="D1666" s="20" t="s">
        <v>14</v>
      </c>
      <c r="E1666" s="20" t="s">
        <v>10</v>
      </c>
      <c r="F1666" s="20">
        <v>3302.89</v>
      </c>
      <c r="G1666" s="11">
        <f>VLOOKUP(A1666,'Operational Data'!$A$2:$E$201,3,FALSE)</f>
        <v>98396</v>
      </c>
      <c r="H1666" s="11">
        <f>VLOOKUP(A1666,'Operational Data'!$A$2:$E$201,4,FALSE)</f>
        <v>5174.07</v>
      </c>
      <c r="I1666" s="11">
        <f>VLOOKUP(A1666,'Operational Data'!$A$2:$E$201,5,FALSE)</f>
        <v>63.38</v>
      </c>
      <c r="J1666" s="21">
        <f t="shared" si="25"/>
        <v>3.3567319809748364E-2</v>
      </c>
    </row>
    <row r="1667" spans="1:10" x14ac:dyDescent="0.25">
      <c r="A1667" s="20" t="s">
        <v>191</v>
      </c>
      <c r="B1667" s="20" t="s">
        <v>12</v>
      </c>
      <c r="C1667" s="20" t="s">
        <v>13</v>
      </c>
      <c r="D1667" s="20" t="s">
        <v>28</v>
      </c>
      <c r="E1667" s="20" t="s">
        <v>15</v>
      </c>
      <c r="F1667" s="20">
        <v>1167.23</v>
      </c>
      <c r="G1667" s="11">
        <f>VLOOKUP(A1667,'Operational Data'!$A$2:$E$201,3,FALSE)</f>
        <v>43346</v>
      </c>
      <c r="H1667" s="11">
        <f>VLOOKUP(A1667,'Operational Data'!$A$2:$E$201,4,FALSE)</f>
        <v>5559.12</v>
      </c>
      <c r="I1667" s="11">
        <f>VLOOKUP(A1667,'Operational Data'!$A$2:$E$201,5,FALSE)</f>
        <v>39.4</v>
      </c>
      <c r="J1667" s="21">
        <f t="shared" ref="J1667:J1730" si="26">F1667/G1667</f>
        <v>2.6928205601439579E-2</v>
      </c>
    </row>
    <row r="1668" spans="1:10" x14ac:dyDescent="0.25">
      <c r="A1668" s="20" t="s">
        <v>33</v>
      </c>
      <c r="B1668" s="20" t="s">
        <v>19</v>
      </c>
      <c r="C1668" s="20" t="s">
        <v>34</v>
      </c>
      <c r="D1668" s="20" t="s">
        <v>9</v>
      </c>
      <c r="E1668" s="20" t="s">
        <v>10</v>
      </c>
      <c r="F1668" s="20">
        <v>1716.9930870000001</v>
      </c>
      <c r="G1668" s="11">
        <f>VLOOKUP(A1668,'Operational Data'!$A$2:$E$201,3,FALSE)</f>
        <v>65719</v>
      </c>
      <c r="H1668" s="11">
        <f>VLOOKUP(A1668,'Operational Data'!$A$2:$E$201,4,FALSE)</f>
        <v>9362.41</v>
      </c>
      <c r="I1668" s="11">
        <f>VLOOKUP(A1668,'Operational Data'!$A$2:$E$201,5,FALSE)</f>
        <v>86.55</v>
      </c>
      <c r="J1668" s="21">
        <f t="shared" si="26"/>
        <v>2.6126281395030357E-2</v>
      </c>
    </row>
    <row r="1669" spans="1:10" ht="30" x14ac:dyDescent="0.25">
      <c r="A1669" s="20" t="s">
        <v>43</v>
      </c>
      <c r="B1669" s="20" t="s">
        <v>17</v>
      </c>
      <c r="C1669" s="20" t="s">
        <v>13</v>
      </c>
      <c r="D1669" s="20" t="s">
        <v>28</v>
      </c>
      <c r="E1669" s="20" t="s">
        <v>24</v>
      </c>
      <c r="F1669" s="20">
        <v>2018.44</v>
      </c>
      <c r="G1669" s="11">
        <f>VLOOKUP(A1669,'Operational Data'!$A$2:$E$201,3,FALSE)</f>
        <v>41168</v>
      </c>
      <c r="H1669" s="11">
        <f>VLOOKUP(A1669,'Operational Data'!$A$2:$E$201,4,FALSE)</f>
        <v>8226.77</v>
      </c>
      <c r="I1669" s="11">
        <f>VLOOKUP(A1669,'Operational Data'!$A$2:$E$201,5,FALSE)</f>
        <v>42.55</v>
      </c>
      <c r="J1669" s="21">
        <f t="shared" si="26"/>
        <v>4.9029343179168287E-2</v>
      </c>
    </row>
    <row r="1670" spans="1:10" x14ac:dyDescent="0.25">
      <c r="A1670" s="20" t="s">
        <v>122</v>
      </c>
      <c r="B1670" s="20" t="s">
        <v>19</v>
      </c>
      <c r="C1670" s="20" t="s">
        <v>23</v>
      </c>
      <c r="D1670" s="20" t="s">
        <v>9</v>
      </c>
      <c r="E1670" s="20" t="s">
        <v>10</v>
      </c>
      <c r="F1670" s="20">
        <v>5025.5408010000001</v>
      </c>
      <c r="G1670" s="11">
        <f>VLOOKUP(A1670,'Operational Data'!$A$2:$E$201,3,FALSE)</f>
        <v>95962</v>
      </c>
      <c r="H1670" s="11">
        <f>VLOOKUP(A1670,'Operational Data'!$A$2:$E$201,4,FALSE)</f>
        <v>524.72</v>
      </c>
      <c r="I1670" s="11">
        <f>VLOOKUP(A1670,'Operational Data'!$A$2:$E$201,5,FALSE)</f>
        <v>49.55</v>
      </c>
      <c r="J1670" s="21">
        <f t="shared" si="26"/>
        <v>5.237011318021717E-2</v>
      </c>
    </row>
    <row r="1671" spans="1:10" ht="30" x14ac:dyDescent="0.25">
      <c r="A1671" s="20" t="s">
        <v>137</v>
      </c>
      <c r="B1671" s="20" t="s">
        <v>17</v>
      </c>
      <c r="C1671" s="20" t="s">
        <v>34</v>
      </c>
      <c r="D1671" s="20" t="s">
        <v>9</v>
      </c>
      <c r="E1671" s="20" t="s">
        <v>15</v>
      </c>
      <c r="F1671" s="20">
        <v>2513.2965159999999</v>
      </c>
      <c r="G1671" s="11">
        <f>VLOOKUP(A1671,'Operational Data'!$A$2:$E$201,3,FALSE)</f>
        <v>19265</v>
      </c>
      <c r="H1671" s="11">
        <f>VLOOKUP(A1671,'Operational Data'!$A$2:$E$201,4,FALSE)</f>
        <v>776.6</v>
      </c>
      <c r="I1671" s="11">
        <f>VLOOKUP(A1671,'Operational Data'!$A$2:$E$201,5,FALSE)</f>
        <v>39.75</v>
      </c>
      <c r="J1671" s="21">
        <f t="shared" si="26"/>
        <v>0.13045920145341292</v>
      </c>
    </row>
    <row r="1672" spans="1:10" x14ac:dyDescent="0.25">
      <c r="A1672" s="20" t="s">
        <v>166</v>
      </c>
      <c r="B1672" s="20" t="s">
        <v>7</v>
      </c>
      <c r="C1672" s="20" t="s">
        <v>8</v>
      </c>
      <c r="D1672" s="20" t="s">
        <v>14</v>
      </c>
      <c r="E1672" s="20" t="s">
        <v>15</v>
      </c>
      <c r="F1672" s="20">
        <v>2145.48</v>
      </c>
      <c r="G1672" s="11">
        <f>VLOOKUP(A1672,'Operational Data'!$A$2:$E$201,3,FALSE)</f>
        <v>34318</v>
      </c>
      <c r="H1672" s="11">
        <f>VLOOKUP(A1672,'Operational Data'!$A$2:$E$201,4,FALSE)</f>
        <v>675.67</v>
      </c>
      <c r="I1672" s="11">
        <f>VLOOKUP(A1672,'Operational Data'!$A$2:$E$201,5,FALSE)</f>
        <v>41.05</v>
      </c>
      <c r="J1672" s="21">
        <f t="shared" si="26"/>
        <v>6.2517629232472754E-2</v>
      </c>
    </row>
    <row r="1673" spans="1:10" x14ac:dyDescent="0.25">
      <c r="A1673" s="20" t="s">
        <v>29</v>
      </c>
      <c r="B1673" s="20" t="s">
        <v>30</v>
      </c>
      <c r="C1673" s="20" t="s">
        <v>13</v>
      </c>
      <c r="D1673" s="20" t="s">
        <v>14</v>
      </c>
      <c r="E1673" s="20" t="s">
        <v>10</v>
      </c>
      <c r="F1673" s="20">
        <v>1701.79</v>
      </c>
      <c r="G1673" s="11">
        <f>VLOOKUP(A1673,'Operational Data'!$A$2:$E$201,3,FALSE)</f>
        <v>32131</v>
      </c>
      <c r="H1673" s="11">
        <f>VLOOKUP(A1673,'Operational Data'!$A$2:$E$201,4,FALSE)</f>
        <v>1474.23</v>
      </c>
      <c r="I1673" s="11">
        <f>VLOOKUP(A1673,'Operational Data'!$A$2:$E$201,5,FALSE)</f>
        <v>45.47</v>
      </c>
      <c r="J1673" s="21">
        <f t="shared" si="26"/>
        <v>5.2964115651551458E-2</v>
      </c>
    </row>
    <row r="1674" spans="1:10" x14ac:dyDescent="0.25">
      <c r="A1674" s="20" t="s">
        <v>99</v>
      </c>
      <c r="B1674" s="20" t="s">
        <v>19</v>
      </c>
      <c r="C1674" s="20" t="s">
        <v>34</v>
      </c>
      <c r="D1674" s="20" t="s">
        <v>28</v>
      </c>
      <c r="E1674" s="20" t="s">
        <v>15</v>
      </c>
      <c r="F1674" s="20">
        <v>1017.33</v>
      </c>
      <c r="G1674" s="11">
        <f>VLOOKUP(A1674,'Operational Data'!$A$2:$E$201,3,FALSE)</f>
        <v>77400</v>
      </c>
      <c r="H1674" s="11">
        <f>VLOOKUP(A1674,'Operational Data'!$A$2:$E$201,4,FALSE)</f>
        <v>7504.8</v>
      </c>
      <c r="I1674" s="11">
        <f>VLOOKUP(A1674,'Operational Data'!$A$2:$E$201,5,FALSE)</f>
        <v>68.819999999999993</v>
      </c>
      <c r="J1674" s="21">
        <f t="shared" si="26"/>
        <v>1.3143798449612403E-2</v>
      </c>
    </row>
    <row r="1675" spans="1:10" ht="30" x14ac:dyDescent="0.25">
      <c r="A1675" s="20" t="s">
        <v>137</v>
      </c>
      <c r="B1675" s="20" t="s">
        <v>17</v>
      </c>
      <c r="C1675" s="20" t="s">
        <v>8</v>
      </c>
      <c r="D1675" s="20" t="s">
        <v>28</v>
      </c>
      <c r="E1675" s="20" t="s">
        <v>15</v>
      </c>
      <c r="F1675" s="20">
        <v>4417.58</v>
      </c>
      <c r="G1675" s="11">
        <f>VLOOKUP(A1675,'Operational Data'!$A$2:$E$201,3,FALSE)</f>
        <v>19265</v>
      </c>
      <c r="H1675" s="11">
        <f>VLOOKUP(A1675,'Operational Data'!$A$2:$E$201,4,FALSE)</f>
        <v>776.6</v>
      </c>
      <c r="I1675" s="11">
        <f>VLOOKUP(A1675,'Operational Data'!$A$2:$E$201,5,FALSE)</f>
        <v>39.75</v>
      </c>
      <c r="J1675" s="21">
        <f t="shared" si="26"/>
        <v>0.22930599532831558</v>
      </c>
    </row>
    <row r="1676" spans="1:10" x14ac:dyDescent="0.25">
      <c r="A1676" s="20" t="s">
        <v>25</v>
      </c>
      <c r="B1676" s="20" t="s">
        <v>19</v>
      </c>
      <c r="C1676" s="20" t="s">
        <v>8</v>
      </c>
      <c r="D1676" s="20" t="s">
        <v>14</v>
      </c>
      <c r="E1676" s="20" t="s">
        <v>10</v>
      </c>
      <c r="F1676" s="20">
        <v>2948.39</v>
      </c>
      <c r="G1676" s="11">
        <f>VLOOKUP(A1676,'Operational Data'!$A$2:$E$201,3,FALSE)</f>
        <v>95306</v>
      </c>
      <c r="H1676" s="11">
        <f>VLOOKUP(A1676,'Operational Data'!$A$2:$E$201,4,FALSE)</f>
        <v>9037.76</v>
      </c>
      <c r="I1676" s="11">
        <f>VLOOKUP(A1676,'Operational Data'!$A$2:$E$201,5,FALSE)</f>
        <v>13.35</v>
      </c>
      <c r="J1676" s="21">
        <f t="shared" si="26"/>
        <v>3.09360376051875E-2</v>
      </c>
    </row>
    <row r="1677" spans="1:10" x14ac:dyDescent="0.25">
      <c r="A1677" s="20" t="s">
        <v>196</v>
      </c>
      <c r="B1677" s="20" t="s">
        <v>30</v>
      </c>
      <c r="C1677" s="20" t="s">
        <v>23</v>
      </c>
      <c r="D1677" s="20" t="s">
        <v>28</v>
      </c>
      <c r="E1677" s="20" t="s">
        <v>24</v>
      </c>
      <c r="F1677" s="20">
        <v>2543.38</v>
      </c>
      <c r="G1677" s="11">
        <f>VLOOKUP(A1677,'Operational Data'!$A$2:$E$201,3,FALSE)</f>
        <v>12262</v>
      </c>
      <c r="H1677" s="11">
        <f>VLOOKUP(A1677,'Operational Data'!$A$2:$E$201,4,FALSE)</f>
        <v>7106.18</v>
      </c>
      <c r="I1677" s="11">
        <f>VLOOKUP(A1677,'Operational Data'!$A$2:$E$201,5,FALSE)</f>
        <v>45.69</v>
      </c>
      <c r="J1677" s="21">
        <f t="shared" si="26"/>
        <v>0.20741967052683086</v>
      </c>
    </row>
    <row r="1678" spans="1:10" x14ac:dyDescent="0.25">
      <c r="A1678" s="20" t="s">
        <v>160</v>
      </c>
      <c r="B1678" s="20" t="s">
        <v>30</v>
      </c>
      <c r="C1678" s="20" t="s">
        <v>13</v>
      </c>
      <c r="D1678" s="20" t="s">
        <v>9</v>
      </c>
      <c r="E1678" s="20" t="s">
        <v>15</v>
      </c>
      <c r="F1678" s="20">
        <v>3031.49</v>
      </c>
      <c r="G1678" s="11">
        <f>VLOOKUP(A1678,'Operational Data'!$A$2:$E$201,3,FALSE)</f>
        <v>18341</v>
      </c>
      <c r="H1678" s="11">
        <f>VLOOKUP(A1678,'Operational Data'!$A$2:$E$201,4,FALSE)</f>
        <v>8465.57</v>
      </c>
      <c r="I1678" s="11">
        <f>VLOOKUP(A1678,'Operational Data'!$A$2:$E$201,5,FALSE)</f>
        <v>38.39</v>
      </c>
      <c r="J1678" s="21">
        <f t="shared" si="26"/>
        <v>0.16528488086800064</v>
      </c>
    </row>
    <row r="1679" spans="1:10" ht="30" x14ac:dyDescent="0.25">
      <c r="A1679" s="20" t="s">
        <v>116</v>
      </c>
      <c r="B1679" s="20" t="s">
        <v>17</v>
      </c>
      <c r="C1679" s="20" t="s">
        <v>34</v>
      </c>
      <c r="D1679" s="20" t="s">
        <v>9</v>
      </c>
      <c r="E1679" s="20" t="s">
        <v>15</v>
      </c>
      <c r="F1679" s="20">
        <v>4209.3514340000002</v>
      </c>
      <c r="G1679" s="11">
        <f>VLOOKUP(A1679,'Operational Data'!$A$2:$E$201,3,FALSE)</f>
        <v>68216</v>
      </c>
      <c r="H1679" s="11">
        <f>VLOOKUP(A1679,'Operational Data'!$A$2:$E$201,4,FALSE)</f>
        <v>9562.33</v>
      </c>
      <c r="I1679" s="11">
        <f>VLOOKUP(A1679,'Operational Data'!$A$2:$E$201,5,FALSE)</f>
        <v>63.59</v>
      </c>
      <c r="J1679" s="21">
        <f t="shared" si="26"/>
        <v>6.1706218980884249E-2</v>
      </c>
    </row>
    <row r="1680" spans="1:10" x14ac:dyDescent="0.25">
      <c r="A1680" s="20" t="s">
        <v>119</v>
      </c>
      <c r="B1680" s="20" t="s">
        <v>30</v>
      </c>
      <c r="C1680" s="20" t="s">
        <v>8</v>
      </c>
      <c r="D1680" s="20" t="s">
        <v>14</v>
      </c>
      <c r="E1680" s="20" t="s">
        <v>24</v>
      </c>
      <c r="F1680" s="20">
        <v>3571.08</v>
      </c>
      <c r="G1680" s="11">
        <f>VLOOKUP(A1680,'Operational Data'!$A$2:$E$201,3,FALSE)</f>
        <v>80488</v>
      </c>
      <c r="H1680" s="11">
        <f>VLOOKUP(A1680,'Operational Data'!$A$2:$E$201,4,FALSE)</f>
        <v>7629.95</v>
      </c>
      <c r="I1680" s="11">
        <f>VLOOKUP(A1680,'Operational Data'!$A$2:$E$201,5,FALSE)</f>
        <v>63.83</v>
      </c>
      <c r="J1680" s="21">
        <f t="shared" si="26"/>
        <v>4.4367856077924657E-2</v>
      </c>
    </row>
    <row r="1681" spans="1:10" x14ac:dyDescent="0.25">
      <c r="A1681" s="20" t="s">
        <v>41</v>
      </c>
      <c r="B1681" s="20" t="s">
        <v>30</v>
      </c>
      <c r="C1681" s="20" t="s">
        <v>8</v>
      </c>
      <c r="D1681" s="20" t="s">
        <v>28</v>
      </c>
      <c r="E1681" s="20" t="s">
        <v>15</v>
      </c>
      <c r="F1681" s="20">
        <v>887.49</v>
      </c>
      <c r="G1681" s="11">
        <f>VLOOKUP(A1681,'Operational Data'!$A$2:$E$201,3,FALSE)</f>
        <v>61743</v>
      </c>
      <c r="H1681" s="11">
        <f>VLOOKUP(A1681,'Operational Data'!$A$2:$E$201,4,FALSE)</f>
        <v>7426.75</v>
      </c>
      <c r="I1681" s="11">
        <f>VLOOKUP(A1681,'Operational Data'!$A$2:$E$201,5,FALSE)</f>
        <v>26.39</v>
      </c>
      <c r="J1681" s="21">
        <f t="shared" si="26"/>
        <v>1.4373937126475876E-2</v>
      </c>
    </row>
    <row r="1682" spans="1:10" x14ac:dyDescent="0.25">
      <c r="A1682" s="20" t="s">
        <v>193</v>
      </c>
      <c r="B1682" s="20" t="s">
        <v>12</v>
      </c>
      <c r="C1682" s="20" t="s">
        <v>8</v>
      </c>
      <c r="D1682" s="20" t="s">
        <v>28</v>
      </c>
      <c r="E1682" s="20" t="s">
        <v>10</v>
      </c>
      <c r="F1682" s="20">
        <v>1618.49</v>
      </c>
      <c r="G1682" s="11">
        <f>VLOOKUP(A1682,'Operational Data'!$A$2:$E$201,3,FALSE)</f>
        <v>13333</v>
      </c>
      <c r="H1682" s="11">
        <f>VLOOKUP(A1682,'Operational Data'!$A$2:$E$201,4,FALSE)</f>
        <v>6102.15</v>
      </c>
      <c r="I1682" s="11">
        <f>VLOOKUP(A1682,'Operational Data'!$A$2:$E$201,5,FALSE)</f>
        <v>17.670000000000002</v>
      </c>
      <c r="J1682" s="21">
        <f t="shared" si="26"/>
        <v>0.12138978474461862</v>
      </c>
    </row>
    <row r="1683" spans="1:10" x14ac:dyDescent="0.25">
      <c r="A1683" s="20" t="s">
        <v>152</v>
      </c>
      <c r="B1683" s="20" t="s">
        <v>30</v>
      </c>
      <c r="C1683" s="20" t="s">
        <v>8</v>
      </c>
      <c r="D1683" s="20" t="s">
        <v>9</v>
      </c>
      <c r="E1683" s="20" t="s">
        <v>10</v>
      </c>
      <c r="F1683" s="20">
        <v>4625.4638729999997</v>
      </c>
      <c r="G1683" s="11">
        <f>VLOOKUP(A1683,'Operational Data'!$A$2:$E$201,3,FALSE)</f>
        <v>21914</v>
      </c>
      <c r="H1683" s="11">
        <f>VLOOKUP(A1683,'Operational Data'!$A$2:$E$201,4,FALSE)</f>
        <v>5897.27</v>
      </c>
      <c r="I1683" s="11">
        <f>VLOOKUP(A1683,'Operational Data'!$A$2:$E$201,5,FALSE)</f>
        <v>49.41</v>
      </c>
      <c r="J1683" s="21">
        <f t="shared" si="26"/>
        <v>0.21107346321985943</v>
      </c>
    </row>
    <row r="1684" spans="1:10" x14ac:dyDescent="0.25">
      <c r="A1684" s="20" t="s">
        <v>25</v>
      </c>
      <c r="B1684" s="20" t="s">
        <v>19</v>
      </c>
      <c r="C1684" s="20" t="s">
        <v>34</v>
      </c>
      <c r="D1684" s="20" t="s">
        <v>28</v>
      </c>
      <c r="E1684" s="20" t="s">
        <v>10</v>
      </c>
      <c r="F1684" s="20">
        <v>968.64</v>
      </c>
      <c r="G1684" s="11">
        <f>VLOOKUP(A1684,'Operational Data'!$A$2:$E$201,3,FALSE)</f>
        <v>95306</v>
      </c>
      <c r="H1684" s="11">
        <f>VLOOKUP(A1684,'Operational Data'!$A$2:$E$201,4,FALSE)</f>
        <v>9037.76</v>
      </c>
      <c r="I1684" s="11">
        <f>VLOOKUP(A1684,'Operational Data'!$A$2:$E$201,5,FALSE)</f>
        <v>13.35</v>
      </c>
      <c r="J1684" s="21">
        <f t="shared" si="26"/>
        <v>1.0163473443434832E-2</v>
      </c>
    </row>
    <row r="1685" spans="1:10" ht="30" x14ac:dyDescent="0.25">
      <c r="A1685" s="20" t="s">
        <v>149</v>
      </c>
      <c r="B1685" s="20" t="s">
        <v>17</v>
      </c>
      <c r="C1685" s="20" t="s">
        <v>23</v>
      </c>
      <c r="D1685" s="20" t="s">
        <v>9</v>
      </c>
      <c r="E1685" s="20" t="s">
        <v>15</v>
      </c>
      <c r="F1685" s="20">
        <v>2182.0643799999998</v>
      </c>
      <c r="G1685" s="11">
        <f>VLOOKUP(A1685,'Operational Data'!$A$2:$E$201,3,FALSE)</f>
        <v>49885</v>
      </c>
      <c r="H1685" s="11">
        <f>VLOOKUP(A1685,'Operational Data'!$A$2:$E$201,4,FALSE)</f>
        <v>6845.46</v>
      </c>
      <c r="I1685" s="11">
        <f>VLOOKUP(A1685,'Operational Data'!$A$2:$E$201,5,FALSE)</f>
        <v>58.4</v>
      </c>
      <c r="J1685" s="21">
        <f t="shared" si="26"/>
        <v>4.3741893956099023E-2</v>
      </c>
    </row>
    <row r="1686" spans="1:10" x14ac:dyDescent="0.25">
      <c r="A1686" s="20" t="s">
        <v>103</v>
      </c>
      <c r="B1686" s="20" t="s">
        <v>19</v>
      </c>
      <c r="C1686" s="20" t="s">
        <v>23</v>
      </c>
      <c r="D1686" s="20" t="s">
        <v>9</v>
      </c>
      <c r="E1686" s="20" t="s">
        <v>24</v>
      </c>
      <c r="F1686" s="20">
        <v>2401.339125</v>
      </c>
      <c r="G1686" s="11">
        <f>VLOOKUP(A1686,'Operational Data'!$A$2:$E$201,3,FALSE)</f>
        <v>38869</v>
      </c>
      <c r="H1686" s="11">
        <f>VLOOKUP(A1686,'Operational Data'!$A$2:$E$201,4,FALSE)</f>
        <v>5109.76</v>
      </c>
      <c r="I1686" s="11">
        <f>VLOOKUP(A1686,'Operational Data'!$A$2:$E$201,5,FALSE)</f>
        <v>35.270000000000003</v>
      </c>
      <c r="J1686" s="21">
        <f t="shared" si="26"/>
        <v>6.1780316576191825E-2</v>
      </c>
    </row>
    <row r="1687" spans="1:10" x14ac:dyDescent="0.25">
      <c r="A1687" s="20" t="s">
        <v>69</v>
      </c>
      <c r="B1687" s="20" t="s">
        <v>7</v>
      </c>
      <c r="C1687" s="20" t="s">
        <v>34</v>
      </c>
      <c r="D1687" s="20" t="s">
        <v>9</v>
      </c>
      <c r="E1687" s="20" t="s">
        <v>10</v>
      </c>
      <c r="F1687" s="20">
        <v>1887.9748999999999</v>
      </c>
      <c r="G1687" s="11">
        <f>VLOOKUP(A1687,'Operational Data'!$A$2:$E$201,3,FALSE)</f>
        <v>34725</v>
      </c>
      <c r="H1687" s="11">
        <f>VLOOKUP(A1687,'Operational Data'!$A$2:$E$201,4,FALSE)</f>
        <v>3269.89</v>
      </c>
      <c r="I1687" s="11">
        <f>VLOOKUP(A1687,'Operational Data'!$A$2:$E$201,5,FALSE)</f>
        <v>78.86</v>
      </c>
      <c r="J1687" s="21">
        <f t="shared" si="26"/>
        <v>5.4369327573794098E-2</v>
      </c>
    </row>
    <row r="1688" spans="1:10" x14ac:dyDescent="0.25">
      <c r="A1688" s="20" t="s">
        <v>105</v>
      </c>
      <c r="B1688" s="20" t="s">
        <v>30</v>
      </c>
      <c r="C1688" s="20" t="s">
        <v>34</v>
      </c>
      <c r="D1688" s="20" t="s">
        <v>14</v>
      </c>
      <c r="E1688" s="20" t="s">
        <v>15</v>
      </c>
      <c r="F1688" s="20">
        <v>1740.85</v>
      </c>
      <c r="G1688" s="11">
        <f>VLOOKUP(A1688,'Operational Data'!$A$2:$E$201,3,FALSE)</f>
        <v>87337</v>
      </c>
      <c r="H1688" s="11">
        <f>VLOOKUP(A1688,'Operational Data'!$A$2:$E$201,4,FALSE)</f>
        <v>3603.06</v>
      </c>
      <c r="I1688" s="11">
        <f>VLOOKUP(A1688,'Operational Data'!$A$2:$E$201,5,FALSE)</f>
        <v>67.13</v>
      </c>
      <c r="J1688" s="21">
        <f t="shared" si="26"/>
        <v>1.9932560083355279E-2</v>
      </c>
    </row>
    <row r="1689" spans="1:10" x14ac:dyDescent="0.25">
      <c r="A1689" s="20" t="s">
        <v>92</v>
      </c>
      <c r="B1689" s="20" t="s">
        <v>30</v>
      </c>
      <c r="C1689" s="20" t="s">
        <v>8</v>
      </c>
      <c r="D1689" s="20" t="s">
        <v>9</v>
      </c>
      <c r="E1689" s="20" t="s">
        <v>24</v>
      </c>
      <c r="F1689" s="20">
        <v>4524.0168549999999</v>
      </c>
      <c r="G1689" s="11">
        <f>VLOOKUP(A1689,'Operational Data'!$A$2:$E$201,3,FALSE)</f>
        <v>18726</v>
      </c>
      <c r="H1689" s="11">
        <f>VLOOKUP(A1689,'Operational Data'!$A$2:$E$201,4,FALSE)</f>
        <v>5099.54</v>
      </c>
      <c r="I1689" s="11">
        <f>VLOOKUP(A1689,'Operational Data'!$A$2:$E$201,5,FALSE)</f>
        <v>71.05</v>
      </c>
      <c r="J1689" s="21">
        <f t="shared" si="26"/>
        <v>0.24159013430524404</v>
      </c>
    </row>
    <row r="1690" spans="1:10" x14ac:dyDescent="0.25">
      <c r="A1690" s="20" t="s">
        <v>52</v>
      </c>
      <c r="B1690" s="20" t="s">
        <v>19</v>
      </c>
      <c r="C1690" s="20" t="s">
        <v>34</v>
      </c>
      <c r="D1690" s="20" t="s">
        <v>9</v>
      </c>
      <c r="E1690" s="20" t="s">
        <v>10</v>
      </c>
      <c r="F1690" s="20">
        <v>4975.538391</v>
      </c>
      <c r="G1690" s="11">
        <f>VLOOKUP(A1690,'Operational Data'!$A$2:$E$201,3,FALSE)</f>
        <v>94949</v>
      </c>
      <c r="H1690" s="11">
        <f>VLOOKUP(A1690,'Operational Data'!$A$2:$E$201,4,FALSE)</f>
        <v>9714.76</v>
      </c>
      <c r="I1690" s="11">
        <f>VLOOKUP(A1690,'Operational Data'!$A$2:$E$201,5,FALSE)</f>
        <v>64.900000000000006</v>
      </c>
      <c r="J1690" s="21">
        <f t="shared" si="26"/>
        <v>5.2402220044444912E-2</v>
      </c>
    </row>
    <row r="1691" spans="1:10" ht="30" x14ac:dyDescent="0.25">
      <c r="A1691" s="20" t="s">
        <v>147</v>
      </c>
      <c r="B1691" s="20" t="s">
        <v>17</v>
      </c>
      <c r="C1691" s="20" t="s">
        <v>13</v>
      </c>
      <c r="D1691" s="20" t="s">
        <v>28</v>
      </c>
      <c r="E1691" s="20" t="s">
        <v>10</v>
      </c>
      <c r="F1691" s="20">
        <v>1573</v>
      </c>
      <c r="G1691" s="11">
        <f>VLOOKUP(A1691,'Operational Data'!$A$2:$E$201,3,FALSE)</f>
        <v>24095</v>
      </c>
      <c r="H1691" s="11">
        <f>VLOOKUP(A1691,'Operational Data'!$A$2:$E$201,4,FALSE)</f>
        <v>3167.52</v>
      </c>
      <c r="I1691" s="11">
        <f>VLOOKUP(A1691,'Operational Data'!$A$2:$E$201,5,FALSE)</f>
        <v>31.02</v>
      </c>
      <c r="J1691" s="21">
        <f t="shared" si="26"/>
        <v>6.5283253787092752E-2</v>
      </c>
    </row>
    <row r="1692" spans="1:10" x14ac:dyDescent="0.25">
      <c r="A1692" s="20" t="s">
        <v>213</v>
      </c>
      <c r="B1692" s="20" t="s">
        <v>12</v>
      </c>
      <c r="C1692" s="20" t="s">
        <v>34</v>
      </c>
      <c r="D1692" s="20" t="s">
        <v>28</v>
      </c>
      <c r="E1692" s="20" t="s">
        <v>10</v>
      </c>
      <c r="F1692" s="20">
        <v>1578.72</v>
      </c>
      <c r="G1692" s="11">
        <f>VLOOKUP(A1692,'Operational Data'!$A$2:$E$201,3,FALSE)</f>
        <v>58622</v>
      </c>
      <c r="H1692" s="11">
        <f>VLOOKUP(A1692,'Operational Data'!$A$2:$E$201,4,FALSE)</f>
        <v>7795.36</v>
      </c>
      <c r="I1692" s="11">
        <f>VLOOKUP(A1692,'Operational Data'!$A$2:$E$201,5,FALSE)</f>
        <v>59.81</v>
      </c>
      <c r="J1692" s="21">
        <f t="shared" si="26"/>
        <v>2.6930503906383269E-2</v>
      </c>
    </row>
    <row r="1693" spans="1:10" x14ac:dyDescent="0.25">
      <c r="A1693" s="20" t="s">
        <v>84</v>
      </c>
      <c r="B1693" s="20" t="s">
        <v>30</v>
      </c>
      <c r="C1693" s="20" t="s">
        <v>34</v>
      </c>
      <c r="D1693" s="20" t="s">
        <v>9</v>
      </c>
      <c r="E1693" s="20" t="s">
        <v>24</v>
      </c>
      <c r="F1693" s="20">
        <v>3818.4985240000001</v>
      </c>
      <c r="G1693" s="11">
        <f>VLOOKUP(A1693,'Operational Data'!$A$2:$E$201,3,FALSE)</f>
        <v>85444</v>
      </c>
      <c r="H1693" s="11">
        <f>VLOOKUP(A1693,'Operational Data'!$A$2:$E$201,4,FALSE)</f>
        <v>852.57</v>
      </c>
      <c r="I1693" s="11">
        <f>VLOOKUP(A1693,'Operational Data'!$A$2:$E$201,5,FALSE)</f>
        <v>72.650000000000006</v>
      </c>
      <c r="J1693" s="21">
        <f t="shared" si="26"/>
        <v>4.4690072140817376E-2</v>
      </c>
    </row>
    <row r="1694" spans="1:10" ht="30" x14ac:dyDescent="0.25">
      <c r="A1694" s="20" t="s">
        <v>76</v>
      </c>
      <c r="B1694" s="20" t="s">
        <v>17</v>
      </c>
      <c r="C1694" s="20" t="s">
        <v>23</v>
      </c>
      <c r="D1694" s="20" t="s">
        <v>28</v>
      </c>
      <c r="E1694" s="20" t="s">
        <v>24</v>
      </c>
      <c r="F1694" s="20">
        <v>2731.54</v>
      </c>
      <c r="G1694" s="11">
        <f>VLOOKUP(A1694,'Operational Data'!$A$2:$E$201,3,FALSE)</f>
        <v>59617</v>
      </c>
      <c r="H1694" s="11">
        <f>VLOOKUP(A1694,'Operational Data'!$A$2:$E$201,4,FALSE)</f>
        <v>5000.95</v>
      </c>
      <c r="I1694" s="11">
        <f>VLOOKUP(A1694,'Operational Data'!$A$2:$E$201,5,FALSE)</f>
        <v>80.36</v>
      </c>
      <c r="J1694" s="21">
        <f t="shared" si="26"/>
        <v>4.581813912139155E-2</v>
      </c>
    </row>
    <row r="1695" spans="1:10" ht="30" x14ac:dyDescent="0.25">
      <c r="A1695" s="20" t="s">
        <v>140</v>
      </c>
      <c r="B1695" s="20" t="s">
        <v>17</v>
      </c>
      <c r="C1695" s="20" t="s">
        <v>8</v>
      </c>
      <c r="D1695" s="20" t="s">
        <v>14</v>
      </c>
      <c r="E1695" s="20" t="s">
        <v>24</v>
      </c>
      <c r="F1695" s="20">
        <v>156.84</v>
      </c>
      <c r="G1695" s="11">
        <f>VLOOKUP(A1695,'Operational Data'!$A$2:$E$201,3,FALSE)</f>
        <v>88308</v>
      </c>
      <c r="H1695" s="11">
        <f>VLOOKUP(A1695,'Operational Data'!$A$2:$E$201,4,FALSE)</f>
        <v>7802.07</v>
      </c>
      <c r="I1695" s="11">
        <f>VLOOKUP(A1695,'Operational Data'!$A$2:$E$201,5,FALSE)</f>
        <v>36.130000000000003</v>
      </c>
      <c r="J1695" s="21">
        <f t="shared" si="26"/>
        <v>1.7760565294197581E-3</v>
      </c>
    </row>
    <row r="1696" spans="1:10" x14ac:dyDescent="0.25">
      <c r="A1696" s="20" t="s">
        <v>85</v>
      </c>
      <c r="B1696" s="20" t="s">
        <v>30</v>
      </c>
      <c r="C1696" s="20" t="s">
        <v>23</v>
      </c>
      <c r="D1696" s="20" t="s">
        <v>28</v>
      </c>
      <c r="E1696" s="20" t="s">
        <v>10</v>
      </c>
      <c r="F1696" s="20">
        <v>300.70999999999998</v>
      </c>
      <c r="G1696" s="11">
        <f>VLOOKUP(A1696,'Operational Data'!$A$2:$E$201,3,FALSE)</f>
        <v>45519</v>
      </c>
      <c r="H1696" s="11">
        <f>VLOOKUP(A1696,'Operational Data'!$A$2:$E$201,4,FALSE)</f>
        <v>7987.69</v>
      </c>
      <c r="I1696" s="11">
        <f>VLOOKUP(A1696,'Operational Data'!$A$2:$E$201,5,FALSE)</f>
        <v>10.86</v>
      </c>
      <c r="J1696" s="21">
        <f t="shared" si="26"/>
        <v>6.6062523341901182E-3</v>
      </c>
    </row>
    <row r="1697" spans="1:10" x14ac:dyDescent="0.25">
      <c r="A1697" s="20" t="s">
        <v>74</v>
      </c>
      <c r="B1697" s="20" t="s">
        <v>19</v>
      </c>
      <c r="C1697" s="20" t="s">
        <v>34</v>
      </c>
      <c r="D1697" s="20" t="s">
        <v>28</v>
      </c>
      <c r="E1697" s="20" t="s">
        <v>10</v>
      </c>
      <c r="F1697" s="20">
        <v>4929.3599999999997</v>
      </c>
      <c r="G1697" s="11">
        <f>VLOOKUP(A1697,'Operational Data'!$A$2:$E$201,3,FALSE)</f>
        <v>18175</v>
      </c>
      <c r="H1697" s="11">
        <f>VLOOKUP(A1697,'Operational Data'!$A$2:$E$201,4,FALSE)</f>
        <v>8349.49</v>
      </c>
      <c r="I1697" s="11">
        <f>VLOOKUP(A1697,'Operational Data'!$A$2:$E$201,5,FALSE)</f>
        <v>39.97</v>
      </c>
      <c r="J1697" s="21">
        <f t="shared" si="26"/>
        <v>0.27121650618982118</v>
      </c>
    </row>
    <row r="1698" spans="1:10" x14ac:dyDescent="0.25">
      <c r="A1698" s="20" t="s">
        <v>108</v>
      </c>
      <c r="B1698" s="20" t="s">
        <v>7</v>
      </c>
      <c r="C1698" s="20" t="s">
        <v>13</v>
      </c>
      <c r="D1698" s="20" t="s">
        <v>9</v>
      </c>
      <c r="E1698" s="20" t="s">
        <v>10</v>
      </c>
      <c r="F1698" s="20">
        <v>2623.4664130000001</v>
      </c>
      <c r="G1698" s="11">
        <f>VLOOKUP(A1698,'Operational Data'!$A$2:$E$201,3,FALSE)</f>
        <v>22201</v>
      </c>
      <c r="H1698" s="11">
        <f>VLOOKUP(A1698,'Operational Data'!$A$2:$E$201,4,FALSE)</f>
        <v>2853.66</v>
      </c>
      <c r="I1698" s="11">
        <f>VLOOKUP(A1698,'Operational Data'!$A$2:$E$201,5,FALSE)</f>
        <v>71.94</v>
      </c>
      <c r="J1698" s="21">
        <f t="shared" si="26"/>
        <v>0.11816883982703483</v>
      </c>
    </row>
    <row r="1699" spans="1:10" ht="30" x14ac:dyDescent="0.25">
      <c r="A1699" s="20" t="s">
        <v>104</v>
      </c>
      <c r="B1699" s="20" t="s">
        <v>17</v>
      </c>
      <c r="C1699" s="20" t="s">
        <v>23</v>
      </c>
      <c r="D1699" s="20" t="s">
        <v>9</v>
      </c>
      <c r="E1699" s="20" t="s">
        <v>10</v>
      </c>
      <c r="F1699" s="20">
        <v>3247.07</v>
      </c>
      <c r="G1699" s="11">
        <f>VLOOKUP(A1699,'Operational Data'!$A$2:$E$201,3,FALSE)</f>
        <v>16868</v>
      </c>
      <c r="H1699" s="11">
        <f>VLOOKUP(A1699,'Operational Data'!$A$2:$E$201,4,FALSE)</f>
        <v>1378.01</v>
      </c>
      <c r="I1699" s="11">
        <f>VLOOKUP(A1699,'Operational Data'!$A$2:$E$201,5,FALSE)</f>
        <v>47.52</v>
      </c>
      <c r="J1699" s="21">
        <f t="shared" si="26"/>
        <v>0.19249881432297844</v>
      </c>
    </row>
    <row r="1700" spans="1:10" ht="30" x14ac:dyDescent="0.25">
      <c r="A1700" s="20" t="s">
        <v>156</v>
      </c>
      <c r="B1700" s="20" t="s">
        <v>17</v>
      </c>
      <c r="C1700" s="20" t="s">
        <v>23</v>
      </c>
      <c r="D1700" s="20" t="s">
        <v>28</v>
      </c>
      <c r="E1700" s="20" t="s">
        <v>24</v>
      </c>
      <c r="F1700" s="20">
        <v>1917.71</v>
      </c>
      <c r="G1700" s="11">
        <f>VLOOKUP(A1700,'Operational Data'!$A$2:$E$201,3,FALSE)</f>
        <v>81057</v>
      </c>
      <c r="H1700" s="11">
        <f>VLOOKUP(A1700,'Operational Data'!$A$2:$E$201,4,FALSE)</f>
        <v>675.41</v>
      </c>
      <c r="I1700" s="11">
        <f>VLOOKUP(A1700,'Operational Data'!$A$2:$E$201,5,FALSE)</f>
        <v>55.44</v>
      </c>
      <c r="J1700" s="21">
        <f t="shared" si="26"/>
        <v>2.3658783325314285E-2</v>
      </c>
    </row>
    <row r="1701" spans="1:10" x14ac:dyDescent="0.25">
      <c r="A1701" s="20" t="s">
        <v>155</v>
      </c>
      <c r="B1701" s="20" t="s">
        <v>7</v>
      </c>
      <c r="C1701" s="20" t="s">
        <v>13</v>
      </c>
      <c r="D1701" s="20" t="s">
        <v>28</v>
      </c>
      <c r="E1701" s="20" t="s">
        <v>24</v>
      </c>
      <c r="F1701" s="20">
        <v>3841.45</v>
      </c>
      <c r="G1701" s="11">
        <f>VLOOKUP(A1701,'Operational Data'!$A$2:$E$201,3,FALSE)</f>
        <v>72224</v>
      </c>
      <c r="H1701" s="11">
        <f>VLOOKUP(A1701,'Operational Data'!$A$2:$E$201,4,FALSE)</f>
        <v>1613.32</v>
      </c>
      <c r="I1701" s="11">
        <f>VLOOKUP(A1701,'Operational Data'!$A$2:$E$201,5,FALSE)</f>
        <v>39.21</v>
      </c>
      <c r="J1701" s="21">
        <f t="shared" si="26"/>
        <v>5.3187998449268942E-2</v>
      </c>
    </row>
    <row r="1702" spans="1:10" x14ac:dyDescent="0.25">
      <c r="A1702" s="20" t="s">
        <v>121</v>
      </c>
      <c r="B1702" s="20" t="s">
        <v>30</v>
      </c>
      <c r="C1702" s="20" t="s">
        <v>34</v>
      </c>
      <c r="D1702" s="20" t="s">
        <v>28</v>
      </c>
      <c r="E1702" s="20" t="s">
        <v>10</v>
      </c>
      <c r="F1702" s="20">
        <v>4035.07</v>
      </c>
      <c r="G1702" s="11">
        <f>VLOOKUP(A1702,'Operational Data'!$A$2:$E$201,3,FALSE)</f>
        <v>58895</v>
      </c>
      <c r="H1702" s="11">
        <f>VLOOKUP(A1702,'Operational Data'!$A$2:$E$201,4,FALSE)</f>
        <v>3039.17</v>
      </c>
      <c r="I1702" s="11">
        <f>VLOOKUP(A1702,'Operational Data'!$A$2:$E$201,5,FALSE)</f>
        <v>59.82</v>
      </c>
      <c r="J1702" s="21">
        <f t="shared" si="26"/>
        <v>6.8512946769674843E-2</v>
      </c>
    </row>
    <row r="1703" spans="1:10" x14ac:dyDescent="0.25">
      <c r="A1703" s="20" t="s">
        <v>175</v>
      </c>
      <c r="B1703" s="20" t="s">
        <v>7</v>
      </c>
      <c r="C1703" s="20" t="s">
        <v>34</v>
      </c>
      <c r="D1703" s="20" t="s">
        <v>14</v>
      </c>
      <c r="E1703" s="20" t="s">
        <v>15</v>
      </c>
      <c r="F1703" s="20">
        <v>3477.6</v>
      </c>
      <c r="G1703" s="11">
        <f>VLOOKUP(A1703,'Operational Data'!$A$2:$E$201,3,FALSE)</f>
        <v>83923</v>
      </c>
      <c r="H1703" s="11">
        <f>VLOOKUP(A1703,'Operational Data'!$A$2:$E$201,4,FALSE)</f>
        <v>8768.7999999999993</v>
      </c>
      <c r="I1703" s="11">
        <f>VLOOKUP(A1703,'Operational Data'!$A$2:$E$201,5,FALSE)</f>
        <v>65.290000000000006</v>
      </c>
      <c r="J1703" s="21">
        <f t="shared" si="26"/>
        <v>4.1437984819417802E-2</v>
      </c>
    </row>
    <row r="1704" spans="1:10" x14ac:dyDescent="0.25">
      <c r="A1704" s="20" t="s">
        <v>186</v>
      </c>
      <c r="B1704" s="20" t="s">
        <v>30</v>
      </c>
      <c r="C1704" s="20" t="s">
        <v>8</v>
      </c>
      <c r="D1704" s="20" t="s">
        <v>14</v>
      </c>
      <c r="E1704" s="20" t="s">
        <v>24</v>
      </c>
      <c r="F1704" s="20">
        <v>1743.67</v>
      </c>
      <c r="G1704" s="11">
        <f>VLOOKUP(A1704,'Operational Data'!$A$2:$E$201,3,FALSE)</f>
        <v>85868</v>
      </c>
      <c r="H1704" s="11">
        <f>VLOOKUP(A1704,'Operational Data'!$A$2:$E$201,4,FALSE)</f>
        <v>907.72</v>
      </c>
      <c r="I1704" s="11">
        <f>VLOOKUP(A1704,'Operational Data'!$A$2:$E$201,5,FALSE)</f>
        <v>90.36</v>
      </c>
      <c r="J1704" s="21">
        <f t="shared" si="26"/>
        <v>2.0306400521731029E-2</v>
      </c>
    </row>
    <row r="1705" spans="1:10" x14ac:dyDescent="0.25">
      <c r="A1705" s="20" t="s">
        <v>111</v>
      </c>
      <c r="B1705" s="20" t="s">
        <v>19</v>
      </c>
      <c r="C1705" s="20" t="s">
        <v>8</v>
      </c>
      <c r="D1705" s="20" t="s">
        <v>9</v>
      </c>
      <c r="E1705" s="20" t="s">
        <v>24</v>
      </c>
      <c r="F1705" s="20">
        <v>2351.4377829999999</v>
      </c>
      <c r="G1705" s="11">
        <f>VLOOKUP(A1705,'Operational Data'!$A$2:$E$201,3,FALSE)</f>
        <v>37309</v>
      </c>
      <c r="H1705" s="11">
        <f>VLOOKUP(A1705,'Operational Data'!$A$2:$E$201,4,FALSE)</f>
        <v>4508.54</v>
      </c>
      <c r="I1705" s="11">
        <f>VLOOKUP(A1705,'Operational Data'!$A$2:$E$201,5,FALSE)</f>
        <v>47.15</v>
      </c>
      <c r="J1705" s="21">
        <f t="shared" si="26"/>
        <v>6.3026020075584971E-2</v>
      </c>
    </row>
    <row r="1706" spans="1:10" x14ac:dyDescent="0.25">
      <c r="A1706" s="20" t="s">
        <v>211</v>
      </c>
      <c r="B1706" s="20" t="s">
        <v>7</v>
      </c>
      <c r="C1706" s="20" t="s">
        <v>8</v>
      </c>
      <c r="D1706" s="20" t="s">
        <v>14</v>
      </c>
      <c r="E1706" s="20" t="s">
        <v>10</v>
      </c>
      <c r="F1706" s="20">
        <v>4335.1400000000003</v>
      </c>
      <c r="G1706" s="11">
        <f>VLOOKUP(A1706,'Operational Data'!$A$2:$E$201,3,FALSE)</f>
        <v>27028</v>
      </c>
      <c r="H1706" s="11">
        <f>VLOOKUP(A1706,'Operational Data'!$A$2:$E$201,4,FALSE)</f>
        <v>4617.92</v>
      </c>
      <c r="I1706" s="11">
        <f>VLOOKUP(A1706,'Operational Data'!$A$2:$E$201,5,FALSE)</f>
        <v>57.62</v>
      </c>
      <c r="J1706" s="21">
        <f t="shared" si="26"/>
        <v>0.16039440580139117</v>
      </c>
    </row>
    <row r="1707" spans="1:10" ht="30" x14ac:dyDescent="0.25">
      <c r="A1707" s="20" t="s">
        <v>76</v>
      </c>
      <c r="B1707" s="20" t="s">
        <v>17</v>
      </c>
      <c r="C1707" s="20" t="s">
        <v>8</v>
      </c>
      <c r="D1707" s="20" t="s">
        <v>28</v>
      </c>
      <c r="E1707" s="20" t="s">
        <v>15</v>
      </c>
      <c r="F1707" s="20">
        <v>4697.66</v>
      </c>
      <c r="G1707" s="11">
        <f>VLOOKUP(A1707,'Operational Data'!$A$2:$E$201,3,FALSE)</f>
        <v>59617</v>
      </c>
      <c r="H1707" s="11">
        <f>VLOOKUP(A1707,'Operational Data'!$A$2:$E$201,4,FALSE)</f>
        <v>5000.95</v>
      </c>
      <c r="I1707" s="11">
        <f>VLOOKUP(A1707,'Operational Data'!$A$2:$E$201,5,FALSE)</f>
        <v>80.36</v>
      </c>
      <c r="J1707" s="21">
        <f t="shared" si="26"/>
        <v>7.8797322911250148E-2</v>
      </c>
    </row>
    <row r="1708" spans="1:10" x14ac:dyDescent="0.25">
      <c r="A1708" s="20" t="s">
        <v>114</v>
      </c>
      <c r="B1708" s="20" t="s">
        <v>30</v>
      </c>
      <c r="C1708" s="20" t="s">
        <v>23</v>
      </c>
      <c r="D1708" s="20" t="s">
        <v>28</v>
      </c>
      <c r="E1708" s="20" t="s">
        <v>15</v>
      </c>
      <c r="F1708" s="20">
        <v>3378.49</v>
      </c>
      <c r="G1708" s="11">
        <f>VLOOKUP(A1708,'Operational Data'!$A$2:$E$201,3,FALSE)</f>
        <v>29264</v>
      </c>
      <c r="H1708" s="11">
        <f>VLOOKUP(A1708,'Operational Data'!$A$2:$E$201,4,FALSE)</f>
        <v>8362.7199999999993</v>
      </c>
      <c r="I1708" s="11">
        <f>VLOOKUP(A1708,'Operational Data'!$A$2:$E$201,5,FALSE)</f>
        <v>61.93</v>
      </c>
      <c r="J1708" s="21">
        <f t="shared" si="26"/>
        <v>0.11544867413887369</v>
      </c>
    </row>
    <row r="1709" spans="1:10" x14ac:dyDescent="0.25">
      <c r="A1709" s="20" t="s">
        <v>78</v>
      </c>
      <c r="B1709" s="20" t="s">
        <v>7</v>
      </c>
      <c r="C1709" s="20" t="s">
        <v>34</v>
      </c>
      <c r="D1709" s="20" t="s">
        <v>14</v>
      </c>
      <c r="E1709" s="20" t="s">
        <v>10</v>
      </c>
      <c r="F1709" s="20">
        <v>4068.86</v>
      </c>
      <c r="G1709" s="11">
        <f>VLOOKUP(A1709,'Operational Data'!$A$2:$E$201,3,FALSE)</f>
        <v>86557</v>
      </c>
      <c r="H1709" s="11">
        <f>VLOOKUP(A1709,'Operational Data'!$A$2:$E$201,4,FALSE)</f>
        <v>8631.2800000000007</v>
      </c>
      <c r="I1709" s="11">
        <f>VLOOKUP(A1709,'Operational Data'!$A$2:$E$201,5,FALSE)</f>
        <v>69.53</v>
      </c>
      <c r="J1709" s="21">
        <f t="shared" si="26"/>
        <v>4.7007867647908319E-2</v>
      </c>
    </row>
    <row r="1710" spans="1:10" x14ac:dyDescent="0.25">
      <c r="A1710" s="20" t="s">
        <v>44</v>
      </c>
      <c r="B1710" s="20" t="s">
        <v>19</v>
      </c>
      <c r="C1710" s="20" t="s">
        <v>34</v>
      </c>
      <c r="D1710" s="20" t="s">
        <v>9</v>
      </c>
      <c r="E1710" s="20" t="s">
        <v>10</v>
      </c>
      <c r="F1710" s="20">
        <v>4658.5376130000004</v>
      </c>
      <c r="G1710" s="11">
        <f>VLOOKUP(A1710,'Operational Data'!$A$2:$E$201,3,FALSE)</f>
        <v>16256</v>
      </c>
      <c r="H1710" s="11">
        <f>VLOOKUP(A1710,'Operational Data'!$A$2:$E$201,4,FALSE)</f>
        <v>2127.1799999999998</v>
      </c>
      <c r="I1710" s="11">
        <f>VLOOKUP(A1710,'Operational Data'!$A$2:$E$201,5,FALSE)</f>
        <v>38.94</v>
      </c>
      <c r="J1710" s="21">
        <f t="shared" si="26"/>
        <v>0.28657342599655516</v>
      </c>
    </row>
    <row r="1711" spans="1:10" ht="30" x14ac:dyDescent="0.25">
      <c r="A1711" s="20" t="s">
        <v>80</v>
      </c>
      <c r="B1711" s="20" t="s">
        <v>17</v>
      </c>
      <c r="C1711" s="20" t="s">
        <v>8</v>
      </c>
      <c r="D1711" s="20" t="s">
        <v>9</v>
      </c>
      <c r="E1711" s="20" t="s">
        <v>10</v>
      </c>
      <c r="F1711" s="20">
        <v>3516.4541060000001</v>
      </c>
      <c r="G1711" s="11">
        <f>VLOOKUP(A1711,'Operational Data'!$A$2:$E$201,3,FALSE)</f>
        <v>75508</v>
      </c>
      <c r="H1711" s="11">
        <f>VLOOKUP(A1711,'Operational Data'!$A$2:$E$201,4,FALSE)</f>
        <v>6856.22</v>
      </c>
      <c r="I1711" s="11">
        <f>VLOOKUP(A1711,'Operational Data'!$A$2:$E$201,5,FALSE)</f>
        <v>18.2</v>
      </c>
      <c r="J1711" s="21">
        <f t="shared" si="26"/>
        <v>4.6570616437993324E-2</v>
      </c>
    </row>
    <row r="1712" spans="1:10" x14ac:dyDescent="0.25">
      <c r="A1712" s="20" t="s">
        <v>81</v>
      </c>
      <c r="B1712" s="20" t="s">
        <v>12</v>
      </c>
      <c r="C1712" s="20" t="s">
        <v>34</v>
      </c>
      <c r="D1712" s="20" t="s">
        <v>9</v>
      </c>
      <c r="E1712" s="20" t="s">
        <v>15</v>
      </c>
      <c r="F1712" s="20">
        <v>3133.8255669999999</v>
      </c>
      <c r="G1712" s="11">
        <f>VLOOKUP(A1712,'Operational Data'!$A$2:$E$201,3,FALSE)</f>
        <v>93661</v>
      </c>
      <c r="H1712" s="11">
        <f>VLOOKUP(A1712,'Operational Data'!$A$2:$E$201,4,FALSE)</f>
        <v>7324.58</v>
      </c>
      <c r="I1712" s="11">
        <f>VLOOKUP(A1712,'Operational Data'!$A$2:$E$201,5,FALSE)</f>
        <v>23.55</v>
      </c>
      <c r="J1712" s="21">
        <f t="shared" si="26"/>
        <v>3.3459236683358068E-2</v>
      </c>
    </row>
    <row r="1713" spans="1:10" x14ac:dyDescent="0.25">
      <c r="A1713" s="20" t="s">
        <v>29</v>
      </c>
      <c r="B1713" s="20" t="s">
        <v>30</v>
      </c>
      <c r="C1713" s="20" t="s">
        <v>13</v>
      </c>
      <c r="D1713" s="20" t="s">
        <v>28</v>
      </c>
      <c r="E1713" s="20" t="s">
        <v>15</v>
      </c>
      <c r="F1713" s="20">
        <v>1951.82</v>
      </c>
      <c r="G1713" s="11">
        <f>VLOOKUP(A1713,'Operational Data'!$A$2:$E$201,3,FALSE)</f>
        <v>32131</v>
      </c>
      <c r="H1713" s="11">
        <f>VLOOKUP(A1713,'Operational Data'!$A$2:$E$201,4,FALSE)</f>
        <v>1474.23</v>
      </c>
      <c r="I1713" s="11">
        <f>VLOOKUP(A1713,'Operational Data'!$A$2:$E$201,5,FALSE)</f>
        <v>45.47</v>
      </c>
      <c r="J1713" s="21">
        <f t="shared" si="26"/>
        <v>6.074569730167128E-2</v>
      </c>
    </row>
    <row r="1714" spans="1:10" x14ac:dyDescent="0.25">
      <c r="A1714" s="20" t="s">
        <v>123</v>
      </c>
      <c r="B1714" s="20" t="s">
        <v>30</v>
      </c>
      <c r="C1714" s="20" t="s">
        <v>34</v>
      </c>
      <c r="D1714" s="20" t="s">
        <v>9</v>
      </c>
      <c r="E1714" s="20" t="s">
        <v>10</v>
      </c>
      <c r="F1714" s="20">
        <v>2056.02</v>
      </c>
      <c r="G1714" s="11">
        <f>VLOOKUP(A1714,'Operational Data'!$A$2:$E$201,3,FALSE)</f>
        <v>73977</v>
      </c>
      <c r="H1714" s="11">
        <f>VLOOKUP(A1714,'Operational Data'!$A$2:$E$201,4,FALSE)</f>
        <v>1646.75</v>
      </c>
      <c r="I1714" s="11">
        <f>VLOOKUP(A1714,'Operational Data'!$A$2:$E$201,5,FALSE)</f>
        <v>43.77</v>
      </c>
      <c r="J1714" s="21">
        <f t="shared" si="26"/>
        <v>2.779269232328967E-2</v>
      </c>
    </row>
    <row r="1715" spans="1:10" x14ac:dyDescent="0.25">
      <c r="A1715" s="20" t="s">
        <v>62</v>
      </c>
      <c r="B1715" s="20" t="s">
        <v>30</v>
      </c>
      <c r="C1715" s="20" t="s">
        <v>23</v>
      </c>
      <c r="D1715" s="20" t="s">
        <v>14</v>
      </c>
      <c r="E1715" s="20" t="s">
        <v>10</v>
      </c>
      <c r="F1715" s="20">
        <v>377.76</v>
      </c>
      <c r="G1715" s="11">
        <f>VLOOKUP(A1715,'Operational Data'!$A$2:$E$201,3,FALSE)</f>
        <v>22309</v>
      </c>
      <c r="H1715" s="11">
        <f>VLOOKUP(A1715,'Operational Data'!$A$2:$E$201,4,FALSE)</f>
        <v>3656.29</v>
      </c>
      <c r="I1715" s="11">
        <f>VLOOKUP(A1715,'Operational Data'!$A$2:$E$201,5,FALSE)</f>
        <v>75.25</v>
      </c>
      <c r="J1715" s="21">
        <f t="shared" si="26"/>
        <v>1.6933076336904388E-2</v>
      </c>
    </row>
    <row r="1716" spans="1:10" x14ac:dyDescent="0.25">
      <c r="A1716" s="20" t="s">
        <v>183</v>
      </c>
      <c r="B1716" s="20" t="s">
        <v>7</v>
      </c>
      <c r="C1716" s="20" t="s">
        <v>8</v>
      </c>
      <c r="D1716" s="20" t="s">
        <v>14</v>
      </c>
      <c r="E1716" s="20" t="s">
        <v>24</v>
      </c>
      <c r="F1716" s="20">
        <v>4676.8</v>
      </c>
      <c r="G1716" s="11">
        <f>VLOOKUP(A1716,'Operational Data'!$A$2:$E$201,3,FALSE)</f>
        <v>14009</v>
      </c>
      <c r="H1716" s="11">
        <f>VLOOKUP(A1716,'Operational Data'!$A$2:$E$201,4,FALSE)</f>
        <v>7528.98</v>
      </c>
      <c r="I1716" s="11">
        <f>VLOOKUP(A1716,'Operational Data'!$A$2:$E$201,5,FALSE)</f>
        <v>77.62</v>
      </c>
      <c r="J1716" s="21">
        <f t="shared" si="26"/>
        <v>0.33384252980226997</v>
      </c>
    </row>
    <row r="1717" spans="1:10" x14ac:dyDescent="0.25">
      <c r="A1717" s="20" t="s">
        <v>198</v>
      </c>
      <c r="B1717" s="20" t="s">
        <v>12</v>
      </c>
      <c r="C1717" s="20" t="s">
        <v>23</v>
      </c>
      <c r="D1717" s="20" t="s">
        <v>9</v>
      </c>
      <c r="E1717" s="20" t="s">
        <v>15</v>
      </c>
      <c r="F1717" s="20">
        <v>3984.4592120000002</v>
      </c>
      <c r="G1717" s="11">
        <f>VLOOKUP(A1717,'Operational Data'!$A$2:$E$201,3,FALSE)</f>
        <v>58113</v>
      </c>
      <c r="H1717" s="11">
        <f>VLOOKUP(A1717,'Operational Data'!$A$2:$E$201,4,FALSE)</f>
        <v>6382.12</v>
      </c>
      <c r="I1717" s="11">
        <f>VLOOKUP(A1717,'Operational Data'!$A$2:$E$201,5,FALSE)</f>
        <v>56.66</v>
      </c>
      <c r="J1717" s="21">
        <f t="shared" si="26"/>
        <v>6.8563991051916101E-2</v>
      </c>
    </row>
    <row r="1718" spans="1:10" ht="30" x14ac:dyDescent="0.25">
      <c r="A1718" s="20" t="s">
        <v>205</v>
      </c>
      <c r="B1718" s="20" t="s">
        <v>17</v>
      </c>
      <c r="C1718" s="20" t="s">
        <v>13</v>
      </c>
      <c r="D1718" s="20" t="s">
        <v>9</v>
      </c>
      <c r="E1718" s="20" t="s">
        <v>15</v>
      </c>
      <c r="F1718" s="20">
        <v>1346.6818989999999</v>
      </c>
      <c r="G1718" s="11">
        <f>VLOOKUP(A1718,'Operational Data'!$A$2:$E$201,3,FALSE)</f>
        <v>52594</v>
      </c>
      <c r="H1718" s="11">
        <f>VLOOKUP(A1718,'Operational Data'!$A$2:$E$201,4,FALSE)</f>
        <v>8715.0400000000009</v>
      </c>
      <c r="I1718" s="11">
        <f>VLOOKUP(A1718,'Operational Data'!$A$2:$E$201,5,FALSE)</f>
        <v>90.54</v>
      </c>
      <c r="J1718" s="21">
        <f t="shared" si="26"/>
        <v>2.5605238221089857E-2</v>
      </c>
    </row>
    <row r="1719" spans="1:10" x14ac:dyDescent="0.25">
      <c r="A1719" s="20" t="s">
        <v>126</v>
      </c>
      <c r="B1719" s="20" t="s">
        <v>30</v>
      </c>
      <c r="C1719" s="20" t="s">
        <v>13</v>
      </c>
      <c r="D1719" s="20" t="s">
        <v>9</v>
      </c>
      <c r="E1719" s="20" t="s">
        <v>24</v>
      </c>
      <c r="F1719" s="20">
        <v>4869.82</v>
      </c>
      <c r="G1719" s="11">
        <f>VLOOKUP(A1719,'Operational Data'!$A$2:$E$201,3,FALSE)</f>
        <v>35506</v>
      </c>
      <c r="H1719" s="11">
        <f>VLOOKUP(A1719,'Operational Data'!$A$2:$E$201,4,FALSE)</f>
        <v>1892.04</v>
      </c>
      <c r="I1719" s="11">
        <f>VLOOKUP(A1719,'Operational Data'!$A$2:$E$201,5,FALSE)</f>
        <v>61.53</v>
      </c>
      <c r="J1719" s="21">
        <f t="shared" si="26"/>
        <v>0.13715484706810116</v>
      </c>
    </row>
    <row r="1720" spans="1:10" x14ac:dyDescent="0.25">
      <c r="A1720" s="20" t="s">
        <v>183</v>
      </c>
      <c r="B1720" s="20" t="s">
        <v>7</v>
      </c>
      <c r="C1720" s="20" t="s">
        <v>34</v>
      </c>
      <c r="D1720" s="20" t="s">
        <v>9</v>
      </c>
      <c r="E1720" s="20" t="s">
        <v>15</v>
      </c>
      <c r="F1720" s="20">
        <v>2329.0853659999998</v>
      </c>
      <c r="G1720" s="11">
        <f>VLOOKUP(A1720,'Operational Data'!$A$2:$E$201,3,FALSE)</f>
        <v>14009</v>
      </c>
      <c r="H1720" s="11">
        <f>VLOOKUP(A1720,'Operational Data'!$A$2:$E$201,4,FALSE)</f>
        <v>7528.98</v>
      </c>
      <c r="I1720" s="11">
        <f>VLOOKUP(A1720,'Operational Data'!$A$2:$E$201,5,FALSE)</f>
        <v>77.62</v>
      </c>
      <c r="J1720" s="21">
        <f t="shared" si="26"/>
        <v>0.1662563613391391</v>
      </c>
    </row>
    <row r="1721" spans="1:10" x14ac:dyDescent="0.25">
      <c r="A1721" s="20" t="s">
        <v>217</v>
      </c>
      <c r="B1721" s="20" t="s">
        <v>19</v>
      </c>
      <c r="C1721" s="20" t="s">
        <v>8</v>
      </c>
      <c r="D1721" s="20" t="s">
        <v>9</v>
      </c>
      <c r="E1721" s="20" t="s">
        <v>15</v>
      </c>
      <c r="F1721" s="20">
        <v>4828.6000519999998</v>
      </c>
      <c r="G1721" s="11">
        <f>VLOOKUP(A1721,'Operational Data'!$A$2:$E$201,3,FALSE)</f>
        <v>80824</v>
      </c>
      <c r="H1721" s="11">
        <f>VLOOKUP(A1721,'Operational Data'!$A$2:$E$201,4,FALSE)</f>
        <v>2858.92</v>
      </c>
      <c r="I1721" s="11">
        <f>VLOOKUP(A1721,'Operational Data'!$A$2:$E$201,5,FALSE)</f>
        <v>13.97</v>
      </c>
      <c r="J1721" s="21">
        <f t="shared" si="26"/>
        <v>5.9742156438681575E-2</v>
      </c>
    </row>
    <row r="1722" spans="1:10" x14ac:dyDescent="0.25">
      <c r="A1722" s="20" t="s">
        <v>130</v>
      </c>
      <c r="B1722" s="20" t="s">
        <v>12</v>
      </c>
      <c r="C1722" s="20" t="s">
        <v>8</v>
      </c>
      <c r="D1722" s="20" t="s">
        <v>28</v>
      </c>
      <c r="E1722" s="20" t="s">
        <v>10</v>
      </c>
      <c r="F1722" s="20">
        <v>3423.67</v>
      </c>
      <c r="G1722" s="11">
        <f>VLOOKUP(A1722,'Operational Data'!$A$2:$E$201,3,FALSE)</f>
        <v>82332</v>
      </c>
      <c r="H1722" s="11">
        <f>VLOOKUP(A1722,'Operational Data'!$A$2:$E$201,4,FALSE)</f>
        <v>7134.86</v>
      </c>
      <c r="I1722" s="11">
        <f>VLOOKUP(A1722,'Operational Data'!$A$2:$E$201,5,FALSE)</f>
        <v>22.44</v>
      </c>
      <c r="J1722" s="21">
        <f t="shared" si="26"/>
        <v>4.1583709857649517E-2</v>
      </c>
    </row>
    <row r="1723" spans="1:10" x14ac:dyDescent="0.25">
      <c r="A1723" s="20" t="s">
        <v>198</v>
      </c>
      <c r="B1723" s="20" t="s">
        <v>12</v>
      </c>
      <c r="C1723" s="20" t="s">
        <v>34</v>
      </c>
      <c r="D1723" s="20" t="s">
        <v>14</v>
      </c>
      <c r="E1723" s="20" t="s">
        <v>10</v>
      </c>
      <c r="F1723" s="20">
        <v>2957.49</v>
      </c>
      <c r="G1723" s="11">
        <f>VLOOKUP(A1723,'Operational Data'!$A$2:$E$201,3,FALSE)</f>
        <v>58113</v>
      </c>
      <c r="H1723" s="11">
        <f>VLOOKUP(A1723,'Operational Data'!$A$2:$E$201,4,FALSE)</f>
        <v>6382.12</v>
      </c>
      <c r="I1723" s="11">
        <f>VLOOKUP(A1723,'Operational Data'!$A$2:$E$201,5,FALSE)</f>
        <v>56.66</v>
      </c>
      <c r="J1723" s="21">
        <f t="shared" si="26"/>
        <v>5.0892055133963138E-2</v>
      </c>
    </row>
    <row r="1724" spans="1:10" x14ac:dyDescent="0.25">
      <c r="A1724" s="20" t="s">
        <v>197</v>
      </c>
      <c r="B1724" s="20" t="s">
        <v>30</v>
      </c>
      <c r="C1724" s="20" t="s">
        <v>13</v>
      </c>
      <c r="D1724" s="20" t="s">
        <v>14</v>
      </c>
      <c r="E1724" s="20" t="s">
        <v>15</v>
      </c>
      <c r="F1724" s="20">
        <v>3128.34</v>
      </c>
      <c r="G1724" s="11">
        <f>VLOOKUP(A1724,'Operational Data'!$A$2:$E$201,3,FALSE)</f>
        <v>56752</v>
      </c>
      <c r="H1724" s="11">
        <f>VLOOKUP(A1724,'Operational Data'!$A$2:$E$201,4,FALSE)</f>
        <v>4177.68</v>
      </c>
      <c r="I1724" s="11">
        <f>VLOOKUP(A1724,'Operational Data'!$A$2:$E$201,5,FALSE)</f>
        <v>10.96</v>
      </c>
      <c r="J1724" s="21">
        <f t="shared" si="26"/>
        <v>5.5122991260219904E-2</v>
      </c>
    </row>
    <row r="1725" spans="1:10" x14ac:dyDescent="0.25">
      <c r="A1725" s="20" t="s">
        <v>122</v>
      </c>
      <c r="B1725" s="20" t="s">
        <v>19</v>
      </c>
      <c r="C1725" s="20" t="s">
        <v>34</v>
      </c>
      <c r="D1725" s="20" t="s">
        <v>9</v>
      </c>
      <c r="E1725" s="20" t="s">
        <v>24</v>
      </c>
      <c r="F1725" s="20">
        <v>4548.0730679999997</v>
      </c>
      <c r="G1725" s="11">
        <f>VLOOKUP(A1725,'Operational Data'!$A$2:$E$201,3,FALSE)</f>
        <v>95962</v>
      </c>
      <c r="H1725" s="11">
        <f>VLOOKUP(A1725,'Operational Data'!$A$2:$E$201,4,FALSE)</f>
        <v>524.72</v>
      </c>
      <c r="I1725" s="11">
        <f>VLOOKUP(A1725,'Operational Data'!$A$2:$E$201,5,FALSE)</f>
        <v>49.55</v>
      </c>
      <c r="J1725" s="21">
        <f t="shared" si="26"/>
        <v>4.7394521456409829E-2</v>
      </c>
    </row>
    <row r="1726" spans="1:10" x14ac:dyDescent="0.25">
      <c r="A1726" s="20" t="s">
        <v>165</v>
      </c>
      <c r="B1726" s="20" t="s">
        <v>7</v>
      </c>
      <c r="C1726" s="20" t="s">
        <v>23</v>
      </c>
      <c r="D1726" s="20" t="s">
        <v>14</v>
      </c>
      <c r="E1726" s="20" t="s">
        <v>15</v>
      </c>
      <c r="F1726" s="20">
        <v>3929.66</v>
      </c>
      <c r="G1726" s="11">
        <f>VLOOKUP(A1726,'Operational Data'!$A$2:$E$201,3,FALSE)</f>
        <v>32991</v>
      </c>
      <c r="H1726" s="11">
        <f>VLOOKUP(A1726,'Operational Data'!$A$2:$E$201,4,FALSE)</f>
        <v>8540.14</v>
      </c>
      <c r="I1726" s="11">
        <f>VLOOKUP(A1726,'Operational Data'!$A$2:$E$201,5,FALSE)</f>
        <v>37.75</v>
      </c>
      <c r="J1726" s="21">
        <f t="shared" si="26"/>
        <v>0.11911309144918311</v>
      </c>
    </row>
    <row r="1727" spans="1:10" x14ac:dyDescent="0.25">
      <c r="A1727" s="20" t="s">
        <v>123</v>
      </c>
      <c r="B1727" s="20" t="s">
        <v>30</v>
      </c>
      <c r="C1727" s="20" t="s">
        <v>13</v>
      </c>
      <c r="D1727" s="20" t="s">
        <v>9</v>
      </c>
      <c r="E1727" s="20" t="s">
        <v>10</v>
      </c>
      <c r="F1727" s="20">
        <v>3790.62</v>
      </c>
      <c r="G1727" s="11">
        <f>VLOOKUP(A1727,'Operational Data'!$A$2:$E$201,3,FALSE)</f>
        <v>73977</v>
      </c>
      <c r="H1727" s="11">
        <f>VLOOKUP(A1727,'Operational Data'!$A$2:$E$201,4,FALSE)</f>
        <v>1646.75</v>
      </c>
      <c r="I1727" s="11">
        <f>VLOOKUP(A1727,'Operational Data'!$A$2:$E$201,5,FALSE)</f>
        <v>43.77</v>
      </c>
      <c r="J1727" s="21">
        <f t="shared" si="26"/>
        <v>5.1240520702380471E-2</v>
      </c>
    </row>
    <row r="1728" spans="1:10" ht="30" x14ac:dyDescent="0.25">
      <c r="A1728" s="20" t="s">
        <v>142</v>
      </c>
      <c r="B1728" s="20" t="s">
        <v>17</v>
      </c>
      <c r="C1728" s="20" t="s">
        <v>13</v>
      </c>
      <c r="D1728" s="20" t="s">
        <v>28</v>
      </c>
      <c r="E1728" s="20" t="s">
        <v>24</v>
      </c>
      <c r="F1728" s="20">
        <v>4480.07</v>
      </c>
      <c r="G1728" s="11">
        <f>VLOOKUP(A1728,'Operational Data'!$A$2:$E$201,3,FALSE)</f>
        <v>75736</v>
      </c>
      <c r="H1728" s="11">
        <f>VLOOKUP(A1728,'Operational Data'!$A$2:$E$201,4,FALSE)</f>
        <v>6287.07</v>
      </c>
      <c r="I1728" s="11">
        <f>VLOOKUP(A1728,'Operational Data'!$A$2:$E$201,5,FALSE)</f>
        <v>63.11</v>
      </c>
      <c r="J1728" s="21">
        <f t="shared" si="26"/>
        <v>5.9153770993979081E-2</v>
      </c>
    </row>
    <row r="1729" spans="1:10" x14ac:dyDescent="0.25">
      <c r="A1729" s="20" t="s">
        <v>62</v>
      </c>
      <c r="B1729" s="20" t="s">
        <v>30</v>
      </c>
      <c r="C1729" s="20" t="s">
        <v>23</v>
      </c>
      <c r="D1729" s="20" t="s">
        <v>28</v>
      </c>
      <c r="E1729" s="20" t="s">
        <v>10</v>
      </c>
      <c r="F1729" s="20">
        <v>4123.79</v>
      </c>
      <c r="G1729" s="11">
        <f>VLOOKUP(A1729,'Operational Data'!$A$2:$E$201,3,FALSE)</f>
        <v>22309</v>
      </c>
      <c r="H1729" s="11">
        <f>VLOOKUP(A1729,'Operational Data'!$A$2:$E$201,4,FALSE)</f>
        <v>3656.29</v>
      </c>
      <c r="I1729" s="11">
        <f>VLOOKUP(A1729,'Operational Data'!$A$2:$E$201,5,FALSE)</f>
        <v>75.25</v>
      </c>
      <c r="J1729" s="21">
        <f t="shared" si="26"/>
        <v>0.18484871576493792</v>
      </c>
    </row>
    <row r="1730" spans="1:10" x14ac:dyDescent="0.25">
      <c r="A1730" s="20" t="s">
        <v>90</v>
      </c>
      <c r="B1730" s="20" t="s">
        <v>19</v>
      </c>
      <c r="C1730" s="20" t="s">
        <v>13</v>
      </c>
      <c r="D1730" s="20" t="s">
        <v>14</v>
      </c>
      <c r="E1730" s="20" t="s">
        <v>10</v>
      </c>
      <c r="F1730" s="20">
        <v>100.8</v>
      </c>
      <c r="G1730" s="11">
        <f>VLOOKUP(A1730,'Operational Data'!$A$2:$E$201,3,FALSE)</f>
        <v>97337</v>
      </c>
      <c r="H1730" s="11">
        <f>VLOOKUP(A1730,'Operational Data'!$A$2:$E$201,4,FALSE)</f>
        <v>3362.06</v>
      </c>
      <c r="I1730" s="11">
        <f>VLOOKUP(A1730,'Operational Data'!$A$2:$E$201,5,FALSE)</f>
        <v>55.46</v>
      </c>
      <c r="J1730" s="21">
        <f t="shared" si="26"/>
        <v>1.0355774268777545E-3</v>
      </c>
    </row>
    <row r="1731" spans="1:10" x14ac:dyDescent="0.25">
      <c r="A1731" s="20" t="s">
        <v>100</v>
      </c>
      <c r="B1731" s="20" t="s">
        <v>7</v>
      </c>
      <c r="C1731" s="20" t="s">
        <v>23</v>
      </c>
      <c r="D1731" s="20" t="s">
        <v>28</v>
      </c>
      <c r="E1731" s="20" t="s">
        <v>10</v>
      </c>
      <c r="F1731" s="20">
        <v>4783.3999999999996</v>
      </c>
      <c r="G1731" s="11">
        <f>VLOOKUP(A1731,'Operational Data'!$A$2:$E$201,3,FALSE)</f>
        <v>17468</v>
      </c>
      <c r="H1731" s="11">
        <f>VLOOKUP(A1731,'Operational Data'!$A$2:$E$201,4,FALSE)</f>
        <v>6359.73</v>
      </c>
      <c r="I1731" s="11">
        <f>VLOOKUP(A1731,'Operational Data'!$A$2:$E$201,5,FALSE)</f>
        <v>5.22</v>
      </c>
      <c r="J1731" s="21">
        <f t="shared" ref="J1731:J1794" si="27">F1731/G1731</f>
        <v>0.27383787497137618</v>
      </c>
    </row>
    <row r="1732" spans="1:10" ht="30" x14ac:dyDescent="0.25">
      <c r="A1732" s="20" t="s">
        <v>131</v>
      </c>
      <c r="B1732" s="20" t="s">
        <v>17</v>
      </c>
      <c r="C1732" s="20" t="s">
        <v>23</v>
      </c>
      <c r="D1732" s="20" t="s">
        <v>9</v>
      </c>
      <c r="E1732" s="20" t="s">
        <v>10</v>
      </c>
      <c r="F1732" s="20">
        <v>2568.5214700000001</v>
      </c>
      <c r="G1732" s="11">
        <f>VLOOKUP(A1732,'Operational Data'!$A$2:$E$201,3,FALSE)</f>
        <v>94128</v>
      </c>
      <c r="H1732" s="11">
        <f>VLOOKUP(A1732,'Operational Data'!$A$2:$E$201,4,FALSE)</f>
        <v>8117.82</v>
      </c>
      <c r="I1732" s="11">
        <f>VLOOKUP(A1732,'Operational Data'!$A$2:$E$201,5,FALSE)</f>
        <v>73.83</v>
      </c>
      <c r="J1732" s="21">
        <f t="shared" si="27"/>
        <v>2.7287538989461162E-2</v>
      </c>
    </row>
    <row r="1733" spans="1:10" x14ac:dyDescent="0.25">
      <c r="A1733" s="20" t="s">
        <v>49</v>
      </c>
      <c r="B1733" s="20" t="s">
        <v>19</v>
      </c>
      <c r="C1733" s="20" t="s">
        <v>13</v>
      </c>
      <c r="D1733" s="20" t="s">
        <v>28</v>
      </c>
      <c r="E1733" s="20" t="s">
        <v>15</v>
      </c>
      <c r="F1733" s="20">
        <v>246.64</v>
      </c>
      <c r="G1733" s="11">
        <f>VLOOKUP(A1733,'Operational Data'!$A$2:$E$201,3,FALSE)</f>
        <v>50306</v>
      </c>
      <c r="H1733" s="11">
        <f>VLOOKUP(A1733,'Operational Data'!$A$2:$E$201,4,FALSE)</f>
        <v>7031.37</v>
      </c>
      <c r="I1733" s="11">
        <f>VLOOKUP(A1733,'Operational Data'!$A$2:$E$201,5,FALSE)</f>
        <v>13.27</v>
      </c>
      <c r="J1733" s="21">
        <f t="shared" si="27"/>
        <v>4.9027948952411237E-3</v>
      </c>
    </row>
    <row r="1734" spans="1:10" x14ac:dyDescent="0.25">
      <c r="A1734" s="20" t="s">
        <v>71</v>
      </c>
      <c r="B1734" s="20" t="s">
        <v>7</v>
      </c>
      <c r="C1734" s="20" t="s">
        <v>8</v>
      </c>
      <c r="D1734" s="20" t="s">
        <v>14</v>
      </c>
      <c r="E1734" s="20" t="s">
        <v>15</v>
      </c>
      <c r="F1734" s="20">
        <v>498.61</v>
      </c>
      <c r="G1734" s="11">
        <f>VLOOKUP(A1734,'Operational Data'!$A$2:$E$201,3,FALSE)</f>
        <v>68018</v>
      </c>
      <c r="H1734" s="11">
        <f>VLOOKUP(A1734,'Operational Data'!$A$2:$E$201,4,FALSE)</f>
        <v>3523.4</v>
      </c>
      <c r="I1734" s="11">
        <f>VLOOKUP(A1734,'Operational Data'!$A$2:$E$201,5,FALSE)</f>
        <v>92.26</v>
      </c>
      <c r="J1734" s="21">
        <f t="shared" si="27"/>
        <v>7.3305595577641217E-3</v>
      </c>
    </row>
    <row r="1735" spans="1:10" x14ac:dyDescent="0.25">
      <c r="A1735" s="20" t="s">
        <v>139</v>
      </c>
      <c r="B1735" s="20" t="s">
        <v>7</v>
      </c>
      <c r="C1735" s="20" t="s">
        <v>8</v>
      </c>
      <c r="D1735" s="20" t="s">
        <v>14</v>
      </c>
      <c r="E1735" s="20" t="s">
        <v>10</v>
      </c>
      <c r="F1735" s="20">
        <v>3705.73</v>
      </c>
      <c r="G1735" s="11">
        <f>VLOOKUP(A1735,'Operational Data'!$A$2:$E$201,3,FALSE)</f>
        <v>10067</v>
      </c>
      <c r="H1735" s="11">
        <f>VLOOKUP(A1735,'Operational Data'!$A$2:$E$201,4,FALSE)</f>
        <v>1953.33</v>
      </c>
      <c r="I1735" s="11">
        <f>VLOOKUP(A1735,'Operational Data'!$A$2:$E$201,5,FALSE)</f>
        <v>25.15</v>
      </c>
      <c r="J1735" s="21">
        <f t="shared" si="27"/>
        <v>0.36810668520909906</v>
      </c>
    </row>
    <row r="1736" spans="1:10" x14ac:dyDescent="0.25">
      <c r="A1736" s="20" t="s">
        <v>170</v>
      </c>
      <c r="B1736" s="20" t="s">
        <v>12</v>
      </c>
      <c r="C1736" s="20" t="s">
        <v>23</v>
      </c>
      <c r="D1736" s="20" t="s">
        <v>28</v>
      </c>
      <c r="E1736" s="20" t="s">
        <v>24</v>
      </c>
      <c r="F1736" s="20">
        <v>470.38</v>
      </c>
      <c r="G1736" s="11">
        <f>VLOOKUP(A1736,'Operational Data'!$A$2:$E$201,3,FALSE)</f>
        <v>54133</v>
      </c>
      <c r="H1736" s="11">
        <f>VLOOKUP(A1736,'Operational Data'!$A$2:$E$201,4,FALSE)</f>
        <v>8543.68</v>
      </c>
      <c r="I1736" s="11">
        <f>VLOOKUP(A1736,'Operational Data'!$A$2:$E$201,5,FALSE)</f>
        <v>24</v>
      </c>
      <c r="J1736" s="21">
        <f t="shared" si="27"/>
        <v>8.6893392200690887E-3</v>
      </c>
    </row>
    <row r="1737" spans="1:10" x14ac:dyDescent="0.25">
      <c r="A1737" s="20" t="s">
        <v>157</v>
      </c>
      <c r="B1737" s="20" t="s">
        <v>30</v>
      </c>
      <c r="C1737" s="20" t="s">
        <v>23</v>
      </c>
      <c r="D1737" s="20" t="s">
        <v>28</v>
      </c>
      <c r="E1737" s="20" t="s">
        <v>10</v>
      </c>
      <c r="F1737" s="20">
        <v>2355.87</v>
      </c>
      <c r="G1737" s="11">
        <f>VLOOKUP(A1737,'Operational Data'!$A$2:$E$201,3,FALSE)</f>
        <v>76544</v>
      </c>
      <c r="H1737" s="11">
        <f>VLOOKUP(A1737,'Operational Data'!$A$2:$E$201,4,FALSE)</f>
        <v>8632.77</v>
      </c>
      <c r="I1737" s="11">
        <f>VLOOKUP(A1737,'Operational Data'!$A$2:$E$201,5,FALSE)</f>
        <v>12.87</v>
      </c>
      <c r="J1737" s="21">
        <f t="shared" si="27"/>
        <v>3.0777983904682272E-2</v>
      </c>
    </row>
    <row r="1738" spans="1:10" x14ac:dyDescent="0.25">
      <c r="A1738" s="20" t="s">
        <v>179</v>
      </c>
      <c r="B1738" s="20" t="s">
        <v>7</v>
      </c>
      <c r="C1738" s="20" t="s">
        <v>13</v>
      </c>
      <c r="D1738" s="20" t="s">
        <v>14</v>
      </c>
      <c r="E1738" s="20" t="s">
        <v>10</v>
      </c>
      <c r="F1738" s="20">
        <v>484.51</v>
      </c>
      <c r="G1738" s="11">
        <f>VLOOKUP(A1738,'Operational Data'!$A$2:$E$201,3,FALSE)</f>
        <v>94393</v>
      </c>
      <c r="H1738" s="11">
        <f>VLOOKUP(A1738,'Operational Data'!$A$2:$E$201,4,FALSE)</f>
        <v>6691.7</v>
      </c>
      <c r="I1738" s="11">
        <f>VLOOKUP(A1738,'Operational Data'!$A$2:$E$201,5,FALSE)</f>
        <v>74.790000000000006</v>
      </c>
      <c r="J1738" s="21">
        <f t="shared" si="27"/>
        <v>5.1329018041592067E-3</v>
      </c>
    </row>
    <row r="1739" spans="1:10" x14ac:dyDescent="0.25">
      <c r="A1739" s="20" t="s">
        <v>18</v>
      </c>
      <c r="B1739" s="20" t="s">
        <v>19</v>
      </c>
      <c r="C1739" s="20" t="s">
        <v>23</v>
      </c>
      <c r="D1739" s="20" t="s">
        <v>14</v>
      </c>
      <c r="E1739" s="20" t="s">
        <v>15</v>
      </c>
      <c r="F1739" s="20">
        <v>3299.33</v>
      </c>
      <c r="G1739" s="11">
        <f>VLOOKUP(A1739,'Operational Data'!$A$2:$E$201,3,FALSE)</f>
        <v>98682</v>
      </c>
      <c r="H1739" s="11">
        <f>VLOOKUP(A1739,'Operational Data'!$A$2:$E$201,4,FALSE)</f>
        <v>6220.56</v>
      </c>
      <c r="I1739" s="11">
        <f>VLOOKUP(A1739,'Operational Data'!$A$2:$E$201,5,FALSE)</f>
        <v>70.099999999999994</v>
      </c>
      <c r="J1739" s="21">
        <f t="shared" si="27"/>
        <v>3.3433959587361423E-2</v>
      </c>
    </row>
    <row r="1740" spans="1:10" x14ac:dyDescent="0.25">
      <c r="A1740" s="20" t="s">
        <v>110</v>
      </c>
      <c r="B1740" s="20" t="s">
        <v>12</v>
      </c>
      <c r="C1740" s="20" t="s">
        <v>34</v>
      </c>
      <c r="D1740" s="20" t="s">
        <v>28</v>
      </c>
      <c r="E1740" s="20" t="s">
        <v>10</v>
      </c>
      <c r="F1740" s="20">
        <v>3312.29</v>
      </c>
      <c r="G1740" s="11">
        <f>VLOOKUP(A1740,'Operational Data'!$A$2:$E$201,3,FALSE)</f>
        <v>70481</v>
      </c>
      <c r="H1740" s="11">
        <f>VLOOKUP(A1740,'Operational Data'!$A$2:$E$201,4,FALSE)</f>
        <v>4452.83</v>
      </c>
      <c r="I1740" s="11">
        <f>VLOOKUP(A1740,'Operational Data'!$A$2:$E$201,5,FALSE)</f>
        <v>91.26</v>
      </c>
      <c r="J1740" s="21">
        <f t="shared" si="27"/>
        <v>4.6995502333962345E-2</v>
      </c>
    </row>
    <row r="1741" spans="1:10" x14ac:dyDescent="0.25">
      <c r="A1741" s="20" t="s">
        <v>93</v>
      </c>
      <c r="B1741" s="20" t="s">
        <v>30</v>
      </c>
      <c r="C1741" s="20" t="s">
        <v>8</v>
      </c>
      <c r="D1741" s="20" t="s">
        <v>28</v>
      </c>
      <c r="E1741" s="20" t="s">
        <v>15</v>
      </c>
      <c r="F1741" s="20">
        <v>2017.59</v>
      </c>
      <c r="G1741" s="11">
        <f>VLOOKUP(A1741,'Operational Data'!$A$2:$E$201,3,FALSE)</f>
        <v>26378</v>
      </c>
      <c r="H1741" s="11">
        <f>VLOOKUP(A1741,'Operational Data'!$A$2:$E$201,4,FALSE)</f>
        <v>2915.44</v>
      </c>
      <c r="I1741" s="11">
        <f>VLOOKUP(A1741,'Operational Data'!$A$2:$E$201,5,FALSE)</f>
        <v>29.84</v>
      </c>
      <c r="J1741" s="21">
        <f t="shared" si="27"/>
        <v>7.6487603305785121E-2</v>
      </c>
    </row>
    <row r="1742" spans="1:10" x14ac:dyDescent="0.25">
      <c r="A1742" s="20" t="s">
        <v>95</v>
      </c>
      <c r="B1742" s="20" t="s">
        <v>30</v>
      </c>
      <c r="C1742" s="20" t="s">
        <v>34</v>
      </c>
      <c r="D1742" s="20" t="s">
        <v>9</v>
      </c>
      <c r="E1742" s="20" t="s">
        <v>10</v>
      </c>
      <c r="F1742" s="20">
        <v>3564.2129300000001</v>
      </c>
      <c r="G1742" s="11">
        <f>VLOOKUP(A1742,'Operational Data'!$A$2:$E$201,3,FALSE)</f>
        <v>51800</v>
      </c>
      <c r="H1742" s="11">
        <f>VLOOKUP(A1742,'Operational Data'!$A$2:$E$201,4,FALSE)</f>
        <v>3042.95</v>
      </c>
      <c r="I1742" s="11">
        <f>VLOOKUP(A1742,'Operational Data'!$A$2:$E$201,5,FALSE)</f>
        <v>71.87</v>
      </c>
      <c r="J1742" s="21">
        <f t="shared" si="27"/>
        <v>6.8807199420849424E-2</v>
      </c>
    </row>
    <row r="1743" spans="1:10" x14ac:dyDescent="0.25">
      <c r="A1743" s="20" t="s">
        <v>122</v>
      </c>
      <c r="B1743" s="20" t="s">
        <v>19</v>
      </c>
      <c r="C1743" s="20" t="s">
        <v>13</v>
      </c>
      <c r="D1743" s="20" t="s">
        <v>9</v>
      </c>
      <c r="E1743" s="20" t="s">
        <v>24</v>
      </c>
      <c r="F1743" s="20">
        <v>4913.537131</v>
      </c>
      <c r="G1743" s="11">
        <f>VLOOKUP(A1743,'Operational Data'!$A$2:$E$201,3,FALSE)</f>
        <v>95962</v>
      </c>
      <c r="H1743" s="11">
        <f>VLOOKUP(A1743,'Operational Data'!$A$2:$E$201,4,FALSE)</f>
        <v>524.72</v>
      </c>
      <c r="I1743" s="11">
        <f>VLOOKUP(A1743,'Operational Data'!$A$2:$E$201,5,FALSE)</f>
        <v>49.55</v>
      </c>
      <c r="J1743" s="21">
        <f t="shared" si="27"/>
        <v>5.1202946280819492E-2</v>
      </c>
    </row>
    <row r="1744" spans="1:10" x14ac:dyDescent="0.25">
      <c r="A1744" s="20" t="s">
        <v>184</v>
      </c>
      <c r="B1744" s="20" t="s">
        <v>30</v>
      </c>
      <c r="C1744" s="20" t="s">
        <v>34</v>
      </c>
      <c r="D1744" s="20" t="s">
        <v>9</v>
      </c>
      <c r="E1744" s="20" t="s">
        <v>10</v>
      </c>
      <c r="F1744" s="20">
        <v>1184.85844</v>
      </c>
      <c r="G1744" s="11">
        <f>VLOOKUP(A1744,'Operational Data'!$A$2:$E$201,3,FALSE)</f>
        <v>13543</v>
      </c>
      <c r="H1744" s="11">
        <f>VLOOKUP(A1744,'Operational Data'!$A$2:$E$201,4,FALSE)</f>
        <v>7854.96</v>
      </c>
      <c r="I1744" s="11">
        <f>VLOOKUP(A1744,'Operational Data'!$A$2:$E$201,5,FALSE)</f>
        <v>85.57</v>
      </c>
      <c r="J1744" s="21">
        <f t="shared" si="27"/>
        <v>8.748862438159935E-2</v>
      </c>
    </row>
    <row r="1745" spans="1:10" x14ac:dyDescent="0.25">
      <c r="A1745" s="20" t="s">
        <v>6</v>
      </c>
      <c r="B1745" s="20" t="s">
        <v>7</v>
      </c>
      <c r="C1745" s="20" t="s">
        <v>34</v>
      </c>
      <c r="D1745" s="20" t="s">
        <v>14</v>
      </c>
      <c r="E1745" s="20" t="s">
        <v>24</v>
      </c>
      <c r="F1745" s="20">
        <v>3845.16</v>
      </c>
      <c r="G1745" s="11">
        <f>VLOOKUP(A1745,'Operational Data'!$A$2:$E$201,3,FALSE)</f>
        <v>77330</v>
      </c>
      <c r="H1745" s="11">
        <f>VLOOKUP(A1745,'Operational Data'!$A$2:$E$201,4,FALSE)</f>
        <v>6936.58</v>
      </c>
      <c r="I1745" s="11">
        <f>VLOOKUP(A1745,'Operational Data'!$A$2:$E$201,5,FALSE)</f>
        <v>82.3</v>
      </c>
      <c r="J1745" s="21">
        <f t="shared" si="27"/>
        <v>4.9724039829302985E-2</v>
      </c>
    </row>
    <row r="1746" spans="1:10" x14ac:dyDescent="0.25">
      <c r="A1746" s="20" t="s">
        <v>55</v>
      </c>
      <c r="B1746" s="20" t="s">
        <v>12</v>
      </c>
      <c r="C1746" s="20" t="s">
        <v>34</v>
      </c>
      <c r="D1746" s="20" t="s">
        <v>28</v>
      </c>
      <c r="E1746" s="20" t="s">
        <v>10</v>
      </c>
      <c r="F1746" s="20">
        <v>2288.2800000000002</v>
      </c>
      <c r="G1746" s="11">
        <f>VLOOKUP(A1746,'Operational Data'!$A$2:$E$201,3,FALSE)</f>
        <v>38181</v>
      </c>
      <c r="H1746" s="11">
        <f>VLOOKUP(A1746,'Operational Data'!$A$2:$E$201,4,FALSE)</f>
        <v>691.84</v>
      </c>
      <c r="I1746" s="11">
        <f>VLOOKUP(A1746,'Operational Data'!$A$2:$E$201,5,FALSE)</f>
        <v>33.53</v>
      </c>
      <c r="J1746" s="21">
        <f t="shared" si="27"/>
        <v>5.9932427123438367E-2</v>
      </c>
    </row>
    <row r="1747" spans="1:10" x14ac:dyDescent="0.25">
      <c r="A1747" s="20" t="s">
        <v>57</v>
      </c>
      <c r="B1747" s="20" t="s">
        <v>19</v>
      </c>
      <c r="C1747" s="20" t="s">
        <v>34</v>
      </c>
      <c r="D1747" s="20" t="s">
        <v>28</v>
      </c>
      <c r="E1747" s="20" t="s">
        <v>15</v>
      </c>
      <c r="F1747" s="20">
        <v>751.28</v>
      </c>
      <c r="G1747" s="11">
        <f>VLOOKUP(A1747,'Operational Data'!$A$2:$E$201,3,FALSE)</f>
        <v>41027</v>
      </c>
      <c r="H1747" s="11">
        <f>VLOOKUP(A1747,'Operational Data'!$A$2:$E$201,4,FALSE)</f>
        <v>7285.85</v>
      </c>
      <c r="I1747" s="11">
        <f>VLOOKUP(A1747,'Operational Data'!$A$2:$E$201,5,FALSE)</f>
        <v>59.87</v>
      </c>
      <c r="J1747" s="21">
        <f t="shared" si="27"/>
        <v>1.8311843420186706E-2</v>
      </c>
    </row>
    <row r="1748" spans="1:10" ht="30" x14ac:dyDescent="0.25">
      <c r="A1748" s="20" t="s">
        <v>133</v>
      </c>
      <c r="B1748" s="20" t="s">
        <v>17</v>
      </c>
      <c r="C1748" s="20" t="s">
        <v>34</v>
      </c>
      <c r="D1748" s="20" t="s">
        <v>28</v>
      </c>
      <c r="E1748" s="20" t="s">
        <v>24</v>
      </c>
      <c r="F1748" s="20">
        <v>2159.65</v>
      </c>
      <c r="G1748" s="11">
        <f>VLOOKUP(A1748,'Operational Data'!$A$2:$E$201,3,FALSE)</f>
        <v>48501</v>
      </c>
      <c r="H1748" s="11">
        <f>VLOOKUP(A1748,'Operational Data'!$A$2:$E$201,4,FALSE)</f>
        <v>7209.77</v>
      </c>
      <c r="I1748" s="11">
        <f>VLOOKUP(A1748,'Operational Data'!$A$2:$E$201,5,FALSE)</f>
        <v>92.51</v>
      </c>
      <c r="J1748" s="21">
        <f t="shared" si="27"/>
        <v>4.4527947877363354E-2</v>
      </c>
    </row>
    <row r="1749" spans="1:10" x14ac:dyDescent="0.25">
      <c r="A1749" s="20" t="s">
        <v>115</v>
      </c>
      <c r="B1749" s="20" t="s">
        <v>19</v>
      </c>
      <c r="C1749" s="20" t="s">
        <v>34</v>
      </c>
      <c r="D1749" s="20" t="s">
        <v>28</v>
      </c>
      <c r="E1749" s="20" t="s">
        <v>15</v>
      </c>
      <c r="F1749" s="20">
        <v>3251.65</v>
      </c>
      <c r="G1749" s="11">
        <f>VLOOKUP(A1749,'Operational Data'!$A$2:$E$201,3,FALSE)</f>
        <v>17162</v>
      </c>
      <c r="H1749" s="11">
        <f>VLOOKUP(A1749,'Operational Data'!$A$2:$E$201,4,FALSE)</f>
        <v>5079.95</v>
      </c>
      <c r="I1749" s="11">
        <f>VLOOKUP(A1749,'Operational Data'!$A$2:$E$201,5,FALSE)</f>
        <v>19.239999999999998</v>
      </c>
      <c r="J1749" s="21">
        <f t="shared" si="27"/>
        <v>0.18946801072136116</v>
      </c>
    </row>
    <row r="1750" spans="1:10" ht="30" x14ac:dyDescent="0.25">
      <c r="A1750" s="20" t="s">
        <v>140</v>
      </c>
      <c r="B1750" s="20" t="s">
        <v>17</v>
      </c>
      <c r="C1750" s="20" t="s">
        <v>23</v>
      </c>
      <c r="D1750" s="20" t="s">
        <v>9</v>
      </c>
      <c r="E1750" s="20" t="s">
        <v>24</v>
      </c>
      <c r="F1750" s="20">
        <v>4889.7534070000002</v>
      </c>
      <c r="G1750" s="11">
        <f>VLOOKUP(A1750,'Operational Data'!$A$2:$E$201,3,FALSE)</f>
        <v>88308</v>
      </c>
      <c r="H1750" s="11">
        <f>VLOOKUP(A1750,'Operational Data'!$A$2:$E$201,4,FALSE)</f>
        <v>7802.07</v>
      </c>
      <c r="I1750" s="11">
        <f>VLOOKUP(A1750,'Operational Data'!$A$2:$E$201,5,FALSE)</f>
        <v>36.130000000000003</v>
      </c>
      <c r="J1750" s="21">
        <f t="shared" si="27"/>
        <v>5.5371579098156452E-2</v>
      </c>
    </row>
    <row r="1751" spans="1:10" x14ac:dyDescent="0.25">
      <c r="A1751" s="20" t="s">
        <v>174</v>
      </c>
      <c r="B1751" s="20" t="s">
        <v>19</v>
      </c>
      <c r="C1751" s="20" t="s">
        <v>23</v>
      </c>
      <c r="D1751" s="20" t="s">
        <v>28</v>
      </c>
      <c r="E1751" s="20" t="s">
        <v>10</v>
      </c>
      <c r="F1751" s="20">
        <v>608.37</v>
      </c>
      <c r="G1751" s="11">
        <f>VLOOKUP(A1751,'Operational Data'!$A$2:$E$201,3,FALSE)</f>
        <v>66163</v>
      </c>
      <c r="H1751" s="11">
        <f>VLOOKUP(A1751,'Operational Data'!$A$2:$E$201,4,FALSE)</f>
        <v>1416.57</v>
      </c>
      <c r="I1751" s="11">
        <f>VLOOKUP(A1751,'Operational Data'!$A$2:$E$201,5,FALSE)</f>
        <v>68.73</v>
      </c>
      <c r="J1751" s="21">
        <f t="shared" si="27"/>
        <v>9.1950183637380407E-3</v>
      </c>
    </row>
    <row r="1752" spans="1:10" x14ac:dyDescent="0.25">
      <c r="A1752" s="20" t="s">
        <v>55</v>
      </c>
      <c r="B1752" s="20" t="s">
        <v>12</v>
      </c>
      <c r="C1752" s="20" t="s">
        <v>13</v>
      </c>
      <c r="D1752" s="20" t="s">
        <v>9</v>
      </c>
      <c r="E1752" s="20" t="s">
        <v>10</v>
      </c>
      <c r="F1752" s="20">
        <v>3246.9869779999999</v>
      </c>
      <c r="G1752" s="11">
        <f>VLOOKUP(A1752,'Operational Data'!$A$2:$E$201,3,FALSE)</f>
        <v>38181</v>
      </c>
      <c r="H1752" s="11">
        <f>VLOOKUP(A1752,'Operational Data'!$A$2:$E$201,4,FALSE)</f>
        <v>691.84</v>
      </c>
      <c r="I1752" s="11">
        <f>VLOOKUP(A1752,'Operational Data'!$A$2:$E$201,5,FALSE)</f>
        <v>33.53</v>
      </c>
      <c r="J1752" s="21">
        <f t="shared" si="27"/>
        <v>8.5041957465755214E-2</v>
      </c>
    </row>
    <row r="1753" spans="1:10" ht="30" x14ac:dyDescent="0.25">
      <c r="A1753" s="20" t="s">
        <v>37</v>
      </c>
      <c r="B1753" s="20" t="s">
        <v>17</v>
      </c>
      <c r="C1753" s="20" t="s">
        <v>34</v>
      </c>
      <c r="D1753" s="20" t="s">
        <v>14</v>
      </c>
      <c r="E1753" s="20" t="s">
        <v>10</v>
      </c>
      <c r="F1753" s="20">
        <v>4214.38</v>
      </c>
      <c r="G1753" s="11">
        <f>VLOOKUP(A1753,'Operational Data'!$A$2:$E$201,3,FALSE)</f>
        <v>71747</v>
      </c>
      <c r="H1753" s="11">
        <f>VLOOKUP(A1753,'Operational Data'!$A$2:$E$201,4,FALSE)</f>
        <v>9838.66</v>
      </c>
      <c r="I1753" s="11">
        <f>VLOOKUP(A1753,'Operational Data'!$A$2:$E$201,5,FALSE)</f>
        <v>7.25</v>
      </c>
      <c r="J1753" s="21">
        <f t="shared" si="27"/>
        <v>5.8739459489595386E-2</v>
      </c>
    </row>
    <row r="1754" spans="1:10" x14ac:dyDescent="0.25">
      <c r="A1754" s="20" t="s">
        <v>27</v>
      </c>
      <c r="B1754" s="20" t="s">
        <v>12</v>
      </c>
      <c r="C1754" s="20" t="s">
        <v>13</v>
      </c>
      <c r="D1754" s="20" t="s">
        <v>28</v>
      </c>
      <c r="E1754" s="20" t="s">
        <v>10</v>
      </c>
      <c r="F1754" s="20">
        <v>2178.11</v>
      </c>
      <c r="G1754" s="11">
        <f>VLOOKUP(A1754,'Operational Data'!$A$2:$E$201,3,FALSE)</f>
        <v>91031</v>
      </c>
      <c r="H1754" s="11">
        <f>VLOOKUP(A1754,'Operational Data'!$A$2:$E$201,4,FALSE)</f>
        <v>1783.57</v>
      </c>
      <c r="I1754" s="11">
        <f>VLOOKUP(A1754,'Operational Data'!$A$2:$E$201,5,FALSE)</f>
        <v>32.049999999999997</v>
      </c>
      <c r="J1754" s="21">
        <f t="shared" si="27"/>
        <v>2.3927123727081983E-2</v>
      </c>
    </row>
    <row r="1755" spans="1:10" ht="30" x14ac:dyDescent="0.25">
      <c r="A1755" s="20" t="s">
        <v>58</v>
      </c>
      <c r="B1755" s="20" t="s">
        <v>17</v>
      </c>
      <c r="C1755" s="20" t="s">
        <v>23</v>
      </c>
      <c r="D1755" s="20" t="s">
        <v>28</v>
      </c>
      <c r="E1755" s="20" t="s">
        <v>10</v>
      </c>
      <c r="F1755" s="20">
        <v>4250.24</v>
      </c>
      <c r="G1755" s="11">
        <f>VLOOKUP(A1755,'Operational Data'!$A$2:$E$201,3,FALSE)</f>
        <v>32246</v>
      </c>
      <c r="H1755" s="11">
        <f>VLOOKUP(A1755,'Operational Data'!$A$2:$E$201,4,FALSE)</f>
        <v>7903.93</v>
      </c>
      <c r="I1755" s="11">
        <f>VLOOKUP(A1755,'Operational Data'!$A$2:$E$201,5,FALSE)</f>
        <v>42.12</v>
      </c>
      <c r="J1755" s="21">
        <f t="shared" si="27"/>
        <v>0.13180673571915896</v>
      </c>
    </row>
    <row r="1756" spans="1:10" x14ac:dyDescent="0.25">
      <c r="A1756" s="20" t="s">
        <v>157</v>
      </c>
      <c r="B1756" s="20" t="s">
        <v>30</v>
      </c>
      <c r="C1756" s="20" t="s">
        <v>34</v>
      </c>
      <c r="D1756" s="20" t="s">
        <v>14</v>
      </c>
      <c r="E1756" s="20" t="s">
        <v>10</v>
      </c>
      <c r="F1756" s="20">
        <v>1294.92</v>
      </c>
      <c r="G1756" s="11">
        <f>VLOOKUP(A1756,'Operational Data'!$A$2:$E$201,3,FALSE)</f>
        <v>76544</v>
      </c>
      <c r="H1756" s="11">
        <f>VLOOKUP(A1756,'Operational Data'!$A$2:$E$201,4,FALSE)</f>
        <v>8632.77</v>
      </c>
      <c r="I1756" s="11">
        <f>VLOOKUP(A1756,'Operational Data'!$A$2:$E$201,5,FALSE)</f>
        <v>12.87</v>
      </c>
      <c r="J1756" s="21">
        <f t="shared" si="27"/>
        <v>1.6917328595317728E-2</v>
      </c>
    </row>
    <row r="1757" spans="1:10" ht="30" x14ac:dyDescent="0.25">
      <c r="A1757" s="20" t="s">
        <v>140</v>
      </c>
      <c r="B1757" s="20" t="s">
        <v>17</v>
      </c>
      <c r="C1757" s="20" t="s">
        <v>13</v>
      </c>
      <c r="D1757" s="20" t="s">
        <v>14</v>
      </c>
      <c r="E1757" s="20" t="s">
        <v>24</v>
      </c>
      <c r="F1757" s="20">
        <v>498.85</v>
      </c>
      <c r="G1757" s="11">
        <f>VLOOKUP(A1757,'Operational Data'!$A$2:$E$201,3,FALSE)</f>
        <v>88308</v>
      </c>
      <c r="H1757" s="11">
        <f>VLOOKUP(A1757,'Operational Data'!$A$2:$E$201,4,FALSE)</f>
        <v>7802.07</v>
      </c>
      <c r="I1757" s="11">
        <f>VLOOKUP(A1757,'Operational Data'!$A$2:$E$201,5,FALSE)</f>
        <v>36.130000000000003</v>
      </c>
      <c r="J1757" s="21">
        <f t="shared" si="27"/>
        <v>5.6489785749875435E-3</v>
      </c>
    </row>
    <row r="1758" spans="1:10" x14ac:dyDescent="0.25">
      <c r="A1758" s="20" t="s">
        <v>63</v>
      </c>
      <c r="B1758" s="20" t="s">
        <v>12</v>
      </c>
      <c r="C1758" s="20" t="s">
        <v>23</v>
      </c>
      <c r="D1758" s="20" t="s">
        <v>28</v>
      </c>
      <c r="E1758" s="20" t="s">
        <v>15</v>
      </c>
      <c r="F1758" s="20">
        <v>4605.3599999999997</v>
      </c>
      <c r="G1758" s="11">
        <f>VLOOKUP(A1758,'Operational Data'!$A$2:$E$201,3,FALSE)</f>
        <v>33688</v>
      </c>
      <c r="H1758" s="11">
        <f>VLOOKUP(A1758,'Operational Data'!$A$2:$E$201,4,FALSE)</f>
        <v>9495.48</v>
      </c>
      <c r="I1758" s="11">
        <f>VLOOKUP(A1758,'Operational Data'!$A$2:$E$201,5,FALSE)</f>
        <v>55.55</v>
      </c>
      <c r="J1758" s="21">
        <f t="shared" si="27"/>
        <v>0.1367062455473759</v>
      </c>
    </row>
    <row r="1759" spans="1:10" ht="30" x14ac:dyDescent="0.25">
      <c r="A1759" s="20" t="s">
        <v>142</v>
      </c>
      <c r="B1759" s="20" t="s">
        <v>17</v>
      </c>
      <c r="C1759" s="20" t="s">
        <v>23</v>
      </c>
      <c r="D1759" s="20" t="s">
        <v>14</v>
      </c>
      <c r="E1759" s="20" t="s">
        <v>24</v>
      </c>
      <c r="F1759" s="20">
        <v>4590.9799999999996</v>
      </c>
      <c r="G1759" s="11">
        <f>VLOOKUP(A1759,'Operational Data'!$A$2:$E$201,3,FALSE)</f>
        <v>75736</v>
      </c>
      <c r="H1759" s="11">
        <f>VLOOKUP(A1759,'Operational Data'!$A$2:$E$201,4,FALSE)</f>
        <v>6287.07</v>
      </c>
      <c r="I1759" s="11">
        <f>VLOOKUP(A1759,'Operational Data'!$A$2:$E$201,5,FALSE)</f>
        <v>63.11</v>
      </c>
      <c r="J1759" s="21">
        <f t="shared" si="27"/>
        <v>6.0618200063378043E-2</v>
      </c>
    </row>
    <row r="1760" spans="1:10" x14ac:dyDescent="0.25">
      <c r="A1760" s="20" t="s">
        <v>170</v>
      </c>
      <c r="B1760" s="20" t="s">
        <v>12</v>
      </c>
      <c r="C1760" s="20" t="s">
        <v>13</v>
      </c>
      <c r="D1760" s="20" t="s">
        <v>28</v>
      </c>
      <c r="E1760" s="20" t="s">
        <v>15</v>
      </c>
      <c r="F1760" s="20">
        <v>2454.27</v>
      </c>
      <c r="G1760" s="11">
        <f>VLOOKUP(A1760,'Operational Data'!$A$2:$E$201,3,FALSE)</f>
        <v>54133</v>
      </c>
      <c r="H1760" s="11">
        <f>VLOOKUP(A1760,'Operational Data'!$A$2:$E$201,4,FALSE)</f>
        <v>8543.68</v>
      </c>
      <c r="I1760" s="11">
        <f>VLOOKUP(A1760,'Operational Data'!$A$2:$E$201,5,FALSE)</f>
        <v>24</v>
      </c>
      <c r="J1760" s="21">
        <f t="shared" si="27"/>
        <v>4.5337779173517077E-2</v>
      </c>
    </row>
    <row r="1761" spans="1:10" x14ac:dyDescent="0.25">
      <c r="A1761" s="20" t="s">
        <v>99</v>
      </c>
      <c r="B1761" s="20" t="s">
        <v>19</v>
      </c>
      <c r="C1761" s="20" t="s">
        <v>13</v>
      </c>
      <c r="D1761" s="20" t="s">
        <v>9</v>
      </c>
      <c r="E1761" s="20" t="s">
        <v>24</v>
      </c>
      <c r="F1761" s="20">
        <v>2083</v>
      </c>
      <c r="G1761" s="11">
        <f>VLOOKUP(A1761,'Operational Data'!$A$2:$E$201,3,FALSE)</f>
        <v>77400</v>
      </c>
      <c r="H1761" s="11">
        <f>VLOOKUP(A1761,'Operational Data'!$A$2:$E$201,4,FALSE)</f>
        <v>7504.8</v>
      </c>
      <c r="I1761" s="11">
        <f>VLOOKUP(A1761,'Operational Data'!$A$2:$E$201,5,FALSE)</f>
        <v>68.819999999999993</v>
      </c>
      <c r="J1761" s="21">
        <f t="shared" si="27"/>
        <v>2.6912144702842377E-2</v>
      </c>
    </row>
    <row r="1762" spans="1:10" x14ac:dyDescent="0.25">
      <c r="A1762" s="20" t="s">
        <v>185</v>
      </c>
      <c r="B1762" s="20" t="s">
        <v>30</v>
      </c>
      <c r="C1762" s="20" t="s">
        <v>8</v>
      </c>
      <c r="D1762" s="20" t="s">
        <v>9</v>
      </c>
      <c r="E1762" s="20" t="s">
        <v>24</v>
      </c>
      <c r="F1762" s="20">
        <v>3207.76</v>
      </c>
      <c r="G1762" s="11">
        <f>VLOOKUP(A1762,'Operational Data'!$A$2:$E$201,3,FALSE)</f>
        <v>24913</v>
      </c>
      <c r="H1762" s="11">
        <f>VLOOKUP(A1762,'Operational Data'!$A$2:$E$201,4,FALSE)</f>
        <v>5727.27</v>
      </c>
      <c r="I1762" s="11">
        <f>VLOOKUP(A1762,'Operational Data'!$A$2:$E$201,5,FALSE)</f>
        <v>78.849999999999994</v>
      </c>
      <c r="J1762" s="21">
        <f t="shared" si="27"/>
        <v>0.12875847950869024</v>
      </c>
    </row>
    <row r="1763" spans="1:10" ht="30" x14ac:dyDescent="0.25">
      <c r="A1763" s="20" t="s">
        <v>168</v>
      </c>
      <c r="B1763" s="20" t="s">
        <v>17</v>
      </c>
      <c r="C1763" s="20" t="s">
        <v>8</v>
      </c>
      <c r="D1763" s="20" t="s">
        <v>9</v>
      </c>
      <c r="E1763" s="20" t="s">
        <v>10</v>
      </c>
      <c r="F1763" s="20">
        <v>4200.4249920000002</v>
      </c>
      <c r="G1763" s="11">
        <f>VLOOKUP(A1763,'Operational Data'!$A$2:$E$201,3,FALSE)</f>
        <v>41050</v>
      </c>
      <c r="H1763" s="11">
        <f>VLOOKUP(A1763,'Operational Data'!$A$2:$E$201,4,FALSE)</f>
        <v>6025.84</v>
      </c>
      <c r="I1763" s="11">
        <f>VLOOKUP(A1763,'Operational Data'!$A$2:$E$201,5,FALSE)</f>
        <v>53.53</v>
      </c>
      <c r="J1763" s="21">
        <f t="shared" si="27"/>
        <v>0.10232460394640683</v>
      </c>
    </row>
    <row r="1764" spans="1:10" x14ac:dyDescent="0.25">
      <c r="A1764" s="20" t="s">
        <v>68</v>
      </c>
      <c r="B1764" s="20" t="s">
        <v>12</v>
      </c>
      <c r="C1764" s="20" t="s">
        <v>23</v>
      </c>
      <c r="D1764" s="20" t="s">
        <v>9</v>
      </c>
      <c r="E1764" s="20" t="s">
        <v>10</v>
      </c>
      <c r="F1764" s="20">
        <v>4705.2145979999996</v>
      </c>
      <c r="G1764" s="11">
        <f>VLOOKUP(A1764,'Operational Data'!$A$2:$E$201,3,FALSE)</f>
        <v>69100</v>
      </c>
      <c r="H1764" s="11">
        <f>VLOOKUP(A1764,'Operational Data'!$A$2:$E$201,4,FALSE)</f>
        <v>9356.02</v>
      </c>
      <c r="I1764" s="11">
        <f>VLOOKUP(A1764,'Operational Data'!$A$2:$E$201,5,FALSE)</f>
        <v>16.5</v>
      </c>
      <c r="J1764" s="21">
        <f t="shared" si="27"/>
        <v>6.8092830651230091E-2</v>
      </c>
    </row>
    <row r="1765" spans="1:10" x14ac:dyDescent="0.25">
      <c r="A1765" s="20" t="s">
        <v>35</v>
      </c>
      <c r="B1765" s="20" t="s">
        <v>19</v>
      </c>
      <c r="C1765" s="20" t="s">
        <v>13</v>
      </c>
      <c r="D1765" s="20" t="s">
        <v>14</v>
      </c>
      <c r="E1765" s="20" t="s">
        <v>24</v>
      </c>
      <c r="F1765" s="20">
        <v>171.51</v>
      </c>
      <c r="G1765" s="11">
        <f>VLOOKUP(A1765,'Operational Data'!$A$2:$E$201,3,FALSE)</f>
        <v>42382</v>
      </c>
      <c r="H1765" s="11">
        <f>VLOOKUP(A1765,'Operational Data'!$A$2:$E$201,4,FALSE)</f>
        <v>5116.6899999999996</v>
      </c>
      <c r="I1765" s="11">
        <f>VLOOKUP(A1765,'Operational Data'!$A$2:$E$201,5,FALSE)</f>
        <v>80.42</v>
      </c>
      <c r="J1765" s="21">
        <f t="shared" si="27"/>
        <v>4.0467651361427021E-3</v>
      </c>
    </row>
    <row r="1766" spans="1:10" x14ac:dyDescent="0.25">
      <c r="A1766" s="20" t="s">
        <v>170</v>
      </c>
      <c r="B1766" s="20" t="s">
        <v>12</v>
      </c>
      <c r="C1766" s="20" t="s">
        <v>34</v>
      </c>
      <c r="D1766" s="20" t="s">
        <v>9</v>
      </c>
      <c r="E1766" s="20" t="s">
        <v>24</v>
      </c>
      <c r="F1766" s="20">
        <v>2210.630854</v>
      </c>
      <c r="G1766" s="11">
        <f>VLOOKUP(A1766,'Operational Data'!$A$2:$E$201,3,FALSE)</f>
        <v>54133</v>
      </c>
      <c r="H1766" s="11">
        <f>VLOOKUP(A1766,'Operational Data'!$A$2:$E$201,4,FALSE)</f>
        <v>8543.68</v>
      </c>
      <c r="I1766" s="11">
        <f>VLOOKUP(A1766,'Operational Data'!$A$2:$E$201,5,FALSE)</f>
        <v>24</v>
      </c>
      <c r="J1766" s="21">
        <f t="shared" si="27"/>
        <v>4.0837028319139899E-2</v>
      </c>
    </row>
    <row r="1767" spans="1:10" x14ac:dyDescent="0.25">
      <c r="A1767" s="20" t="s">
        <v>11</v>
      </c>
      <c r="B1767" s="20" t="s">
        <v>12</v>
      </c>
      <c r="C1767" s="20" t="s">
        <v>23</v>
      </c>
      <c r="D1767" s="20" t="s">
        <v>9</v>
      </c>
      <c r="E1767" s="20" t="s">
        <v>24</v>
      </c>
      <c r="F1767" s="20">
        <v>4978.9324690000003</v>
      </c>
      <c r="G1767" s="11">
        <f>VLOOKUP(A1767,'Operational Data'!$A$2:$E$201,3,FALSE)</f>
        <v>44657</v>
      </c>
      <c r="H1767" s="11">
        <f>VLOOKUP(A1767,'Operational Data'!$A$2:$E$201,4,FALSE)</f>
        <v>7867.98</v>
      </c>
      <c r="I1767" s="11">
        <f>VLOOKUP(A1767,'Operational Data'!$A$2:$E$201,5,FALSE)</f>
        <v>96.01</v>
      </c>
      <c r="J1767" s="21">
        <f t="shared" si="27"/>
        <v>0.11149276639720537</v>
      </c>
    </row>
    <row r="1768" spans="1:10" x14ac:dyDescent="0.25">
      <c r="A1768" s="20" t="s">
        <v>117</v>
      </c>
      <c r="B1768" s="20" t="s">
        <v>7</v>
      </c>
      <c r="C1768" s="20" t="s">
        <v>8</v>
      </c>
      <c r="D1768" s="20" t="s">
        <v>28</v>
      </c>
      <c r="E1768" s="20" t="s">
        <v>15</v>
      </c>
      <c r="F1768" s="20">
        <v>3657.98</v>
      </c>
      <c r="G1768" s="11">
        <f>VLOOKUP(A1768,'Operational Data'!$A$2:$E$201,3,FALSE)</f>
        <v>89321</v>
      </c>
      <c r="H1768" s="11">
        <f>VLOOKUP(A1768,'Operational Data'!$A$2:$E$201,4,FALSE)</f>
        <v>9836.34</v>
      </c>
      <c r="I1768" s="11">
        <f>VLOOKUP(A1768,'Operational Data'!$A$2:$E$201,5,FALSE)</f>
        <v>16.989999999999998</v>
      </c>
      <c r="J1768" s="21">
        <f t="shared" si="27"/>
        <v>4.0953191298798715E-2</v>
      </c>
    </row>
    <row r="1769" spans="1:10" ht="30" x14ac:dyDescent="0.25">
      <c r="A1769" s="20" t="s">
        <v>20</v>
      </c>
      <c r="B1769" s="20" t="s">
        <v>17</v>
      </c>
      <c r="C1769" s="20" t="s">
        <v>23</v>
      </c>
      <c r="D1769" s="20" t="s">
        <v>28</v>
      </c>
      <c r="E1769" s="20" t="s">
        <v>24</v>
      </c>
      <c r="F1769" s="20">
        <v>1516.4</v>
      </c>
      <c r="G1769" s="11">
        <f>VLOOKUP(A1769,'Operational Data'!$A$2:$E$201,3,FALSE)</f>
        <v>29895</v>
      </c>
      <c r="H1769" s="11">
        <f>VLOOKUP(A1769,'Operational Data'!$A$2:$E$201,4,FALSE)</f>
        <v>1631.08</v>
      </c>
      <c r="I1769" s="11">
        <f>VLOOKUP(A1769,'Operational Data'!$A$2:$E$201,5,FALSE)</f>
        <v>39.93</v>
      </c>
      <c r="J1769" s="21">
        <f t="shared" si="27"/>
        <v>5.0724201371466805E-2</v>
      </c>
    </row>
    <row r="1770" spans="1:10" x14ac:dyDescent="0.25">
      <c r="A1770" s="20" t="s">
        <v>49</v>
      </c>
      <c r="B1770" s="20" t="s">
        <v>19</v>
      </c>
      <c r="C1770" s="20" t="s">
        <v>23</v>
      </c>
      <c r="D1770" s="20" t="s">
        <v>28</v>
      </c>
      <c r="E1770" s="20" t="s">
        <v>10</v>
      </c>
      <c r="F1770" s="20">
        <v>1707.15</v>
      </c>
      <c r="G1770" s="11">
        <f>VLOOKUP(A1770,'Operational Data'!$A$2:$E$201,3,FALSE)</f>
        <v>50306</v>
      </c>
      <c r="H1770" s="11">
        <f>VLOOKUP(A1770,'Operational Data'!$A$2:$E$201,4,FALSE)</f>
        <v>7031.37</v>
      </c>
      <c r="I1770" s="11">
        <f>VLOOKUP(A1770,'Operational Data'!$A$2:$E$201,5,FALSE)</f>
        <v>13.27</v>
      </c>
      <c r="J1770" s="21">
        <f t="shared" si="27"/>
        <v>3.3935315866894605E-2</v>
      </c>
    </row>
    <row r="1771" spans="1:10" x14ac:dyDescent="0.25">
      <c r="A1771" s="20" t="s">
        <v>98</v>
      </c>
      <c r="B1771" s="20" t="s">
        <v>19</v>
      </c>
      <c r="C1771" s="20" t="s">
        <v>34</v>
      </c>
      <c r="D1771" s="20" t="s">
        <v>14</v>
      </c>
      <c r="E1771" s="20" t="s">
        <v>24</v>
      </c>
      <c r="F1771" s="20">
        <v>526.19000000000005</v>
      </c>
      <c r="G1771" s="11">
        <f>VLOOKUP(A1771,'Operational Data'!$A$2:$E$201,3,FALSE)</f>
        <v>26170</v>
      </c>
      <c r="H1771" s="11">
        <f>VLOOKUP(A1771,'Operational Data'!$A$2:$E$201,4,FALSE)</f>
        <v>8057.54</v>
      </c>
      <c r="I1771" s="11">
        <f>VLOOKUP(A1771,'Operational Data'!$A$2:$E$201,5,FALSE)</f>
        <v>63.71</v>
      </c>
      <c r="J1771" s="21">
        <f t="shared" si="27"/>
        <v>2.0106610622850594E-2</v>
      </c>
    </row>
    <row r="1772" spans="1:10" ht="30" x14ac:dyDescent="0.25">
      <c r="A1772" s="20" t="s">
        <v>218</v>
      </c>
      <c r="B1772" s="20" t="s">
        <v>17</v>
      </c>
      <c r="C1772" s="20" t="s">
        <v>8</v>
      </c>
      <c r="D1772" s="20" t="s">
        <v>9</v>
      </c>
      <c r="E1772" s="20" t="s">
        <v>24</v>
      </c>
      <c r="F1772" s="20">
        <v>5253.4060950000003</v>
      </c>
      <c r="G1772" s="11">
        <f>VLOOKUP(A1772,'Operational Data'!$A$2:$E$201,3,FALSE)</f>
        <v>22525</v>
      </c>
      <c r="H1772" s="11">
        <f>VLOOKUP(A1772,'Operational Data'!$A$2:$E$201,4,FALSE)</f>
        <v>9465.65</v>
      </c>
      <c r="I1772" s="11">
        <f>VLOOKUP(A1772,'Operational Data'!$A$2:$E$201,5,FALSE)</f>
        <v>37.79</v>
      </c>
      <c r="J1772" s="21">
        <f t="shared" si="27"/>
        <v>0.23322557580466149</v>
      </c>
    </row>
    <row r="1773" spans="1:10" x14ac:dyDescent="0.25">
      <c r="A1773" s="20" t="s">
        <v>123</v>
      </c>
      <c r="B1773" s="20" t="s">
        <v>30</v>
      </c>
      <c r="C1773" s="20" t="s">
        <v>8</v>
      </c>
      <c r="D1773" s="20" t="s">
        <v>9</v>
      </c>
      <c r="E1773" s="20" t="s">
        <v>15</v>
      </c>
      <c r="F1773" s="20">
        <v>3617.9</v>
      </c>
      <c r="G1773" s="11">
        <f>VLOOKUP(A1773,'Operational Data'!$A$2:$E$201,3,FALSE)</f>
        <v>73977</v>
      </c>
      <c r="H1773" s="11">
        <f>VLOOKUP(A1773,'Operational Data'!$A$2:$E$201,4,FALSE)</f>
        <v>1646.75</v>
      </c>
      <c r="I1773" s="11">
        <f>VLOOKUP(A1773,'Operational Data'!$A$2:$E$201,5,FALSE)</f>
        <v>43.77</v>
      </c>
      <c r="J1773" s="21">
        <f t="shared" si="27"/>
        <v>4.890574097354583E-2</v>
      </c>
    </row>
    <row r="1774" spans="1:10" x14ac:dyDescent="0.25">
      <c r="A1774" s="20" t="s">
        <v>175</v>
      </c>
      <c r="B1774" s="20" t="s">
        <v>7</v>
      </c>
      <c r="C1774" s="20" t="s">
        <v>13</v>
      </c>
      <c r="D1774" s="20" t="s">
        <v>28</v>
      </c>
      <c r="E1774" s="20" t="s">
        <v>10</v>
      </c>
      <c r="F1774" s="20">
        <v>698.65</v>
      </c>
      <c r="G1774" s="11">
        <f>VLOOKUP(A1774,'Operational Data'!$A$2:$E$201,3,FALSE)</f>
        <v>83923</v>
      </c>
      <c r="H1774" s="11">
        <f>VLOOKUP(A1774,'Operational Data'!$A$2:$E$201,4,FALSE)</f>
        <v>8768.7999999999993</v>
      </c>
      <c r="I1774" s="11">
        <f>VLOOKUP(A1774,'Operational Data'!$A$2:$E$201,5,FALSE)</f>
        <v>65.290000000000006</v>
      </c>
      <c r="J1774" s="21">
        <f t="shared" si="27"/>
        <v>8.324893056730575E-3</v>
      </c>
    </row>
    <row r="1775" spans="1:10" x14ac:dyDescent="0.25">
      <c r="A1775" s="20" t="s">
        <v>11</v>
      </c>
      <c r="B1775" s="20" t="s">
        <v>12</v>
      </c>
      <c r="C1775" s="20" t="s">
        <v>23</v>
      </c>
      <c r="D1775" s="20" t="s">
        <v>9</v>
      </c>
      <c r="E1775" s="20" t="s">
        <v>24</v>
      </c>
      <c r="F1775" s="20">
        <v>4671.9711859999998</v>
      </c>
      <c r="G1775" s="11">
        <f>VLOOKUP(A1775,'Operational Data'!$A$2:$E$201,3,FALSE)</f>
        <v>44657</v>
      </c>
      <c r="H1775" s="11">
        <f>VLOOKUP(A1775,'Operational Data'!$A$2:$E$201,4,FALSE)</f>
        <v>7867.98</v>
      </c>
      <c r="I1775" s="11">
        <f>VLOOKUP(A1775,'Operational Data'!$A$2:$E$201,5,FALSE)</f>
        <v>96.01</v>
      </c>
      <c r="J1775" s="21">
        <f t="shared" si="27"/>
        <v>0.10461901126363167</v>
      </c>
    </row>
    <row r="1776" spans="1:10" x14ac:dyDescent="0.25">
      <c r="A1776" s="20" t="s">
        <v>173</v>
      </c>
      <c r="B1776" s="20" t="s">
        <v>30</v>
      </c>
      <c r="C1776" s="20" t="s">
        <v>23</v>
      </c>
      <c r="D1776" s="20" t="s">
        <v>14</v>
      </c>
      <c r="E1776" s="20" t="s">
        <v>15</v>
      </c>
      <c r="F1776" s="20">
        <v>4339.82</v>
      </c>
      <c r="G1776" s="11">
        <f>VLOOKUP(A1776,'Operational Data'!$A$2:$E$201,3,FALSE)</f>
        <v>49620</v>
      </c>
      <c r="H1776" s="11">
        <f>VLOOKUP(A1776,'Operational Data'!$A$2:$E$201,4,FALSE)</f>
        <v>2424.31</v>
      </c>
      <c r="I1776" s="11">
        <f>VLOOKUP(A1776,'Operational Data'!$A$2:$E$201,5,FALSE)</f>
        <v>62.09</v>
      </c>
      <c r="J1776" s="21">
        <f t="shared" si="27"/>
        <v>8.7461104393389763E-2</v>
      </c>
    </row>
    <row r="1777" spans="1:10" x14ac:dyDescent="0.25">
      <c r="A1777" s="20" t="s">
        <v>99</v>
      </c>
      <c r="B1777" s="20" t="s">
        <v>19</v>
      </c>
      <c r="C1777" s="20" t="s">
        <v>13</v>
      </c>
      <c r="D1777" s="20" t="s">
        <v>9</v>
      </c>
      <c r="E1777" s="20" t="s">
        <v>24</v>
      </c>
      <c r="F1777" s="20">
        <v>132.41999999999999</v>
      </c>
      <c r="G1777" s="11">
        <f>VLOOKUP(A1777,'Operational Data'!$A$2:$E$201,3,FALSE)</f>
        <v>77400</v>
      </c>
      <c r="H1777" s="11">
        <f>VLOOKUP(A1777,'Operational Data'!$A$2:$E$201,4,FALSE)</f>
        <v>7504.8</v>
      </c>
      <c r="I1777" s="11">
        <f>VLOOKUP(A1777,'Operational Data'!$A$2:$E$201,5,FALSE)</f>
        <v>68.819999999999993</v>
      </c>
      <c r="J1777" s="21">
        <f t="shared" si="27"/>
        <v>1.7108527131782943E-3</v>
      </c>
    </row>
    <row r="1778" spans="1:10" x14ac:dyDescent="0.25">
      <c r="A1778" s="20" t="s">
        <v>33</v>
      </c>
      <c r="B1778" s="20" t="s">
        <v>19</v>
      </c>
      <c r="C1778" s="20" t="s">
        <v>34</v>
      </c>
      <c r="D1778" s="20" t="s">
        <v>14</v>
      </c>
      <c r="E1778" s="20" t="s">
        <v>10</v>
      </c>
      <c r="F1778" s="20">
        <v>1388.99</v>
      </c>
      <c r="G1778" s="11">
        <f>VLOOKUP(A1778,'Operational Data'!$A$2:$E$201,3,FALSE)</f>
        <v>65719</v>
      </c>
      <c r="H1778" s="11">
        <f>VLOOKUP(A1778,'Operational Data'!$A$2:$E$201,4,FALSE)</f>
        <v>9362.41</v>
      </c>
      <c r="I1778" s="11">
        <f>VLOOKUP(A1778,'Operational Data'!$A$2:$E$201,5,FALSE)</f>
        <v>86.55</v>
      </c>
      <c r="J1778" s="21">
        <f t="shared" si="27"/>
        <v>2.1135288120634824E-2</v>
      </c>
    </row>
    <row r="1779" spans="1:10" x14ac:dyDescent="0.25">
      <c r="A1779" s="20" t="s">
        <v>163</v>
      </c>
      <c r="B1779" s="20" t="s">
        <v>19</v>
      </c>
      <c r="C1779" s="20" t="s">
        <v>23</v>
      </c>
      <c r="D1779" s="20" t="s">
        <v>14</v>
      </c>
      <c r="E1779" s="20" t="s">
        <v>10</v>
      </c>
      <c r="F1779" s="20">
        <v>3966.31</v>
      </c>
      <c r="G1779" s="11">
        <f>VLOOKUP(A1779,'Operational Data'!$A$2:$E$201,3,FALSE)</f>
        <v>87482</v>
      </c>
      <c r="H1779" s="11">
        <f>VLOOKUP(A1779,'Operational Data'!$A$2:$E$201,4,FALSE)</f>
        <v>2231.7399999999998</v>
      </c>
      <c r="I1779" s="11">
        <f>VLOOKUP(A1779,'Operational Data'!$A$2:$E$201,5,FALSE)</f>
        <v>45.43</v>
      </c>
      <c r="J1779" s="21">
        <f t="shared" si="27"/>
        <v>4.5338583937267092E-2</v>
      </c>
    </row>
    <row r="1780" spans="1:10" ht="30" x14ac:dyDescent="0.25">
      <c r="A1780" s="20" t="s">
        <v>79</v>
      </c>
      <c r="B1780" s="20" t="s">
        <v>17</v>
      </c>
      <c r="C1780" s="20" t="s">
        <v>13</v>
      </c>
      <c r="D1780" s="20" t="s">
        <v>28</v>
      </c>
      <c r="E1780" s="20" t="s">
        <v>15</v>
      </c>
      <c r="F1780" s="20">
        <v>2647.7</v>
      </c>
      <c r="G1780" s="11">
        <f>VLOOKUP(A1780,'Operational Data'!$A$2:$E$201,3,FALSE)</f>
        <v>40503</v>
      </c>
      <c r="H1780" s="11">
        <f>VLOOKUP(A1780,'Operational Data'!$A$2:$E$201,4,FALSE)</f>
        <v>7447.46</v>
      </c>
      <c r="I1780" s="11">
        <f>VLOOKUP(A1780,'Operational Data'!$A$2:$E$201,5,FALSE)</f>
        <v>98.27</v>
      </c>
      <c r="J1780" s="21">
        <f t="shared" si="27"/>
        <v>6.5370466385206036E-2</v>
      </c>
    </row>
    <row r="1781" spans="1:10" x14ac:dyDescent="0.25">
      <c r="A1781" s="20" t="s">
        <v>175</v>
      </c>
      <c r="B1781" s="20" t="s">
        <v>7</v>
      </c>
      <c r="C1781" s="20" t="s">
        <v>13</v>
      </c>
      <c r="D1781" s="20" t="s">
        <v>28</v>
      </c>
      <c r="E1781" s="20" t="s">
        <v>24</v>
      </c>
      <c r="F1781" s="20">
        <v>3541.47</v>
      </c>
      <c r="G1781" s="11">
        <f>VLOOKUP(A1781,'Operational Data'!$A$2:$E$201,3,FALSE)</f>
        <v>83923</v>
      </c>
      <c r="H1781" s="11">
        <f>VLOOKUP(A1781,'Operational Data'!$A$2:$E$201,4,FALSE)</f>
        <v>8768.7999999999993</v>
      </c>
      <c r="I1781" s="11">
        <f>VLOOKUP(A1781,'Operational Data'!$A$2:$E$201,5,FALSE)</f>
        <v>65.290000000000006</v>
      </c>
      <c r="J1781" s="21">
        <f t="shared" si="27"/>
        <v>4.2199039595819977E-2</v>
      </c>
    </row>
    <row r="1782" spans="1:10" x14ac:dyDescent="0.25">
      <c r="A1782" s="20" t="s">
        <v>40</v>
      </c>
      <c r="B1782" s="20" t="s">
        <v>19</v>
      </c>
      <c r="C1782" s="20" t="s">
        <v>23</v>
      </c>
      <c r="D1782" s="20" t="s">
        <v>28</v>
      </c>
      <c r="E1782" s="20" t="s">
        <v>10</v>
      </c>
      <c r="F1782" s="20">
        <v>2083.98</v>
      </c>
      <c r="G1782" s="11">
        <f>VLOOKUP(A1782,'Operational Data'!$A$2:$E$201,3,FALSE)</f>
        <v>96474</v>
      </c>
      <c r="H1782" s="11">
        <f>VLOOKUP(A1782,'Operational Data'!$A$2:$E$201,4,FALSE)</f>
        <v>7574.39</v>
      </c>
      <c r="I1782" s="11">
        <f>VLOOKUP(A1782,'Operational Data'!$A$2:$E$201,5,FALSE)</f>
        <v>95.54</v>
      </c>
      <c r="J1782" s="21">
        <f t="shared" si="27"/>
        <v>2.1601467752969714E-2</v>
      </c>
    </row>
    <row r="1783" spans="1:10" x14ac:dyDescent="0.25">
      <c r="A1783" s="20" t="s">
        <v>102</v>
      </c>
      <c r="B1783" s="20" t="s">
        <v>19</v>
      </c>
      <c r="C1783" s="20" t="s">
        <v>23</v>
      </c>
      <c r="D1783" s="20" t="s">
        <v>9</v>
      </c>
      <c r="E1783" s="20" t="s">
        <v>15</v>
      </c>
      <c r="F1783" s="20">
        <v>3597.2222860000002</v>
      </c>
      <c r="G1783" s="11">
        <f>VLOOKUP(A1783,'Operational Data'!$A$2:$E$201,3,FALSE)</f>
        <v>86263</v>
      </c>
      <c r="H1783" s="11">
        <f>VLOOKUP(A1783,'Operational Data'!$A$2:$E$201,4,FALSE)</f>
        <v>3213.71</v>
      </c>
      <c r="I1783" s="11">
        <f>VLOOKUP(A1783,'Operational Data'!$A$2:$E$201,5,FALSE)</f>
        <v>98.39</v>
      </c>
      <c r="J1783" s="21">
        <f t="shared" si="27"/>
        <v>4.1700639741256394E-2</v>
      </c>
    </row>
    <row r="1784" spans="1:10" x14ac:dyDescent="0.25">
      <c r="A1784" s="20" t="s">
        <v>188</v>
      </c>
      <c r="B1784" s="20" t="s">
        <v>19</v>
      </c>
      <c r="C1784" s="20" t="s">
        <v>8</v>
      </c>
      <c r="D1784" s="20" t="s">
        <v>28</v>
      </c>
      <c r="E1784" s="20" t="s">
        <v>24</v>
      </c>
      <c r="F1784" s="20">
        <v>3828.14</v>
      </c>
      <c r="G1784" s="11">
        <f>VLOOKUP(A1784,'Operational Data'!$A$2:$E$201,3,FALSE)</f>
        <v>60513</v>
      </c>
      <c r="H1784" s="11">
        <f>VLOOKUP(A1784,'Operational Data'!$A$2:$E$201,4,FALSE)</f>
        <v>4578.16</v>
      </c>
      <c r="I1784" s="11">
        <f>VLOOKUP(A1784,'Operational Data'!$A$2:$E$201,5,FALSE)</f>
        <v>65.53</v>
      </c>
      <c r="J1784" s="21">
        <f t="shared" si="27"/>
        <v>6.3261447953332342E-2</v>
      </c>
    </row>
    <row r="1785" spans="1:10" x14ac:dyDescent="0.25">
      <c r="A1785" s="20" t="s">
        <v>72</v>
      </c>
      <c r="B1785" s="20" t="s">
        <v>19</v>
      </c>
      <c r="C1785" s="20" t="s">
        <v>23</v>
      </c>
      <c r="D1785" s="20" t="s">
        <v>9</v>
      </c>
      <c r="E1785" s="20" t="s">
        <v>10</v>
      </c>
      <c r="F1785" s="20">
        <v>3705.619533</v>
      </c>
      <c r="G1785" s="11">
        <f>VLOOKUP(A1785,'Operational Data'!$A$2:$E$201,3,FALSE)</f>
        <v>29318</v>
      </c>
      <c r="H1785" s="11">
        <f>VLOOKUP(A1785,'Operational Data'!$A$2:$E$201,4,FALSE)</f>
        <v>9860.6200000000008</v>
      </c>
      <c r="I1785" s="11">
        <f>VLOOKUP(A1785,'Operational Data'!$A$2:$E$201,5,FALSE)</f>
        <v>14.58</v>
      </c>
      <c r="J1785" s="21">
        <f t="shared" si="27"/>
        <v>0.12639400822020602</v>
      </c>
    </row>
    <row r="1786" spans="1:10" x14ac:dyDescent="0.25">
      <c r="A1786" s="20" t="s">
        <v>167</v>
      </c>
      <c r="B1786" s="20" t="s">
        <v>30</v>
      </c>
      <c r="C1786" s="20" t="s">
        <v>8</v>
      </c>
      <c r="D1786" s="20" t="s">
        <v>9</v>
      </c>
      <c r="E1786" s="20" t="s">
        <v>15</v>
      </c>
      <c r="F1786" s="20">
        <v>2912.2502679999998</v>
      </c>
      <c r="G1786" s="11">
        <f>VLOOKUP(A1786,'Operational Data'!$A$2:$E$201,3,FALSE)</f>
        <v>67213</v>
      </c>
      <c r="H1786" s="11">
        <f>VLOOKUP(A1786,'Operational Data'!$A$2:$E$201,4,FALSE)</f>
        <v>5533.81</v>
      </c>
      <c r="I1786" s="11">
        <f>VLOOKUP(A1786,'Operational Data'!$A$2:$E$201,5,FALSE)</f>
        <v>90.88</v>
      </c>
      <c r="J1786" s="21">
        <f t="shared" si="27"/>
        <v>4.3328675524080158E-2</v>
      </c>
    </row>
    <row r="1787" spans="1:10" x14ac:dyDescent="0.25">
      <c r="A1787" s="20" t="s">
        <v>52</v>
      </c>
      <c r="B1787" s="20" t="s">
        <v>19</v>
      </c>
      <c r="C1787" s="20" t="s">
        <v>34</v>
      </c>
      <c r="D1787" s="20" t="s">
        <v>28</v>
      </c>
      <c r="E1787" s="20" t="s">
        <v>24</v>
      </c>
      <c r="F1787" s="20">
        <v>1004.91</v>
      </c>
      <c r="G1787" s="11">
        <f>VLOOKUP(A1787,'Operational Data'!$A$2:$E$201,3,FALSE)</f>
        <v>94949</v>
      </c>
      <c r="H1787" s="11">
        <f>VLOOKUP(A1787,'Operational Data'!$A$2:$E$201,4,FALSE)</f>
        <v>9714.76</v>
      </c>
      <c r="I1787" s="11">
        <f>VLOOKUP(A1787,'Operational Data'!$A$2:$E$201,5,FALSE)</f>
        <v>64.900000000000006</v>
      </c>
      <c r="J1787" s="21">
        <f t="shared" si="27"/>
        <v>1.0583681766000694E-2</v>
      </c>
    </row>
    <row r="1788" spans="1:10" x14ac:dyDescent="0.25">
      <c r="A1788" s="20" t="s">
        <v>100</v>
      </c>
      <c r="B1788" s="20" t="s">
        <v>7</v>
      </c>
      <c r="C1788" s="20" t="s">
        <v>34</v>
      </c>
      <c r="D1788" s="20" t="s">
        <v>14</v>
      </c>
      <c r="E1788" s="20" t="s">
        <v>10</v>
      </c>
      <c r="F1788" s="20">
        <v>4429.63</v>
      </c>
      <c r="G1788" s="11">
        <f>VLOOKUP(A1788,'Operational Data'!$A$2:$E$201,3,FALSE)</f>
        <v>17468</v>
      </c>
      <c r="H1788" s="11">
        <f>VLOOKUP(A1788,'Operational Data'!$A$2:$E$201,4,FALSE)</f>
        <v>6359.73</v>
      </c>
      <c r="I1788" s="11">
        <f>VLOOKUP(A1788,'Operational Data'!$A$2:$E$201,5,FALSE)</f>
        <v>5.22</v>
      </c>
      <c r="J1788" s="21">
        <f t="shared" si="27"/>
        <v>0.25358541332722695</v>
      </c>
    </row>
    <row r="1789" spans="1:10" x14ac:dyDescent="0.25">
      <c r="A1789" s="20" t="s">
        <v>108</v>
      </c>
      <c r="B1789" s="20" t="s">
        <v>7</v>
      </c>
      <c r="C1789" s="20" t="s">
        <v>13</v>
      </c>
      <c r="D1789" s="20" t="s">
        <v>9</v>
      </c>
      <c r="E1789" s="20" t="s">
        <v>10</v>
      </c>
      <c r="F1789" s="20">
        <v>4951.923847</v>
      </c>
      <c r="G1789" s="11">
        <f>VLOOKUP(A1789,'Operational Data'!$A$2:$E$201,3,FALSE)</f>
        <v>22201</v>
      </c>
      <c r="H1789" s="11">
        <f>VLOOKUP(A1789,'Operational Data'!$A$2:$E$201,4,FALSE)</f>
        <v>2853.66</v>
      </c>
      <c r="I1789" s="11">
        <f>VLOOKUP(A1789,'Operational Data'!$A$2:$E$201,5,FALSE)</f>
        <v>71.94</v>
      </c>
      <c r="J1789" s="21">
        <f t="shared" si="27"/>
        <v>0.22304958546912301</v>
      </c>
    </row>
    <row r="1790" spans="1:10" ht="30" x14ac:dyDescent="0.25">
      <c r="A1790" s="20" t="s">
        <v>16</v>
      </c>
      <c r="B1790" s="20" t="s">
        <v>17</v>
      </c>
      <c r="C1790" s="20" t="s">
        <v>8</v>
      </c>
      <c r="D1790" s="20" t="s">
        <v>9</v>
      </c>
      <c r="E1790" s="20" t="s">
        <v>24</v>
      </c>
      <c r="F1790" s="20">
        <v>2036.074695</v>
      </c>
      <c r="G1790" s="11">
        <f>VLOOKUP(A1790,'Operational Data'!$A$2:$E$201,3,FALSE)</f>
        <v>43512</v>
      </c>
      <c r="H1790" s="11">
        <f>VLOOKUP(A1790,'Operational Data'!$A$2:$E$201,4,FALSE)</f>
        <v>5352.18</v>
      </c>
      <c r="I1790" s="11">
        <f>VLOOKUP(A1790,'Operational Data'!$A$2:$E$201,5,FALSE)</f>
        <v>6.17</v>
      </c>
      <c r="J1790" s="21">
        <f t="shared" si="27"/>
        <v>4.6793406301709875E-2</v>
      </c>
    </row>
    <row r="1791" spans="1:10" x14ac:dyDescent="0.25">
      <c r="A1791" s="20" t="s">
        <v>161</v>
      </c>
      <c r="B1791" s="20" t="s">
        <v>7</v>
      </c>
      <c r="C1791" s="20" t="s">
        <v>8</v>
      </c>
      <c r="D1791" s="20" t="s">
        <v>28</v>
      </c>
      <c r="E1791" s="20" t="s">
        <v>10</v>
      </c>
      <c r="F1791" s="20">
        <v>4936.1400000000003</v>
      </c>
      <c r="G1791" s="11">
        <f>VLOOKUP(A1791,'Operational Data'!$A$2:$E$201,3,FALSE)</f>
        <v>15788</v>
      </c>
      <c r="H1791" s="11">
        <f>VLOOKUP(A1791,'Operational Data'!$A$2:$E$201,4,FALSE)</f>
        <v>1824.14</v>
      </c>
      <c r="I1791" s="11">
        <f>VLOOKUP(A1791,'Operational Data'!$A$2:$E$201,5,FALSE)</f>
        <v>52.78</v>
      </c>
      <c r="J1791" s="21">
        <f t="shared" si="27"/>
        <v>0.31265138079554095</v>
      </c>
    </row>
    <row r="1792" spans="1:10" x14ac:dyDescent="0.25">
      <c r="A1792" s="20" t="s">
        <v>6</v>
      </c>
      <c r="B1792" s="20" t="s">
        <v>7</v>
      </c>
      <c r="C1792" s="20" t="s">
        <v>34</v>
      </c>
      <c r="D1792" s="20" t="s">
        <v>28</v>
      </c>
      <c r="E1792" s="20" t="s">
        <v>15</v>
      </c>
      <c r="F1792" s="20">
        <v>2419.77</v>
      </c>
      <c r="G1792" s="11">
        <f>VLOOKUP(A1792,'Operational Data'!$A$2:$E$201,3,FALSE)</f>
        <v>77330</v>
      </c>
      <c r="H1792" s="11">
        <f>VLOOKUP(A1792,'Operational Data'!$A$2:$E$201,4,FALSE)</f>
        <v>6936.58</v>
      </c>
      <c r="I1792" s="11">
        <f>VLOOKUP(A1792,'Operational Data'!$A$2:$E$201,5,FALSE)</f>
        <v>82.3</v>
      </c>
      <c r="J1792" s="21">
        <f t="shared" si="27"/>
        <v>3.1291478080951764E-2</v>
      </c>
    </row>
    <row r="1793" spans="1:10" x14ac:dyDescent="0.25">
      <c r="A1793" s="20" t="s">
        <v>119</v>
      </c>
      <c r="B1793" s="20" t="s">
        <v>30</v>
      </c>
      <c r="C1793" s="20" t="s">
        <v>34</v>
      </c>
      <c r="D1793" s="20" t="s">
        <v>9</v>
      </c>
      <c r="E1793" s="20" t="s">
        <v>15</v>
      </c>
      <c r="F1793" s="20">
        <v>574.95542599999999</v>
      </c>
      <c r="G1793" s="11">
        <f>VLOOKUP(A1793,'Operational Data'!$A$2:$E$201,3,FALSE)</f>
        <v>80488</v>
      </c>
      <c r="H1793" s="11">
        <f>VLOOKUP(A1793,'Operational Data'!$A$2:$E$201,4,FALSE)</f>
        <v>7629.95</v>
      </c>
      <c r="I1793" s="11">
        <f>VLOOKUP(A1793,'Operational Data'!$A$2:$E$201,5,FALSE)</f>
        <v>63.83</v>
      </c>
      <c r="J1793" s="21">
        <f t="shared" si="27"/>
        <v>7.1433682785011429E-3</v>
      </c>
    </row>
    <row r="1794" spans="1:10" x14ac:dyDescent="0.25">
      <c r="A1794" s="20" t="s">
        <v>191</v>
      </c>
      <c r="B1794" s="20" t="s">
        <v>12</v>
      </c>
      <c r="C1794" s="20" t="s">
        <v>13</v>
      </c>
      <c r="D1794" s="20" t="s">
        <v>28</v>
      </c>
      <c r="E1794" s="20" t="s">
        <v>10</v>
      </c>
      <c r="F1794" s="20">
        <v>2530.5</v>
      </c>
      <c r="G1794" s="11">
        <f>VLOOKUP(A1794,'Operational Data'!$A$2:$E$201,3,FALSE)</f>
        <v>43346</v>
      </c>
      <c r="H1794" s="11">
        <f>VLOOKUP(A1794,'Operational Data'!$A$2:$E$201,4,FALSE)</f>
        <v>5559.12</v>
      </c>
      <c r="I1794" s="11">
        <f>VLOOKUP(A1794,'Operational Data'!$A$2:$E$201,5,FALSE)</f>
        <v>39.4</v>
      </c>
      <c r="J1794" s="21">
        <f t="shared" si="27"/>
        <v>5.8379089189313893E-2</v>
      </c>
    </row>
    <row r="1795" spans="1:10" x14ac:dyDescent="0.25">
      <c r="A1795" s="20" t="s">
        <v>138</v>
      </c>
      <c r="B1795" s="20" t="s">
        <v>12</v>
      </c>
      <c r="C1795" s="20" t="s">
        <v>34</v>
      </c>
      <c r="D1795" s="20" t="s">
        <v>28</v>
      </c>
      <c r="E1795" s="20" t="s">
        <v>10</v>
      </c>
      <c r="F1795" s="20">
        <v>4691.6499999999996</v>
      </c>
      <c r="G1795" s="11">
        <f>VLOOKUP(A1795,'Operational Data'!$A$2:$E$201,3,FALSE)</f>
        <v>57353</v>
      </c>
      <c r="H1795" s="11">
        <f>VLOOKUP(A1795,'Operational Data'!$A$2:$E$201,4,FALSE)</f>
        <v>2274.71</v>
      </c>
      <c r="I1795" s="11">
        <f>VLOOKUP(A1795,'Operational Data'!$A$2:$E$201,5,FALSE)</f>
        <v>65.34</v>
      </c>
      <c r="J1795" s="21">
        <f t="shared" ref="J1795:J1858" si="28">F1795/G1795</f>
        <v>8.1803044304569944E-2</v>
      </c>
    </row>
    <row r="1796" spans="1:10" x14ac:dyDescent="0.25">
      <c r="A1796" s="20" t="s">
        <v>161</v>
      </c>
      <c r="B1796" s="20" t="s">
        <v>7</v>
      </c>
      <c r="C1796" s="20" t="s">
        <v>23</v>
      </c>
      <c r="D1796" s="20" t="s">
        <v>28</v>
      </c>
      <c r="E1796" s="20" t="s">
        <v>15</v>
      </c>
      <c r="F1796" s="20">
        <v>3798.92</v>
      </c>
      <c r="G1796" s="11">
        <f>VLOOKUP(A1796,'Operational Data'!$A$2:$E$201,3,FALSE)</f>
        <v>15788</v>
      </c>
      <c r="H1796" s="11">
        <f>VLOOKUP(A1796,'Operational Data'!$A$2:$E$201,4,FALSE)</f>
        <v>1824.14</v>
      </c>
      <c r="I1796" s="11">
        <f>VLOOKUP(A1796,'Operational Data'!$A$2:$E$201,5,FALSE)</f>
        <v>52.78</v>
      </c>
      <c r="J1796" s="21">
        <f t="shared" si="28"/>
        <v>0.24062072460096276</v>
      </c>
    </row>
    <row r="1797" spans="1:10" x14ac:dyDescent="0.25">
      <c r="A1797" s="20" t="s">
        <v>144</v>
      </c>
      <c r="B1797" s="20" t="s">
        <v>30</v>
      </c>
      <c r="C1797" s="20" t="s">
        <v>8</v>
      </c>
      <c r="D1797" s="20" t="s">
        <v>14</v>
      </c>
      <c r="E1797" s="20" t="s">
        <v>24</v>
      </c>
      <c r="F1797" s="20">
        <v>473.15</v>
      </c>
      <c r="G1797" s="11">
        <f>VLOOKUP(A1797,'Operational Data'!$A$2:$E$201,3,FALSE)</f>
        <v>11426</v>
      </c>
      <c r="H1797" s="11">
        <f>VLOOKUP(A1797,'Operational Data'!$A$2:$E$201,4,FALSE)</f>
        <v>4439.5600000000004</v>
      </c>
      <c r="I1797" s="11">
        <f>VLOOKUP(A1797,'Operational Data'!$A$2:$E$201,5,FALSE)</f>
        <v>52.71</v>
      </c>
      <c r="J1797" s="21">
        <f t="shared" si="28"/>
        <v>4.1409942237003325E-2</v>
      </c>
    </row>
    <row r="1798" spans="1:10" x14ac:dyDescent="0.25">
      <c r="A1798" s="20" t="s">
        <v>74</v>
      </c>
      <c r="B1798" s="20" t="s">
        <v>19</v>
      </c>
      <c r="C1798" s="20" t="s">
        <v>34</v>
      </c>
      <c r="D1798" s="20" t="s">
        <v>28</v>
      </c>
      <c r="E1798" s="20" t="s">
        <v>15</v>
      </c>
      <c r="F1798" s="20">
        <v>2684.5</v>
      </c>
      <c r="G1798" s="11">
        <f>VLOOKUP(A1798,'Operational Data'!$A$2:$E$201,3,FALSE)</f>
        <v>18175</v>
      </c>
      <c r="H1798" s="11">
        <f>VLOOKUP(A1798,'Operational Data'!$A$2:$E$201,4,FALSE)</f>
        <v>8349.49</v>
      </c>
      <c r="I1798" s="11">
        <f>VLOOKUP(A1798,'Operational Data'!$A$2:$E$201,5,FALSE)</f>
        <v>39.97</v>
      </c>
      <c r="J1798" s="21">
        <f t="shared" si="28"/>
        <v>0.1477028885832187</v>
      </c>
    </row>
    <row r="1799" spans="1:10" ht="30" x14ac:dyDescent="0.25">
      <c r="A1799" s="20" t="s">
        <v>147</v>
      </c>
      <c r="B1799" s="20" t="s">
        <v>17</v>
      </c>
      <c r="C1799" s="20" t="s">
        <v>34</v>
      </c>
      <c r="D1799" s="20" t="s">
        <v>9</v>
      </c>
      <c r="E1799" s="20" t="s">
        <v>10</v>
      </c>
      <c r="F1799" s="20">
        <v>3207.9661550000001</v>
      </c>
      <c r="G1799" s="11">
        <f>VLOOKUP(A1799,'Operational Data'!$A$2:$E$201,3,FALSE)</f>
        <v>24095</v>
      </c>
      <c r="H1799" s="11">
        <f>VLOOKUP(A1799,'Operational Data'!$A$2:$E$201,4,FALSE)</f>
        <v>3167.52</v>
      </c>
      <c r="I1799" s="11">
        <f>VLOOKUP(A1799,'Operational Data'!$A$2:$E$201,5,FALSE)</f>
        <v>31.02</v>
      </c>
      <c r="J1799" s="21">
        <f t="shared" si="28"/>
        <v>0.13313825088192571</v>
      </c>
    </row>
    <row r="1800" spans="1:10" x14ac:dyDescent="0.25">
      <c r="A1800" s="20" t="s">
        <v>175</v>
      </c>
      <c r="B1800" s="20" t="s">
        <v>7</v>
      </c>
      <c r="C1800" s="20" t="s">
        <v>23</v>
      </c>
      <c r="D1800" s="20" t="s">
        <v>9</v>
      </c>
      <c r="E1800" s="20" t="s">
        <v>15</v>
      </c>
      <c r="F1800" s="20">
        <v>2986.0217029999999</v>
      </c>
      <c r="G1800" s="11">
        <f>VLOOKUP(A1800,'Operational Data'!$A$2:$E$201,3,FALSE)</f>
        <v>83923</v>
      </c>
      <c r="H1800" s="11">
        <f>VLOOKUP(A1800,'Operational Data'!$A$2:$E$201,4,FALSE)</f>
        <v>8768.7999999999993</v>
      </c>
      <c r="I1800" s="11">
        <f>VLOOKUP(A1800,'Operational Data'!$A$2:$E$201,5,FALSE)</f>
        <v>65.290000000000006</v>
      </c>
      <c r="J1800" s="21">
        <f t="shared" si="28"/>
        <v>3.5580492868462758E-2</v>
      </c>
    </row>
    <row r="1801" spans="1:10" x14ac:dyDescent="0.25">
      <c r="A1801" s="20" t="s">
        <v>157</v>
      </c>
      <c r="B1801" s="20" t="s">
        <v>30</v>
      </c>
      <c r="C1801" s="20" t="s">
        <v>8</v>
      </c>
      <c r="D1801" s="20" t="s">
        <v>28</v>
      </c>
      <c r="E1801" s="20" t="s">
        <v>10</v>
      </c>
      <c r="F1801" s="20">
        <v>862.55</v>
      </c>
      <c r="G1801" s="11">
        <f>VLOOKUP(A1801,'Operational Data'!$A$2:$E$201,3,FALSE)</f>
        <v>76544</v>
      </c>
      <c r="H1801" s="11">
        <f>VLOOKUP(A1801,'Operational Data'!$A$2:$E$201,4,FALSE)</f>
        <v>8632.77</v>
      </c>
      <c r="I1801" s="11">
        <f>VLOOKUP(A1801,'Operational Data'!$A$2:$E$201,5,FALSE)</f>
        <v>12.87</v>
      </c>
      <c r="J1801" s="21">
        <f t="shared" si="28"/>
        <v>1.1268682065217391E-2</v>
      </c>
    </row>
    <row r="1802" spans="1:10" x14ac:dyDescent="0.25">
      <c r="A1802" s="20" t="s">
        <v>11</v>
      </c>
      <c r="B1802" s="20" t="s">
        <v>12</v>
      </c>
      <c r="C1802" s="20" t="s">
        <v>34</v>
      </c>
      <c r="D1802" s="20" t="s">
        <v>14</v>
      </c>
      <c r="E1802" s="20" t="s">
        <v>15</v>
      </c>
      <c r="F1802" s="20">
        <v>827.65</v>
      </c>
      <c r="G1802" s="11">
        <f>VLOOKUP(A1802,'Operational Data'!$A$2:$E$201,3,FALSE)</f>
        <v>44657</v>
      </c>
      <c r="H1802" s="11">
        <f>VLOOKUP(A1802,'Operational Data'!$A$2:$E$201,4,FALSE)</f>
        <v>7867.98</v>
      </c>
      <c r="I1802" s="11">
        <f>VLOOKUP(A1802,'Operational Data'!$A$2:$E$201,5,FALSE)</f>
        <v>96.01</v>
      </c>
      <c r="J1802" s="21">
        <f t="shared" si="28"/>
        <v>1.8533488590814429E-2</v>
      </c>
    </row>
    <row r="1803" spans="1:10" x14ac:dyDescent="0.25">
      <c r="A1803" s="20" t="s">
        <v>130</v>
      </c>
      <c r="B1803" s="20" t="s">
        <v>12</v>
      </c>
      <c r="C1803" s="20" t="s">
        <v>8</v>
      </c>
      <c r="D1803" s="20" t="s">
        <v>28</v>
      </c>
      <c r="E1803" s="20" t="s">
        <v>10</v>
      </c>
      <c r="F1803" s="20">
        <v>1683.73</v>
      </c>
      <c r="G1803" s="11">
        <f>VLOOKUP(A1803,'Operational Data'!$A$2:$E$201,3,FALSE)</f>
        <v>82332</v>
      </c>
      <c r="H1803" s="11">
        <f>VLOOKUP(A1803,'Operational Data'!$A$2:$E$201,4,FALSE)</f>
        <v>7134.86</v>
      </c>
      <c r="I1803" s="11">
        <f>VLOOKUP(A1803,'Operational Data'!$A$2:$E$201,5,FALSE)</f>
        <v>22.44</v>
      </c>
      <c r="J1803" s="21">
        <f t="shared" si="28"/>
        <v>2.0450493125394743E-2</v>
      </c>
    </row>
    <row r="1804" spans="1:10" x14ac:dyDescent="0.25">
      <c r="A1804" s="20" t="s">
        <v>95</v>
      </c>
      <c r="B1804" s="20" t="s">
        <v>30</v>
      </c>
      <c r="C1804" s="20" t="s">
        <v>13</v>
      </c>
      <c r="D1804" s="20" t="s">
        <v>14</v>
      </c>
      <c r="E1804" s="20" t="s">
        <v>24</v>
      </c>
      <c r="F1804" s="20">
        <v>1942.34</v>
      </c>
      <c r="G1804" s="11">
        <f>VLOOKUP(A1804,'Operational Data'!$A$2:$E$201,3,FALSE)</f>
        <v>51800</v>
      </c>
      <c r="H1804" s="11">
        <f>VLOOKUP(A1804,'Operational Data'!$A$2:$E$201,4,FALSE)</f>
        <v>3042.95</v>
      </c>
      <c r="I1804" s="11">
        <f>VLOOKUP(A1804,'Operational Data'!$A$2:$E$201,5,FALSE)</f>
        <v>71.87</v>
      </c>
      <c r="J1804" s="21">
        <f t="shared" si="28"/>
        <v>3.7496911196911197E-2</v>
      </c>
    </row>
    <row r="1805" spans="1:10" x14ac:dyDescent="0.25">
      <c r="A1805" s="20" t="s">
        <v>170</v>
      </c>
      <c r="B1805" s="20" t="s">
        <v>12</v>
      </c>
      <c r="C1805" s="20" t="s">
        <v>34</v>
      </c>
      <c r="D1805" s="20" t="s">
        <v>14</v>
      </c>
      <c r="E1805" s="20" t="s">
        <v>10</v>
      </c>
      <c r="F1805" s="20">
        <v>4550.1099999999997</v>
      </c>
      <c r="G1805" s="11">
        <f>VLOOKUP(A1805,'Operational Data'!$A$2:$E$201,3,FALSE)</f>
        <v>54133</v>
      </c>
      <c r="H1805" s="11">
        <f>VLOOKUP(A1805,'Operational Data'!$A$2:$E$201,4,FALSE)</f>
        <v>8543.68</v>
      </c>
      <c r="I1805" s="11">
        <f>VLOOKUP(A1805,'Operational Data'!$A$2:$E$201,5,FALSE)</f>
        <v>24</v>
      </c>
      <c r="J1805" s="21">
        <f t="shared" si="28"/>
        <v>8.4054273733212642E-2</v>
      </c>
    </row>
    <row r="1806" spans="1:10" x14ac:dyDescent="0.25">
      <c r="A1806" s="20" t="s">
        <v>208</v>
      </c>
      <c r="B1806" s="20" t="s">
        <v>19</v>
      </c>
      <c r="C1806" s="20" t="s">
        <v>8</v>
      </c>
      <c r="D1806" s="20" t="s">
        <v>9</v>
      </c>
      <c r="E1806" s="20" t="s">
        <v>15</v>
      </c>
      <c r="F1806" s="20">
        <v>3667.9851920000001</v>
      </c>
      <c r="G1806" s="11">
        <f>VLOOKUP(A1806,'Operational Data'!$A$2:$E$201,3,FALSE)</f>
        <v>40553</v>
      </c>
      <c r="H1806" s="11">
        <f>VLOOKUP(A1806,'Operational Data'!$A$2:$E$201,4,FALSE)</f>
        <v>4875.2299999999996</v>
      </c>
      <c r="I1806" s="11">
        <f>VLOOKUP(A1806,'Operational Data'!$A$2:$E$201,5,FALSE)</f>
        <v>23.33</v>
      </c>
      <c r="J1806" s="21">
        <f t="shared" si="28"/>
        <v>9.0449170024412495E-2</v>
      </c>
    </row>
    <row r="1807" spans="1:10" x14ac:dyDescent="0.25">
      <c r="A1807" s="20" t="s">
        <v>167</v>
      </c>
      <c r="B1807" s="20" t="s">
        <v>30</v>
      </c>
      <c r="C1807" s="20" t="s">
        <v>23</v>
      </c>
      <c r="D1807" s="20" t="s">
        <v>14</v>
      </c>
      <c r="E1807" s="20" t="s">
        <v>24</v>
      </c>
      <c r="F1807" s="20">
        <v>4318.42</v>
      </c>
      <c r="G1807" s="11">
        <f>VLOOKUP(A1807,'Operational Data'!$A$2:$E$201,3,FALSE)</f>
        <v>67213</v>
      </c>
      <c r="H1807" s="11">
        <f>VLOOKUP(A1807,'Operational Data'!$A$2:$E$201,4,FALSE)</f>
        <v>5533.81</v>
      </c>
      <c r="I1807" s="11">
        <f>VLOOKUP(A1807,'Operational Data'!$A$2:$E$201,5,FALSE)</f>
        <v>90.88</v>
      </c>
      <c r="J1807" s="21">
        <f t="shared" si="28"/>
        <v>6.4249773109368719E-2</v>
      </c>
    </row>
    <row r="1808" spans="1:10" x14ac:dyDescent="0.25">
      <c r="A1808" s="20" t="s">
        <v>52</v>
      </c>
      <c r="B1808" s="20" t="s">
        <v>19</v>
      </c>
      <c r="C1808" s="20" t="s">
        <v>23</v>
      </c>
      <c r="D1808" s="20" t="s">
        <v>14</v>
      </c>
      <c r="E1808" s="20" t="s">
        <v>10</v>
      </c>
      <c r="F1808" s="20">
        <v>3660.75</v>
      </c>
      <c r="G1808" s="11">
        <f>VLOOKUP(A1808,'Operational Data'!$A$2:$E$201,3,FALSE)</f>
        <v>94949</v>
      </c>
      <c r="H1808" s="11">
        <f>VLOOKUP(A1808,'Operational Data'!$A$2:$E$201,4,FALSE)</f>
        <v>9714.76</v>
      </c>
      <c r="I1808" s="11">
        <f>VLOOKUP(A1808,'Operational Data'!$A$2:$E$201,5,FALSE)</f>
        <v>64.900000000000006</v>
      </c>
      <c r="J1808" s="21">
        <f t="shared" si="28"/>
        <v>3.8554908424522638E-2</v>
      </c>
    </row>
    <row r="1809" spans="1:10" x14ac:dyDescent="0.25">
      <c r="A1809" s="20" t="s">
        <v>154</v>
      </c>
      <c r="B1809" s="20" t="s">
        <v>12</v>
      </c>
      <c r="C1809" s="20" t="s">
        <v>13</v>
      </c>
      <c r="D1809" s="20" t="s">
        <v>14</v>
      </c>
      <c r="E1809" s="20" t="s">
        <v>15</v>
      </c>
      <c r="F1809" s="20">
        <v>1074.46</v>
      </c>
      <c r="G1809" s="11">
        <f>VLOOKUP(A1809,'Operational Data'!$A$2:$E$201,3,FALSE)</f>
        <v>87012</v>
      </c>
      <c r="H1809" s="11">
        <f>VLOOKUP(A1809,'Operational Data'!$A$2:$E$201,4,FALSE)</f>
        <v>7478.13</v>
      </c>
      <c r="I1809" s="11">
        <f>VLOOKUP(A1809,'Operational Data'!$A$2:$E$201,5,FALSE)</f>
        <v>27.22</v>
      </c>
      <c r="J1809" s="21">
        <f t="shared" si="28"/>
        <v>1.2348411713326898E-2</v>
      </c>
    </row>
    <row r="1810" spans="1:10" x14ac:dyDescent="0.25">
      <c r="A1810" s="20" t="s">
        <v>113</v>
      </c>
      <c r="B1810" s="20" t="s">
        <v>30</v>
      </c>
      <c r="C1810" s="20" t="s">
        <v>23</v>
      </c>
      <c r="D1810" s="20" t="s">
        <v>14</v>
      </c>
      <c r="E1810" s="20" t="s">
        <v>24</v>
      </c>
      <c r="F1810" s="20">
        <v>4228.88</v>
      </c>
      <c r="G1810" s="11">
        <f>VLOOKUP(A1810,'Operational Data'!$A$2:$E$201,3,FALSE)</f>
        <v>90679</v>
      </c>
      <c r="H1810" s="11">
        <f>VLOOKUP(A1810,'Operational Data'!$A$2:$E$201,4,FALSE)</f>
        <v>7266.82</v>
      </c>
      <c r="I1810" s="11">
        <f>VLOOKUP(A1810,'Operational Data'!$A$2:$E$201,5,FALSE)</f>
        <v>23.3</v>
      </c>
      <c r="J1810" s="21">
        <f t="shared" si="28"/>
        <v>4.6635714994651467E-2</v>
      </c>
    </row>
    <row r="1811" spans="1:10" x14ac:dyDescent="0.25">
      <c r="A1811" s="20" t="s">
        <v>111</v>
      </c>
      <c r="B1811" s="20" t="s">
        <v>19</v>
      </c>
      <c r="C1811" s="20" t="s">
        <v>34</v>
      </c>
      <c r="D1811" s="20" t="s">
        <v>14</v>
      </c>
      <c r="E1811" s="20" t="s">
        <v>24</v>
      </c>
      <c r="F1811" s="20">
        <v>2827.96</v>
      </c>
      <c r="G1811" s="11">
        <f>VLOOKUP(A1811,'Operational Data'!$A$2:$E$201,3,FALSE)</f>
        <v>37309</v>
      </c>
      <c r="H1811" s="11">
        <f>VLOOKUP(A1811,'Operational Data'!$A$2:$E$201,4,FALSE)</f>
        <v>4508.54</v>
      </c>
      <c r="I1811" s="11">
        <f>VLOOKUP(A1811,'Operational Data'!$A$2:$E$201,5,FALSE)</f>
        <v>47.15</v>
      </c>
      <c r="J1811" s="21">
        <f t="shared" si="28"/>
        <v>7.5798332841941624E-2</v>
      </c>
    </row>
    <row r="1812" spans="1:10" x14ac:dyDescent="0.25">
      <c r="A1812" s="20" t="s">
        <v>70</v>
      </c>
      <c r="B1812" s="20" t="s">
        <v>19</v>
      </c>
      <c r="C1812" s="20" t="s">
        <v>8</v>
      </c>
      <c r="D1812" s="20" t="s">
        <v>9</v>
      </c>
      <c r="E1812" s="20" t="s">
        <v>10</v>
      </c>
      <c r="F1812" s="20">
        <v>1375.518959</v>
      </c>
      <c r="G1812" s="11">
        <f>VLOOKUP(A1812,'Operational Data'!$A$2:$E$201,3,FALSE)</f>
        <v>42485</v>
      </c>
      <c r="H1812" s="11">
        <f>VLOOKUP(A1812,'Operational Data'!$A$2:$E$201,4,FALSE)</f>
        <v>4755.75</v>
      </c>
      <c r="I1812" s="11">
        <f>VLOOKUP(A1812,'Operational Data'!$A$2:$E$201,5,FALSE)</f>
        <v>10.19</v>
      </c>
      <c r="J1812" s="21">
        <f t="shared" si="28"/>
        <v>3.2376579004354478E-2</v>
      </c>
    </row>
    <row r="1813" spans="1:10" ht="30" x14ac:dyDescent="0.25">
      <c r="A1813" s="20" t="s">
        <v>76</v>
      </c>
      <c r="B1813" s="20" t="s">
        <v>17</v>
      </c>
      <c r="C1813" s="20" t="s">
        <v>13</v>
      </c>
      <c r="D1813" s="20" t="s">
        <v>9</v>
      </c>
      <c r="E1813" s="20" t="s">
        <v>15</v>
      </c>
      <c r="F1813" s="20">
        <v>3501.5986440000001</v>
      </c>
      <c r="G1813" s="11">
        <f>VLOOKUP(A1813,'Operational Data'!$A$2:$E$201,3,FALSE)</f>
        <v>59617</v>
      </c>
      <c r="H1813" s="11">
        <f>VLOOKUP(A1813,'Operational Data'!$A$2:$E$201,4,FALSE)</f>
        <v>5000.95</v>
      </c>
      <c r="I1813" s="11">
        <f>VLOOKUP(A1813,'Operational Data'!$A$2:$E$201,5,FALSE)</f>
        <v>80.36</v>
      </c>
      <c r="J1813" s="21">
        <f t="shared" si="28"/>
        <v>5.8734901856852914E-2</v>
      </c>
    </row>
    <row r="1814" spans="1:10" x14ac:dyDescent="0.25">
      <c r="A1814" s="20" t="s">
        <v>40</v>
      </c>
      <c r="B1814" s="20" t="s">
        <v>19</v>
      </c>
      <c r="C1814" s="20" t="s">
        <v>23</v>
      </c>
      <c r="D1814" s="20" t="s">
        <v>9</v>
      </c>
      <c r="E1814" s="20" t="s">
        <v>15</v>
      </c>
      <c r="F1814" s="20">
        <v>3492.9772149999999</v>
      </c>
      <c r="G1814" s="11">
        <f>VLOOKUP(A1814,'Operational Data'!$A$2:$E$201,3,FALSE)</f>
        <v>96474</v>
      </c>
      <c r="H1814" s="11">
        <f>VLOOKUP(A1814,'Operational Data'!$A$2:$E$201,4,FALSE)</f>
        <v>7574.39</v>
      </c>
      <c r="I1814" s="11">
        <f>VLOOKUP(A1814,'Operational Data'!$A$2:$E$201,5,FALSE)</f>
        <v>95.54</v>
      </c>
      <c r="J1814" s="21">
        <f t="shared" si="28"/>
        <v>3.620641017268901E-2</v>
      </c>
    </row>
    <row r="1815" spans="1:10" x14ac:dyDescent="0.25">
      <c r="A1815" s="20" t="s">
        <v>204</v>
      </c>
      <c r="B1815" s="20" t="s">
        <v>30</v>
      </c>
      <c r="C1815" s="20" t="s">
        <v>13</v>
      </c>
      <c r="D1815" s="20" t="s">
        <v>9</v>
      </c>
      <c r="E1815" s="20" t="s">
        <v>24</v>
      </c>
      <c r="F1815" s="20">
        <v>1594.77631</v>
      </c>
      <c r="G1815" s="11">
        <f>VLOOKUP(A1815,'Operational Data'!$A$2:$E$201,3,FALSE)</f>
        <v>36423</v>
      </c>
      <c r="H1815" s="11">
        <f>VLOOKUP(A1815,'Operational Data'!$A$2:$E$201,4,FALSE)</f>
        <v>589.96</v>
      </c>
      <c r="I1815" s="11">
        <f>VLOOKUP(A1815,'Operational Data'!$A$2:$E$201,5,FALSE)</f>
        <v>30.9</v>
      </c>
      <c r="J1815" s="21">
        <f t="shared" si="28"/>
        <v>4.3784869725173654E-2</v>
      </c>
    </row>
    <row r="1816" spans="1:10" x14ac:dyDescent="0.25">
      <c r="A1816" s="20" t="s">
        <v>53</v>
      </c>
      <c r="B1816" s="20" t="s">
        <v>7</v>
      </c>
      <c r="C1816" s="20" t="s">
        <v>8</v>
      </c>
      <c r="D1816" s="20" t="s">
        <v>9</v>
      </c>
      <c r="E1816" s="20" t="s">
        <v>15</v>
      </c>
      <c r="F1816" s="20">
        <v>4328.8292810000003</v>
      </c>
      <c r="G1816" s="11">
        <f>VLOOKUP(A1816,'Operational Data'!$A$2:$E$201,3,FALSE)</f>
        <v>90632</v>
      </c>
      <c r="H1816" s="11">
        <f>VLOOKUP(A1816,'Operational Data'!$A$2:$E$201,4,FALSE)</f>
        <v>5292.17</v>
      </c>
      <c r="I1816" s="11">
        <f>VLOOKUP(A1816,'Operational Data'!$A$2:$E$201,5,FALSE)</f>
        <v>78.45</v>
      </c>
      <c r="J1816" s="21">
        <f t="shared" si="28"/>
        <v>4.7762702809162332E-2</v>
      </c>
    </row>
    <row r="1817" spans="1:10" x14ac:dyDescent="0.25">
      <c r="A1817" s="20" t="s">
        <v>88</v>
      </c>
      <c r="B1817" s="20" t="s">
        <v>7</v>
      </c>
      <c r="C1817" s="20" t="s">
        <v>34</v>
      </c>
      <c r="D1817" s="20" t="s">
        <v>9</v>
      </c>
      <c r="E1817" s="20" t="s">
        <v>10</v>
      </c>
      <c r="F1817" s="20">
        <v>3820.762874</v>
      </c>
      <c r="G1817" s="11">
        <f>VLOOKUP(A1817,'Operational Data'!$A$2:$E$201,3,FALSE)</f>
        <v>44825</v>
      </c>
      <c r="H1817" s="11">
        <f>VLOOKUP(A1817,'Operational Data'!$A$2:$E$201,4,FALSE)</f>
        <v>6023.03</v>
      </c>
      <c r="I1817" s="11">
        <f>VLOOKUP(A1817,'Operational Data'!$A$2:$E$201,5,FALSE)</f>
        <v>27.2</v>
      </c>
      <c r="J1817" s="21">
        <f t="shared" si="28"/>
        <v>8.5237320111544904E-2</v>
      </c>
    </row>
    <row r="1818" spans="1:10" x14ac:dyDescent="0.25">
      <c r="A1818" s="20" t="s">
        <v>210</v>
      </c>
      <c r="B1818" s="20" t="s">
        <v>7</v>
      </c>
      <c r="C1818" s="20" t="s">
        <v>8</v>
      </c>
      <c r="D1818" s="20" t="s">
        <v>14</v>
      </c>
      <c r="E1818" s="20" t="s">
        <v>10</v>
      </c>
      <c r="F1818" s="20">
        <v>2495.33</v>
      </c>
      <c r="G1818" s="11">
        <f>VLOOKUP(A1818,'Operational Data'!$A$2:$E$201,3,FALSE)</f>
        <v>65666</v>
      </c>
      <c r="H1818" s="11">
        <f>VLOOKUP(A1818,'Operational Data'!$A$2:$E$201,4,FALSE)</f>
        <v>7269.98</v>
      </c>
      <c r="I1818" s="11">
        <f>VLOOKUP(A1818,'Operational Data'!$A$2:$E$201,5,FALSE)</f>
        <v>75.62</v>
      </c>
      <c r="J1818" s="21">
        <f t="shared" si="28"/>
        <v>3.8000335028782015E-2</v>
      </c>
    </row>
    <row r="1819" spans="1:10" x14ac:dyDescent="0.25">
      <c r="A1819" s="20" t="s">
        <v>197</v>
      </c>
      <c r="B1819" s="20" t="s">
        <v>30</v>
      </c>
      <c r="C1819" s="20" t="s">
        <v>23</v>
      </c>
      <c r="D1819" s="20" t="s">
        <v>28</v>
      </c>
      <c r="E1819" s="20" t="s">
        <v>10</v>
      </c>
      <c r="F1819" s="20">
        <v>286.39</v>
      </c>
      <c r="G1819" s="11">
        <f>VLOOKUP(A1819,'Operational Data'!$A$2:$E$201,3,FALSE)</f>
        <v>56752</v>
      </c>
      <c r="H1819" s="11">
        <f>VLOOKUP(A1819,'Operational Data'!$A$2:$E$201,4,FALSE)</f>
        <v>4177.68</v>
      </c>
      <c r="I1819" s="11">
        <f>VLOOKUP(A1819,'Operational Data'!$A$2:$E$201,5,FALSE)</f>
        <v>10.96</v>
      </c>
      <c r="J1819" s="21">
        <f t="shared" si="28"/>
        <v>5.0463419791372992E-3</v>
      </c>
    </row>
    <row r="1820" spans="1:10" x14ac:dyDescent="0.25">
      <c r="A1820" s="20" t="s">
        <v>65</v>
      </c>
      <c r="B1820" s="20" t="s">
        <v>30</v>
      </c>
      <c r="C1820" s="20" t="s">
        <v>34</v>
      </c>
      <c r="D1820" s="20" t="s">
        <v>14</v>
      </c>
      <c r="E1820" s="20" t="s">
        <v>10</v>
      </c>
      <c r="F1820" s="20">
        <v>1994.05</v>
      </c>
      <c r="G1820" s="11">
        <f>VLOOKUP(A1820,'Operational Data'!$A$2:$E$201,3,FALSE)</f>
        <v>99026</v>
      </c>
      <c r="H1820" s="11">
        <f>VLOOKUP(A1820,'Operational Data'!$A$2:$E$201,4,FALSE)</f>
        <v>5453.2</v>
      </c>
      <c r="I1820" s="11">
        <f>VLOOKUP(A1820,'Operational Data'!$A$2:$E$201,5,FALSE)</f>
        <v>57.49</v>
      </c>
      <c r="J1820" s="21">
        <f t="shared" si="28"/>
        <v>2.0136630783834548E-2</v>
      </c>
    </row>
    <row r="1821" spans="1:10" x14ac:dyDescent="0.25">
      <c r="A1821" s="20" t="s">
        <v>213</v>
      </c>
      <c r="B1821" s="20" t="s">
        <v>12</v>
      </c>
      <c r="C1821" s="20" t="s">
        <v>13</v>
      </c>
      <c r="D1821" s="20" t="s">
        <v>14</v>
      </c>
      <c r="E1821" s="20" t="s">
        <v>10</v>
      </c>
      <c r="F1821" s="20">
        <v>2165.4299999999998</v>
      </c>
      <c r="G1821" s="11">
        <f>VLOOKUP(A1821,'Operational Data'!$A$2:$E$201,3,FALSE)</f>
        <v>58622</v>
      </c>
      <c r="H1821" s="11">
        <f>VLOOKUP(A1821,'Operational Data'!$A$2:$E$201,4,FALSE)</f>
        <v>7795.36</v>
      </c>
      <c r="I1821" s="11">
        <f>VLOOKUP(A1821,'Operational Data'!$A$2:$E$201,5,FALSE)</f>
        <v>59.81</v>
      </c>
      <c r="J1821" s="21">
        <f t="shared" si="28"/>
        <v>3.6938862543072562E-2</v>
      </c>
    </row>
    <row r="1822" spans="1:10" ht="30" x14ac:dyDescent="0.25">
      <c r="A1822" s="20" t="s">
        <v>16</v>
      </c>
      <c r="B1822" s="20" t="s">
        <v>17</v>
      </c>
      <c r="C1822" s="20" t="s">
        <v>23</v>
      </c>
      <c r="D1822" s="20" t="s">
        <v>28</v>
      </c>
      <c r="E1822" s="20" t="s">
        <v>15</v>
      </c>
      <c r="F1822" s="20">
        <v>4197.01</v>
      </c>
      <c r="G1822" s="11">
        <f>VLOOKUP(A1822,'Operational Data'!$A$2:$E$201,3,FALSE)</f>
        <v>43512</v>
      </c>
      <c r="H1822" s="11">
        <f>VLOOKUP(A1822,'Operational Data'!$A$2:$E$201,4,FALSE)</f>
        <v>5352.18</v>
      </c>
      <c r="I1822" s="11">
        <f>VLOOKUP(A1822,'Operational Data'!$A$2:$E$201,5,FALSE)</f>
        <v>6.17</v>
      </c>
      <c r="J1822" s="21">
        <f t="shared" si="28"/>
        <v>9.6456379849236995E-2</v>
      </c>
    </row>
    <row r="1823" spans="1:10" x14ac:dyDescent="0.25">
      <c r="A1823" s="20" t="s">
        <v>78</v>
      </c>
      <c r="B1823" s="20" t="s">
        <v>7</v>
      </c>
      <c r="C1823" s="20" t="s">
        <v>34</v>
      </c>
      <c r="D1823" s="20" t="s">
        <v>9</v>
      </c>
      <c r="E1823" s="20" t="s">
        <v>10</v>
      </c>
      <c r="F1823" s="20">
        <v>1921.28</v>
      </c>
      <c r="G1823" s="11">
        <f>VLOOKUP(A1823,'Operational Data'!$A$2:$E$201,3,FALSE)</f>
        <v>86557</v>
      </c>
      <c r="H1823" s="11">
        <f>VLOOKUP(A1823,'Operational Data'!$A$2:$E$201,4,FALSE)</f>
        <v>8631.2800000000007</v>
      </c>
      <c r="I1823" s="11">
        <f>VLOOKUP(A1823,'Operational Data'!$A$2:$E$201,5,FALSE)</f>
        <v>69.53</v>
      </c>
      <c r="J1823" s="21">
        <f t="shared" si="28"/>
        <v>2.2196702750788496E-2</v>
      </c>
    </row>
    <row r="1824" spans="1:10" ht="30" x14ac:dyDescent="0.25">
      <c r="A1824" s="20" t="s">
        <v>89</v>
      </c>
      <c r="B1824" s="20" t="s">
        <v>17</v>
      </c>
      <c r="C1824" s="20" t="s">
        <v>13</v>
      </c>
      <c r="D1824" s="20" t="s">
        <v>28</v>
      </c>
      <c r="E1824" s="20" t="s">
        <v>24</v>
      </c>
      <c r="F1824" s="20">
        <v>3491.72</v>
      </c>
      <c r="G1824" s="11">
        <f>VLOOKUP(A1824,'Operational Data'!$A$2:$E$201,3,FALSE)</f>
        <v>36171</v>
      </c>
      <c r="H1824" s="11">
        <f>VLOOKUP(A1824,'Operational Data'!$A$2:$E$201,4,FALSE)</f>
        <v>6864.38</v>
      </c>
      <c r="I1824" s="11">
        <f>VLOOKUP(A1824,'Operational Data'!$A$2:$E$201,5,FALSE)</f>
        <v>37.03</v>
      </c>
      <c r="J1824" s="21">
        <f t="shared" si="28"/>
        <v>9.6533687207984289E-2</v>
      </c>
    </row>
    <row r="1825" spans="1:10" x14ac:dyDescent="0.25">
      <c r="A1825" s="20" t="s">
        <v>81</v>
      </c>
      <c r="B1825" s="20" t="s">
        <v>12</v>
      </c>
      <c r="C1825" s="20" t="s">
        <v>34</v>
      </c>
      <c r="D1825" s="20" t="s">
        <v>9</v>
      </c>
      <c r="E1825" s="20" t="s">
        <v>10</v>
      </c>
      <c r="F1825" s="20">
        <v>2500.066452</v>
      </c>
      <c r="G1825" s="11">
        <f>VLOOKUP(A1825,'Operational Data'!$A$2:$E$201,3,FALSE)</f>
        <v>93661</v>
      </c>
      <c r="H1825" s="11">
        <f>VLOOKUP(A1825,'Operational Data'!$A$2:$E$201,4,FALSE)</f>
        <v>7324.58</v>
      </c>
      <c r="I1825" s="11">
        <f>VLOOKUP(A1825,'Operational Data'!$A$2:$E$201,5,FALSE)</f>
        <v>23.55</v>
      </c>
      <c r="J1825" s="21">
        <f t="shared" si="28"/>
        <v>2.669271577284035E-2</v>
      </c>
    </row>
    <row r="1826" spans="1:10" x14ac:dyDescent="0.25">
      <c r="A1826" s="20" t="s">
        <v>212</v>
      </c>
      <c r="B1826" s="20" t="s">
        <v>7</v>
      </c>
      <c r="C1826" s="20" t="s">
        <v>13</v>
      </c>
      <c r="D1826" s="20" t="s">
        <v>28</v>
      </c>
      <c r="E1826" s="20" t="s">
        <v>10</v>
      </c>
      <c r="F1826" s="20">
        <v>818.77</v>
      </c>
      <c r="G1826" s="11">
        <f>VLOOKUP(A1826,'Operational Data'!$A$2:$E$201,3,FALSE)</f>
        <v>67820</v>
      </c>
      <c r="H1826" s="11">
        <f>VLOOKUP(A1826,'Operational Data'!$A$2:$E$201,4,FALSE)</f>
        <v>8177.95</v>
      </c>
      <c r="I1826" s="11">
        <f>VLOOKUP(A1826,'Operational Data'!$A$2:$E$201,5,FALSE)</f>
        <v>40.69</v>
      </c>
      <c r="J1826" s="21">
        <f t="shared" si="28"/>
        <v>1.2072692421114715E-2</v>
      </c>
    </row>
    <row r="1827" spans="1:10" x14ac:dyDescent="0.25">
      <c r="A1827" s="20" t="s">
        <v>185</v>
      </c>
      <c r="B1827" s="20" t="s">
        <v>30</v>
      </c>
      <c r="C1827" s="20" t="s">
        <v>8</v>
      </c>
      <c r="D1827" s="20" t="s">
        <v>28</v>
      </c>
      <c r="E1827" s="20" t="s">
        <v>15</v>
      </c>
      <c r="F1827" s="20">
        <v>316.76</v>
      </c>
      <c r="G1827" s="11">
        <f>VLOOKUP(A1827,'Operational Data'!$A$2:$E$201,3,FALSE)</f>
        <v>24913</v>
      </c>
      <c r="H1827" s="11">
        <f>VLOOKUP(A1827,'Operational Data'!$A$2:$E$201,4,FALSE)</f>
        <v>5727.27</v>
      </c>
      <c r="I1827" s="11">
        <f>VLOOKUP(A1827,'Operational Data'!$A$2:$E$201,5,FALSE)</f>
        <v>78.849999999999994</v>
      </c>
      <c r="J1827" s="21">
        <f t="shared" si="28"/>
        <v>1.2714646971460682E-2</v>
      </c>
    </row>
    <row r="1828" spans="1:10" x14ac:dyDescent="0.25">
      <c r="A1828" s="20" t="s">
        <v>202</v>
      </c>
      <c r="B1828" s="20" t="s">
        <v>12</v>
      </c>
      <c r="C1828" s="20" t="s">
        <v>13</v>
      </c>
      <c r="D1828" s="20" t="s">
        <v>28</v>
      </c>
      <c r="E1828" s="20" t="s">
        <v>15</v>
      </c>
      <c r="F1828" s="20">
        <v>2524.56</v>
      </c>
      <c r="G1828" s="11">
        <f>VLOOKUP(A1828,'Operational Data'!$A$2:$E$201,3,FALSE)</f>
        <v>28400</v>
      </c>
      <c r="H1828" s="11">
        <f>VLOOKUP(A1828,'Operational Data'!$A$2:$E$201,4,FALSE)</f>
        <v>3056.67</v>
      </c>
      <c r="I1828" s="11">
        <f>VLOOKUP(A1828,'Operational Data'!$A$2:$E$201,5,FALSE)</f>
        <v>52.68</v>
      </c>
      <c r="J1828" s="21">
        <f t="shared" si="28"/>
        <v>8.8892957746478873E-2</v>
      </c>
    </row>
    <row r="1829" spans="1:10" ht="30" x14ac:dyDescent="0.25">
      <c r="A1829" s="20" t="s">
        <v>207</v>
      </c>
      <c r="B1829" s="20" t="s">
        <v>17</v>
      </c>
      <c r="C1829" s="20" t="s">
        <v>34</v>
      </c>
      <c r="D1829" s="20" t="s">
        <v>9</v>
      </c>
      <c r="E1829" s="20" t="s">
        <v>15</v>
      </c>
      <c r="F1829" s="20">
        <v>1374.216095</v>
      </c>
      <c r="G1829" s="11">
        <f>VLOOKUP(A1829,'Operational Data'!$A$2:$E$201,3,FALSE)</f>
        <v>99115</v>
      </c>
      <c r="H1829" s="11">
        <f>VLOOKUP(A1829,'Operational Data'!$A$2:$E$201,4,FALSE)</f>
        <v>827.26</v>
      </c>
      <c r="I1829" s="11">
        <f>VLOOKUP(A1829,'Operational Data'!$A$2:$E$201,5,FALSE)</f>
        <v>28.88</v>
      </c>
      <c r="J1829" s="21">
        <f t="shared" si="28"/>
        <v>1.3864865005296878E-2</v>
      </c>
    </row>
    <row r="1830" spans="1:10" x14ac:dyDescent="0.25">
      <c r="A1830" s="20" t="s">
        <v>161</v>
      </c>
      <c r="B1830" s="20" t="s">
        <v>7</v>
      </c>
      <c r="C1830" s="20" t="s">
        <v>13</v>
      </c>
      <c r="D1830" s="20" t="s">
        <v>28</v>
      </c>
      <c r="E1830" s="20" t="s">
        <v>10</v>
      </c>
      <c r="F1830" s="20">
        <v>3494.63</v>
      </c>
      <c r="G1830" s="11">
        <f>VLOOKUP(A1830,'Operational Data'!$A$2:$E$201,3,FALSE)</f>
        <v>15788</v>
      </c>
      <c r="H1830" s="11">
        <f>VLOOKUP(A1830,'Operational Data'!$A$2:$E$201,4,FALSE)</f>
        <v>1824.14</v>
      </c>
      <c r="I1830" s="11">
        <f>VLOOKUP(A1830,'Operational Data'!$A$2:$E$201,5,FALSE)</f>
        <v>52.78</v>
      </c>
      <c r="J1830" s="21">
        <f t="shared" si="28"/>
        <v>0.22134722574106919</v>
      </c>
    </row>
    <row r="1831" spans="1:10" x14ac:dyDescent="0.25">
      <c r="A1831" s="20" t="s">
        <v>119</v>
      </c>
      <c r="B1831" s="20" t="s">
        <v>30</v>
      </c>
      <c r="C1831" s="20" t="s">
        <v>13</v>
      </c>
      <c r="D1831" s="20" t="s">
        <v>9</v>
      </c>
      <c r="E1831" s="20" t="s">
        <v>24</v>
      </c>
      <c r="F1831" s="20">
        <v>1436.9353590000001</v>
      </c>
      <c r="G1831" s="11">
        <f>VLOOKUP(A1831,'Operational Data'!$A$2:$E$201,3,FALSE)</f>
        <v>80488</v>
      </c>
      <c r="H1831" s="11">
        <f>VLOOKUP(A1831,'Operational Data'!$A$2:$E$201,4,FALSE)</f>
        <v>7629.95</v>
      </c>
      <c r="I1831" s="11">
        <f>VLOOKUP(A1831,'Operational Data'!$A$2:$E$201,5,FALSE)</f>
        <v>63.83</v>
      </c>
      <c r="J1831" s="21">
        <f t="shared" si="28"/>
        <v>1.7852789968690986E-2</v>
      </c>
    </row>
    <row r="1832" spans="1:10" x14ac:dyDescent="0.25">
      <c r="A1832" s="20" t="s">
        <v>217</v>
      </c>
      <c r="B1832" s="20" t="s">
        <v>19</v>
      </c>
      <c r="C1832" s="20" t="s">
        <v>13</v>
      </c>
      <c r="D1832" s="20" t="s">
        <v>28</v>
      </c>
      <c r="E1832" s="20" t="s">
        <v>10</v>
      </c>
      <c r="F1832" s="20">
        <v>1993.57</v>
      </c>
      <c r="G1832" s="11">
        <f>VLOOKUP(A1832,'Operational Data'!$A$2:$E$201,3,FALSE)</f>
        <v>80824</v>
      </c>
      <c r="H1832" s="11">
        <f>VLOOKUP(A1832,'Operational Data'!$A$2:$E$201,4,FALSE)</f>
        <v>2858.92</v>
      </c>
      <c r="I1832" s="11">
        <f>VLOOKUP(A1832,'Operational Data'!$A$2:$E$201,5,FALSE)</f>
        <v>13.97</v>
      </c>
      <c r="J1832" s="21">
        <f t="shared" si="28"/>
        <v>2.4665569632782342E-2</v>
      </c>
    </row>
    <row r="1833" spans="1:10" x14ac:dyDescent="0.25">
      <c r="A1833" s="20" t="s">
        <v>95</v>
      </c>
      <c r="B1833" s="20" t="s">
        <v>30</v>
      </c>
      <c r="C1833" s="20" t="s">
        <v>8</v>
      </c>
      <c r="D1833" s="20" t="s">
        <v>14</v>
      </c>
      <c r="E1833" s="20" t="s">
        <v>15</v>
      </c>
      <c r="F1833" s="20">
        <v>2563.0100000000002</v>
      </c>
      <c r="G1833" s="11">
        <f>VLOOKUP(A1833,'Operational Data'!$A$2:$E$201,3,FALSE)</f>
        <v>51800</v>
      </c>
      <c r="H1833" s="11">
        <f>VLOOKUP(A1833,'Operational Data'!$A$2:$E$201,4,FALSE)</f>
        <v>3042.95</v>
      </c>
      <c r="I1833" s="11">
        <f>VLOOKUP(A1833,'Operational Data'!$A$2:$E$201,5,FALSE)</f>
        <v>71.87</v>
      </c>
      <c r="J1833" s="21">
        <f t="shared" si="28"/>
        <v>4.9478957528957535E-2</v>
      </c>
    </row>
    <row r="1834" spans="1:10" x14ac:dyDescent="0.25">
      <c r="A1834" s="20" t="s">
        <v>118</v>
      </c>
      <c r="B1834" s="20" t="s">
        <v>30</v>
      </c>
      <c r="C1834" s="20" t="s">
        <v>13</v>
      </c>
      <c r="D1834" s="20" t="s">
        <v>28</v>
      </c>
      <c r="E1834" s="20" t="s">
        <v>10</v>
      </c>
      <c r="F1834" s="20">
        <v>3772.31</v>
      </c>
      <c r="G1834" s="11">
        <f>VLOOKUP(A1834,'Operational Data'!$A$2:$E$201,3,FALSE)</f>
        <v>68492</v>
      </c>
      <c r="H1834" s="11">
        <f>VLOOKUP(A1834,'Operational Data'!$A$2:$E$201,4,FALSE)</f>
        <v>3533.88</v>
      </c>
      <c r="I1834" s="11">
        <f>VLOOKUP(A1834,'Operational Data'!$A$2:$E$201,5,FALSE)</f>
        <v>52.99</v>
      </c>
      <c r="J1834" s="21">
        <f t="shared" si="28"/>
        <v>5.5076651287741633E-2</v>
      </c>
    </row>
    <row r="1835" spans="1:10" x14ac:dyDescent="0.25">
      <c r="A1835" s="20" t="s">
        <v>197</v>
      </c>
      <c r="B1835" s="20" t="s">
        <v>30</v>
      </c>
      <c r="C1835" s="20" t="s">
        <v>8</v>
      </c>
      <c r="D1835" s="20" t="s">
        <v>28</v>
      </c>
      <c r="E1835" s="20" t="s">
        <v>15</v>
      </c>
      <c r="F1835" s="20">
        <v>1624.65</v>
      </c>
      <c r="G1835" s="11">
        <f>VLOOKUP(A1835,'Operational Data'!$A$2:$E$201,3,FALSE)</f>
        <v>56752</v>
      </c>
      <c r="H1835" s="11">
        <f>VLOOKUP(A1835,'Operational Data'!$A$2:$E$201,4,FALSE)</f>
        <v>4177.68</v>
      </c>
      <c r="I1835" s="11">
        <f>VLOOKUP(A1835,'Operational Data'!$A$2:$E$201,5,FALSE)</f>
        <v>10.96</v>
      </c>
      <c r="J1835" s="21">
        <f t="shared" si="28"/>
        <v>2.8627184945023965E-2</v>
      </c>
    </row>
    <row r="1836" spans="1:10" x14ac:dyDescent="0.25">
      <c r="A1836" s="20" t="s">
        <v>179</v>
      </c>
      <c r="B1836" s="20" t="s">
        <v>7</v>
      </c>
      <c r="C1836" s="20" t="s">
        <v>13</v>
      </c>
      <c r="D1836" s="20" t="s">
        <v>28</v>
      </c>
      <c r="E1836" s="20" t="s">
        <v>10</v>
      </c>
      <c r="F1836" s="20">
        <v>4535.0200000000004</v>
      </c>
      <c r="G1836" s="11">
        <f>VLOOKUP(A1836,'Operational Data'!$A$2:$E$201,3,FALSE)</f>
        <v>94393</v>
      </c>
      <c r="H1836" s="11">
        <f>VLOOKUP(A1836,'Operational Data'!$A$2:$E$201,4,FALSE)</f>
        <v>6691.7</v>
      </c>
      <c r="I1836" s="11">
        <f>VLOOKUP(A1836,'Operational Data'!$A$2:$E$201,5,FALSE)</f>
        <v>74.790000000000006</v>
      </c>
      <c r="J1836" s="21">
        <f t="shared" si="28"/>
        <v>4.8044028688568011E-2</v>
      </c>
    </row>
    <row r="1837" spans="1:10" x14ac:dyDescent="0.25">
      <c r="A1837" s="20" t="s">
        <v>175</v>
      </c>
      <c r="B1837" s="20" t="s">
        <v>7</v>
      </c>
      <c r="C1837" s="20" t="s">
        <v>13</v>
      </c>
      <c r="D1837" s="20" t="s">
        <v>9</v>
      </c>
      <c r="E1837" s="20" t="s">
        <v>24</v>
      </c>
      <c r="F1837" s="20">
        <v>3532.2748670000001</v>
      </c>
      <c r="G1837" s="11">
        <f>VLOOKUP(A1837,'Operational Data'!$A$2:$E$201,3,FALSE)</f>
        <v>83923</v>
      </c>
      <c r="H1837" s="11">
        <f>VLOOKUP(A1837,'Operational Data'!$A$2:$E$201,4,FALSE)</f>
        <v>8768.7999999999993</v>
      </c>
      <c r="I1837" s="11">
        <f>VLOOKUP(A1837,'Operational Data'!$A$2:$E$201,5,FALSE)</f>
        <v>65.290000000000006</v>
      </c>
      <c r="J1837" s="21">
        <f t="shared" si="28"/>
        <v>4.2089473290992933E-2</v>
      </c>
    </row>
    <row r="1838" spans="1:10" x14ac:dyDescent="0.25">
      <c r="A1838" s="20" t="s">
        <v>153</v>
      </c>
      <c r="B1838" s="20" t="s">
        <v>7</v>
      </c>
      <c r="C1838" s="20" t="s">
        <v>13</v>
      </c>
      <c r="D1838" s="20" t="s">
        <v>14</v>
      </c>
      <c r="E1838" s="20" t="s">
        <v>15</v>
      </c>
      <c r="F1838" s="20">
        <v>2581.0300000000002</v>
      </c>
      <c r="G1838" s="11">
        <f>VLOOKUP(A1838,'Operational Data'!$A$2:$E$201,3,FALSE)</f>
        <v>21388</v>
      </c>
      <c r="H1838" s="11">
        <f>VLOOKUP(A1838,'Operational Data'!$A$2:$E$201,4,FALSE)</f>
        <v>5249.39</v>
      </c>
      <c r="I1838" s="11">
        <f>VLOOKUP(A1838,'Operational Data'!$A$2:$E$201,5,FALSE)</f>
        <v>64.2</v>
      </c>
      <c r="J1838" s="21">
        <f t="shared" si="28"/>
        <v>0.12067654759678326</v>
      </c>
    </row>
    <row r="1839" spans="1:10" ht="30" x14ac:dyDescent="0.25">
      <c r="A1839" s="20" t="s">
        <v>194</v>
      </c>
      <c r="B1839" s="20" t="s">
        <v>17</v>
      </c>
      <c r="C1839" s="20" t="s">
        <v>34</v>
      </c>
      <c r="D1839" s="20" t="s">
        <v>9</v>
      </c>
      <c r="E1839" s="20" t="s">
        <v>15</v>
      </c>
      <c r="F1839" s="20">
        <v>4518.3755819999997</v>
      </c>
      <c r="G1839" s="11">
        <f>VLOOKUP(A1839,'Operational Data'!$A$2:$E$201,3,FALSE)</f>
        <v>95165</v>
      </c>
      <c r="H1839" s="11">
        <f>VLOOKUP(A1839,'Operational Data'!$A$2:$E$201,4,FALSE)</f>
        <v>8562.76</v>
      </c>
      <c r="I1839" s="11">
        <f>VLOOKUP(A1839,'Operational Data'!$A$2:$E$201,5,FALSE)</f>
        <v>37.54</v>
      </c>
      <c r="J1839" s="21">
        <f t="shared" si="28"/>
        <v>4.7479384038249355E-2</v>
      </c>
    </row>
    <row r="1840" spans="1:10" ht="30" x14ac:dyDescent="0.25">
      <c r="A1840" s="20" t="s">
        <v>168</v>
      </c>
      <c r="B1840" s="20" t="s">
        <v>17</v>
      </c>
      <c r="C1840" s="20" t="s">
        <v>13</v>
      </c>
      <c r="D1840" s="20" t="s">
        <v>28</v>
      </c>
      <c r="E1840" s="20" t="s">
        <v>24</v>
      </c>
      <c r="F1840" s="20">
        <v>4506.08</v>
      </c>
      <c r="G1840" s="11">
        <f>VLOOKUP(A1840,'Operational Data'!$A$2:$E$201,3,FALSE)</f>
        <v>41050</v>
      </c>
      <c r="H1840" s="11">
        <f>VLOOKUP(A1840,'Operational Data'!$A$2:$E$201,4,FALSE)</f>
        <v>6025.84</v>
      </c>
      <c r="I1840" s="11">
        <f>VLOOKUP(A1840,'Operational Data'!$A$2:$E$201,5,FALSE)</f>
        <v>53.53</v>
      </c>
      <c r="J1840" s="21">
        <f t="shared" si="28"/>
        <v>0.10977052375152253</v>
      </c>
    </row>
    <row r="1841" spans="1:10" x14ac:dyDescent="0.25">
      <c r="A1841" s="20" t="s">
        <v>164</v>
      </c>
      <c r="B1841" s="20" t="s">
        <v>19</v>
      </c>
      <c r="C1841" s="20" t="s">
        <v>8</v>
      </c>
      <c r="D1841" s="20" t="s">
        <v>9</v>
      </c>
      <c r="E1841" s="20" t="s">
        <v>15</v>
      </c>
      <c r="F1841" s="20">
        <v>3055.5135620000001</v>
      </c>
      <c r="G1841" s="11">
        <f>VLOOKUP(A1841,'Operational Data'!$A$2:$E$201,3,FALSE)</f>
        <v>69636</v>
      </c>
      <c r="H1841" s="11">
        <f>VLOOKUP(A1841,'Operational Data'!$A$2:$E$201,4,FALSE)</f>
        <v>4246.55</v>
      </c>
      <c r="I1841" s="11">
        <f>VLOOKUP(A1841,'Operational Data'!$A$2:$E$201,5,FALSE)</f>
        <v>69.290000000000006</v>
      </c>
      <c r="J1841" s="21">
        <f t="shared" si="28"/>
        <v>4.3878361221207425E-2</v>
      </c>
    </row>
    <row r="1842" spans="1:10" x14ac:dyDescent="0.25">
      <c r="A1842" s="20" t="s">
        <v>85</v>
      </c>
      <c r="B1842" s="20" t="s">
        <v>30</v>
      </c>
      <c r="C1842" s="20" t="s">
        <v>8</v>
      </c>
      <c r="D1842" s="20" t="s">
        <v>14</v>
      </c>
      <c r="E1842" s="20" t="s">
        <v>15</v>
      </c>
      <c r="F1842" s="20">
        <v>1376.96</v>
      </c>
      <c r="G1842" s="11">
        <f>VLOOKUP(A1842,'Operational Data'!$A$2:$E$201,3,FALSE)</f>
        <v>45519</v>
      </c>
      <c r="H1842" s="11">
        <f>VLOOKUP(A1842,'Operational Data'!$A$2:$E$201,4,FALSE)</f>
        <v>7987.69</v>
      </c>
      <c r="I1842" s="11">
        <f>VLOOKUP(A1842,'Operational Data'!$A$2:$E$201,5,FALSE)</f>
        <v>10.86</v>
      </c>
      <c r="J1842" s="21">
        <f t="shared" si="28"/>
        <v>3.0250225180693778E-2</v>
      </c>
    </row>
    <row r="1843" spans="1:10" x14ac:dyDescent="0.25">
      <c r="A1843" s="20" t="s">
        <v>103</v>
      </c>
      <c r="B1843" s="20" t="s">
        <v>19</v>
      </c>
      <c r="C1843" s="20" t="s">
        <v>8</v>
      </c>
      <c r="D1843" s="20" t="s">
        <v>9</v>
      </c>
      <c r="E1843" s="20" t="s">
        <v>15</v>
      </c>
      <c r="F1843" s="20">
        <v>3798.946269</v>
      </c>
      <c r="G1843" s="11">
        <f>VLOOKUP(A1843,'Operational Data'!$A$2:$E$201,3,FALSE)</f>
        <v>38869</v>
      </c>
      <c r="H1843" s="11">
        <f>VLOOKUP(A1843,'Operational Data'!$A$2:$E$201,4,FALSE)</f>
        <v>5109.76</v>
      </c>
      <c r="I1843" s="11">
        <f>VLOOKUP(A1843,'Operational Data'!$A$2:$E$201,5,FALSE)</f>
        <v>35.270000000000003</v>
      </c>
      <c r="J1843" s="21">
        <f t="shared" si="28"/>
        <v>9.7737175358254658E-2</v>
      </c>
    </row>
    <row r="1844" spans="1:10" x14ac:dyDescent="0.25">
      <c r="A1844" s="20" t="s">
        <v>159</v>
      </c>
      <c r="B1844" s="20" t="s">
        <v>7</v>
      </c>
      <c r="C1844" s="20" t="s">
        <v>8</v>
      </c>
      <c r="D1844" s="20" t="s">
        <v>28</v>
      </c>
      <c r="E1844" s="20" t="s">
        <v>15</v>
      </c>
      <c r="F1844" s="20">
        <v>1881.41</v>
      </c>
      <c r="G1844" s="11">
        <f>VLOOKUP(A1844,'Operational Data'!$A$2:$E$201,3,FALSE)</f>
        <v>47727</v>
      </c>
      <c r="H1844" s="11">
        <f>VLOOKUP(A1844,'Operational Data'!$A$2:$E$201,4,FALSE)</f>
        <v>8907.33</v>
      </c>
      <c r="I1844" s="11">
        <f>VLOOKUP(A1844,'Operational Data'!$A$2:$E$201,5,FALSE)</f>
        <v>47.4</v>
      </c>
      <c r="J1844" s="21">
        <f t="shared" si="28"/>
        <v>3.9420244306157939E-2</v>
      </c>
    </row>
    <row r="1845" spans="1:10" x14ac:dyDescent="0.25">
      <c r="A1845" s="20" t="s">
        <v>118</v>
      </c>
      <c r="B1845" s="20" t="s">
        <v>30</v>
      </c>
      <c r="C1845" s="20" t="s">
        <v>34</v>
      </c>
      <c r="D1845" s="20" t="s">
        <v>14</v>
      </c>
      <c r="E1845" s="20" t="s">
        <v>24</v>
      </c>
      <c r="F1845" s="20">
        <v>1308.54</v>
      </c>
      <c r="G1845" s="11">
        <f>VLOOKUP(A1845,'Operational Data'!$A$2:$E$201,3,FALSE)</f>
        <v>68492</v>
      </c>
      <c r="H1845" s="11">
        <f>VLOOKUP(A1845,'Operational Data'!$A$2:$E$201,4,FALSE)</f>
        <v>3533.88</v>
      </c>
      <c r="I1845" s="11">
        <f>VLOOKUP(A1845,'Operational Data'!$A$2:$E$201,5,FALSE)</f>
        <v>52.99</v>
      </c>
      <c r="J1845" s="21">
        <f t="shared" si="28"/>
        <v>1.9105004964083395E-2</v>
      </c>
    </row>
    <row r="1846" spans="1:10" x14ac:dyDescent="0.25">
      <c r="A1846" s="20" t="s">
        <v>65</v>
      </c>
      <c r="B1846" s="20" t="s">
        <v>30</v>
      </c>
      <c r="C1846" s="20" t="s">
        <v>13</v>
      </c>
      <c r="D1846" s="20" t="s">
        <v>28</v>
      </c>
      <c r="E1846" s="20" t="s">
        <v>15</v>
      </c>
      <c r="F1846" s="20">
        <v>706.73</v>
      </c>
      <c r="G1846" s="11">
        <f>VLOOKUP(A1846,'Operational Data'!$A$2:$E$201,3,FALSE)</f>
        <v>99026</v>
      </c>
      <c r="H1846" s="11">
        <f>VLOOKUP(A1846,'Operational Data'!$A$2:$E$201,4,FALSE)</f>
        <v>5453.2</v>
      </c>
      <c r="I1846" s="11">
        <f>VLOOKUP(A1846,'Operational Data'!$A$2:$E$201,5,FALSE)</f>
        <v>57.49</v>
      </c>
      <c r="J1846" s="21">
        <f t="shared" si="28"/>
        <v>7.1368125542786744E-3</v>
      </c>
    </row>
    <row r="1847" spans="1:10" x14ac:dyDescent="0.25">
      <c r="A1847" s="20" t="s">
        <v>197</v>
      </c>
      <c r="B1847" s="20" t="s">
        <v>30</v>
      </c>
      <c r="C1847" s="20" t="s">
        <v>23</v>
      </c>
      <c r="D1847" s="20" t="s">
        <v>9</v>
      </c>
      <c r="E1847" s="20" t="s">
        <v>24</v>
      </c>
      <c r="F1847" s="20">
        <v>3595.4041010000001</v>
      </c>
      <c r="G1847" s="11">
        <f>VLOOKUP(A1847,'Operational Data'!$A$2:$E$201,3,FALSE)</f>
        <v>56752</v>
      </c>
      <c r="H1847" s="11">
        <f>VLOOKUP(A1847,'Operational Data'!$A$2:$E$201,4,FALSE)</f>
        <v>4177.68</v>
      </c>
      <c r="I1847" s="11">
        <f>VLOOKUP(A1847,'Operational Data'!$A$2:$E$201,5,FALSE)</f>
        <v>10.96</v>
      </c>
      <c r="J1847" s="21">
        <f t="shared" si="28"/>
        <v>6.3352905642091908E-2</v>
      </c>
    </row>
    <row r="1848" spans="1:10" ht="30" x14ac:dyDescent="0.25">
      <c r="A1848" s="20" t="s">
        <v>131</v>
      </c>
      <c r="B1848" s="20" t="s">
        <v>17</v>
      </c>
      <c r="C1848" s="20" t="s">
        <v>23</v>
      </c>
      <c r="D1848" s="20" t="s">
        <v>14</v>
      </c>
      <c r="E1848" s="20" t="s">
        <v>10</v>
      </c>
      <c r="F1848" s="20">
        <v>1990.59</v>
      </c>
      <c r="G1848" s="11">
        <f>VLOOKUP(A1848,'Operational Data'!$A$2:$E$201,3,FALSE)</f>
        <v>94128</v>
      </c>
      <c r="H1848" s="11">
        <f>VLOOKUP(A1848,'Operational Data'!$A$2:$E$201,4,FALSE)</f>
        <v>8117.82</v>
      </c>
      <c r="I1848" s="11">
        <f>VLOOKUP(A1848,'Operational Data'!$A$2:$E$201,5,FALSE)</f>
        <v>73.83</v>
      </c>
      <c r="J1848" s="21">
        <f t="shared" si="28"/>
        <v>2.1147692503824578E-2</v>
      </c>
    </row>
    <row r="1849" spans="1:10" x14ac:dyDescent="0.25">
      <c r="A1849" s="20" t="s">
        <v>178</v>
      </c>
      <c r="B1849" s="20" t="s">
        <v>30</v>
      </c>
      <c r="C1849" s="20" t="s">
        <v>8</v>
      </c>
      <c r="D1849" s="20" t="s">
        <v>9</v>
      </c>
      <c r="E1849" s="20" t="s">
        <v>24</v>
      </c>
      <c r="F1849" s="20">
        <v>4212.5026310000003</v>
      </c>
      <c r="G1849" s="11">
        <f>VLOOKUP(A1849,'Operational Data'!$A$2:$E$201,3,FALSE)</f>
        <v>88188</v>
      </c>
      <c r="H1849" s="11">
        <f>VLOOKUP(A1849,'Operational Data'!$A$2:$E$201,4,FALSE)</f>
        <v>815.86</v>
      </c>
      <c r="I1849" s="11">
        <f>VLOOKUP(A1849,'Operational Data'!$A$2:$E$201,5,FALSE)</f>
        <v>57.53</v>
      </c>
      <c r="J1849" s="21">
        <f t="shared" si="28"/>
        <v>4.7767299757336602E-2</v>
      </c>
    </row>
    <row r="1850" spans="1:10" x14ac:dyDescent="0.25">
      <c r="A1850" s="20" t="s">
        <v>45</v>
      </c>
      <c r="B1850" s="20" t="s">
        <v>7</v>
      </c>
      <c r="C1850" s="20" t="s">
        <v>8</v>
      </c>
      <c r="D1850" s="20" t="s">
        <v>9</v>
      </c>
      <c r="E1850" s="20" t="s">
        <v>15</v>
      </c>
      <c r="F1850" s="20">
        <v>2388.243219</v>
      </c>
      <c r="G1850" s="11">
        <f>VLOOKUP(A1850,'Operational Data'!$A$2:$E$201,3,FALSE)</f>
        <v>49924</v>
      </c>
      <c r="H1850" s="11">
        <f>VLOOKUP(A1850,'Operational Data'!$A$2:$E$201,4,FALSE)</f>
        <v>2199.16</v>
      </c>
      <c r="I1850" s="11">
        <f>VLOOKUP(A1850,'Operational Data'!$A$2:$E$201,5,FALSE)</f>
        <v>75.48</v>
      </c>
      <c r="J1850" s="21">
        <f t="shared" si="28"/>
        <v>4.783757749779665E-2</v>
      </c>
    </row>
    <row r="1851" spans="1:10" x14ac:dyDescent="0.25">
      <c r="A1851" s="20" t="s">
        <v>70</v>
      </c>
      <c r="B1851" s="20" t="s">
        <v>19</v>
      </c>
      <c r="C1851" s="20" t="s">
        <v>34</v>
      </c>
      <c r="D1851" s="20" t="s">
        <v>9</v>
      </c>
      <c r="E1851" s="20" t="s">
        <v>24</v>
      </c>
      <c r="F1851" s="20">
        <v>318.91989990000002</v>
      </c>
      <c r="G1851" s="11">
        <f>VLOOKUP(A1851,'Operational Data'!$A$2:$E$201,3,FALSE)</f>
        <v>42485</v>
      </c>
      <c r="H1851" s="11">
        <f>VLOOKUP(A1851,'Operational Data'!$A$2:$E$201,4,FALSE)</f>
        <v>4755.75</v>
      </c>
      <c r="I1851" s="11">
        <f>VLOOKUP(A1851,'Operational Data'!$A$2:$E$201,5,FALSE)</f>
        <v>10.19</v>
      </c>
      <c r="J1851" s="21">
        <f t="shared" si="28"/>
        <v>7.5066470495468995E-3</v>
      </c>
    </row>
    <row r="1852" spans="1:10" ht="30" x14ac:dyDescent="0.25">
      <c r="A1852" s="20" t="s">
        <v>16</v>
      </c>
      <c r="B1852" s="20" t="s">
        <v>17</v>
      </c>
      <c r="C1852" s="20" t="s">
        <v>13</v>
      </c>
      <c r="D1852" s="20" t="s">
        <v>14</v>
      </c>
      <c r="E1852" s="20" t="s">
        <v>10</v>
      </c>
      <c r="F1852" s="20">
        <v>365.96</v>
      </c>
      <c r="G1852" s="11">
        <f>VLOOKUP(A1852,'Operational Data'!$A$2:$E$201,3,FALSE)</f>
        <v>43512</v>
      </c>
      <c r="H1852" s="11">
        <f>VLOOKUP(A1852,'Operational Data'!$A$2:$E$201,4,FALSE)</f>
        <v>5352.18</v>
      </c>
      <c r="I1852" s="11">
        <f>VLOOKUP(A1852,'Operational Data'!$A$2:$E$201,5,FALSE)</f>
        <v>6.17</v>
      </c>
      <c r="J1852" s="21">
        <f t="shared" si="28"/>
        <v>8.4105534105534101E-3</v>
      </c>
    </row>
    <row r="1853" spans="1:10" x14ac:dyDescent="0.25">
      <c r="A1853" s="20" t="s">
        <v>211</v>
      </c>
      <c r="B1853" s="20" t="s">
        <v>7</v>
      </c>
      <c r="C1853" s="20" t="s">
        <v>34</v>
      </c>
      <c r="D1853" s="20" t="s">
        <v>28</v>
      </c>
      <c r="E1853" s="20" t="s">
        <v>10</v>
      </c>
      <c r="F1853" s="20">
        <v>1353.72</v>
      </c>
      <c r="G1853" s="11">
        <f>VLOOKUP(A1853,'Operational Data'!$A$2:$E$201,3,FALSE)</f>
        <v>27028</v>
      </c>
      <c r="H1853" s="11">
        <f>VLOOKUP(A1853,'Operational Data'!$A$2:$E$201,4,FALSE)</f>
        <v>4617.92</v>
      </c>
      <c r="I1853" s="11">
        <f>VLOOKUP(A1853,'Operational Data'!$A$2:$E$201,5,FALSE)</f>
        <v>57.62</v>
      </c>
      <c r="J1853" s="21">
        <f t="shared" si="28"/>
        <v>5.0085836909871242E-2</v>
      </c>
    </row>
    <row r="1854" spans="1:10" x14ac:dyDescent="0.25">
      <c r="A1854" s="20" t="s">
        <v>213</v>
      </c>
      <c r="B1854" s="20" t="s">
        <v>12</v>
      </c>
      <c r="C1854" s="20" t="s">
        <v>34</v>
      </c>
      <c r="D1854" s="20" t="s">
        <v>14</v>
      </c>
      <c r="E1854" s="20" t="s">
        <v>24</v>
      </c>
      <c r="F1854" s="20">
        <v>3026.73</v>
      </c>
      <c r="G1854" s="11">
        <f>VLOOKUP(A1854,'Operational Data'!$A$2:$E$201,3,FALSE)</f>
        <v>58622</v>
      </c>
      <c r="H1854" s="11">
        <f>VLOOKUP(A1854,'Operational Data'!$A$2:$E$201,4,FALSE)</f>
        <v>7795.36</v>
      </c>
      <c r="I1854" s="11">
        <f>VLOOKUP(A1854,'Operational Data'!$A$2:$E$201,5,FALSE)</f>
        <v>59.81</v>
      </c>
      <c r="J1854" s="21">
        <f t="shared" si="28"/>
        <v>5.1631298829790867E-2</v>
      </c>
    </row>
    <row r="1855" spans="1:10" x14ac:dyDescent="0.25">
      <c r="A1855" s="20" t="s">
        <v>179</v>
      </c>
      <c r="B1855" s="20" t="s">
        <v>7</v>
      </c>
      <c r="C1855" s="20" t="s">
        <v>13</v>
      </c>
      <c r="D1855" s="20" t="s">
        <v>14</v>
      </c>
      <c r="E1855" s="20" t="s">
        <v>10</v>
      </c>
      <c r="F1855" s="20">
        <v>4344.96</v>
      </c>
      <c r="G1855" s="11">
        <f>VLOOKUP(A1855,'Operational Data'!$A$2:$E$201,3,FALSE)</f>
        <v>94393</v>
      </c>
      <c r="H1855" s="11">
        <f>VLOOKUP(A1855,'Operational Data'!$A$2:$E$201,4,FALSE)</f>
        <v>6691.7</v>
      </c>
      <c r="I1855" s="11">
        <f>VLOOKUP(A1855,'Operational Data'!$A$2:$E$201,5,FALSE)</f>
        <v>74.790000000000006</v>
      </c>
      <c r="J1855" s="21">
        <f t="shared" si="28"/>
        <v>4.6030531925036818E-2</v>
      </c>
    </row>
    <row r="1856" spans="1:10" x14ac:dyDescent="0.25">
      <c r="A1856" s="20" t="s">
        <v>95</v>
      </c>
      <c r="B1856" s="20" t="s">
        <v>30</v>
      </c>
      <c r="C1856" s="20" t="s">
        <v>8</v>
      </c>
      <c r="D1856" s="20" t="s">
        <v>9</v>
      </c>
      <c r="E1856" s="20" t="s">
        <v>10</v>
      </c>
      <c r="F1856" s="20">
        <v>2412.9017549999999</v>
      </c>
      <c r="G1856" s="11">
        <f>VLOOKUP(A1856,'Operational Data'!$A$2:$E$201,3,FALSE)</f>
        <v>51800</v>
      </c>
      <c r="H1856" s="11">
        <f>VLOOKUP(A1856,'Operational Data'!$A$2:$E$201,4,FALSE)</f>
        <v>3042.95</v>
      </c>
      <c r="I1856" s="11">
        <f>VLOOKUP(A1856,'Operational Data'!$A$2:$E$201,5,FALSE)</f>
        <v>71.87</v>
      </c>
      <c r="J1856" s="21">
        <f t="shared" si="28"/>
        <v>4.6581114961389961E-2</v>
      </c>
    </row>
    <row r="1857" spans="1:10" x14ac:dyDescent="0.25">
      <c r="A1857" s="20" t="s">
        <v>110</v>
      </c>
      <c r="B1857" s="20" t="s">
        <v>12</v>
      </c>
      <c r="C1857" s="20" t="s">
        <v>13</v>
      </c>
      <c r="D1857" s="20" t="s">
        <v>28</v>
      </c>
      <c r="E1857" s="20" t="s">
        <v>24</v>
      </c>
      <c r="F1857" s="20">
        <v>4239.84</v>
      </c>
      <c r="G1857" s="11">
        <f>VLOOKUP(A1857,'Operational Data'!$A$2:$E$201,3,FALSE)</f>
        <v>70481</v>
      </c>
      <c r="H1857" s="11">
        <f>VLOOKUP(A1857,'Operational Data'!$A$2:$E$201,4,FALSE)</f>
        <v>4452.83</v>
      </c>
      <c r="I1857" s="11">
        <f>VLOOKUP(A1857,'Operational Data'!$A$2:$E$201,5,FALSE)</f>
        <v>91.26</v>
      </c>
      <c r="J1857" s="21">
        <f t="shared" si="28"/>
        <v>6.0155786665909962E-2</v>
      </c>
    </row>
    <row r="1858" spans="1:10" x14ac:dyDescent="0.25">
      <c r="A1858" s="20" t="s">
        <v>161</v>
      </c>
      <c r="B1858" s="20" t="s">
        <v>7</v>
      </c>
      <c r="C1858" s="20" t="s">
        <v>13</v>
      </c>
      <c r="D1858" s="20" t="s">
        <v>9</v>
      </c>
      <c r="E1858" s="20" t="s">
        <v>15</v>
      </c>
      <c r="F1858" s="20">
        <v>3759.010796</v>
      </c>
      <c r="G1858" s="11">
        <f>VLOOKUP(A1858,'Operational Data'!$A$2:$E$201,3,FALSE)</f>
        <v>15788</v>
      </c>
      <c r="H1858" s="11">
        <f>VLOOKUP(A1858,'Operational Data'!$A$2:$E$201,4,FALSE)</f>
        <v>1824.14</v>
      </c>
      <c r="I1858" s="11">
        <f>VLOOKUP(A1858,'Operational Data'!$A$2:$E$201,5,FALSE)</f>
        <v>52.78</v>
      </c>
      <c r="J1858" s="21">
        <f t="shared" si="28"/>
        <v>0.23809290575120345</v>
      </c>
    </row>
    <row r="1859" spans="1:10" ht="30" x14ac:dyDescent="0.25">
      <c r="A1859" s="20" t="s">
        <v>137</v>
      </c>
      <c r="B1859" s="20" t="s">
        <v>17</v>
      </c>
      <c r="C1859" s="20" t="s">
        <v>23</v>
      </c>
      <c r="D1859" s="20" t="s">
        <v>14</v>
      </c>
      <c r="E1859" s="20" t="s">
        <v>10</v>
      </c>
      <c r="F1859" s="20">
        <v>3558.82</v>
      </c>
      <c r="G1859" s="11">
        <f>VLOOKUP(A1859,'Operational Data'!$A$2:$E$201,3,FALSE)</f>
        <v>19265</v>
      </c>
      <c r="H1859" s="11">
        <f>VLOOKUP(A1859,'Operational Data'!$A$2:$E$201,4,FALSE)</f>
        <v>776.6</v>
      </c>
      <c r="I1859" s="11">
        <f>VLOOKUP(A1859,'Operational Data'!$A$2:$E$201,5,FALSE)</f>
        <v>39.75</v>
      </c>
      <c r="J1859" s="21">
        <f t="shared" ref="J1859:J1922" si="29">F1859/G1859</f>
        <v>0.18472982091876461</v>
      </c>
    </row>
    <row r="1860" spans="1:10" ht="30" x14ac:dyDescent="0.25">
      <c r="A1860" s="20" t="s">
        <v>143</v>
      </c>
      <c r="B1860" s="20" t="s">
        <v>17</v>
      </c>
      <c r="C1860" s="20" t="s">
        <v>13</v>
      </c>
      <c r="D1860" s="20" t="s">
        <v>28</v>
      </c>
      <c r="E1860" s="20" t="s">
        <v>15</v>
      </c>
      <c r="F1860" s="20">
        <v>2610.12</v>
      </c>
      <c r="G1860" s="11">
        <f>VLOOKUP(A1860,'Operational Data'!$A$2:$E$201,3,FALSE)</f>
        <v>94704</v>
      </c>
      <c r="H1860" s="11">
        <f>VLOOKUP(A1860,'Operational Data'!$A$2:$E$201,4,FALSE)</f>
        <v>6632.95</v>
      </c>
      <c r="I1860" s="11">
        <f>VLOOKUP(A1860,'Operational Data'!$A$2:$E$201,5,FALSE)</f>
        <v>14.76</v>
      </c>
      <c r="J1860" s="21">
        <f t="shared" si="29"/>
        <v>2.7560821084642674E-2</v>
      </c>
    </row>
    <row r="1861" spans="1:10" x14ac:dyDescent="0.25">
      <c r="A1861" s="20" t="s">
        <v>180</v>
      </c>
      <c r="B1861" s="20" t="s">
        <v>30</v>
      </c>
      <c r="C1861" s="20" t="s">
        <v>34</v>
      </c>
      <c r="D1861" s="20" t="s">
        <v>28</v>
      </c>
      <c r="E1861" s="20" t="s">
        <v>10</v>
      </c>
      <c r="F1861" s="20">
        <v>2651.33</v>
      </c>
      <c r="G1861" s="11">
        <f>VLOOKUP(A1861,'Operational Data'!$A$2:$E$201,3,FALSE)</f>
        <v>72846</v>
      </c>
      <c r="H1861" s="11">
        <f>VLOOKUP(A1861,'Operational Data'!$A$2:$E$201,4,FALSE)</f>
        <v>5169.53</v>
      </c>
      <c r="I1861" s="11">
        <f>VLOOKUP(A1861,'Operational Data'!$A$2:$E$201,5,FALSE)</f>
        <v>76.709999999999994</v>
      </c>
      <c r="J1861" s="21">
        <f t="shared" si="29"/>
        <v>3.6396370425280732E-2</v>
      </c>
    </row>
    <row r="1862" spans="1:10" x14ac:dyDescent="0.25">
      <c r="A1862" s="20" t="s">
        <v>93</v>
      </c>
      <c r="B1862" s="20" t="s">
        <v>30</v>
      </c>
      <c r="C1862" s="20" t="s">
        <v>23</v>
      </c>
      <c r="D1862" s="20" t="s">
        <v>28</v>
      </c>
      <c r="E1862" s="20" t="s">
        <v>24</v>
      </c>
      <c r="F1862" s="20">
        <v>1018.53</v>
      </c>
      <c r="G1862" s="11">
        <f>VLOOKUP(A1862,'Operational Data'!$A$2:$E$201,3,FALSE)</f>
        <v>26378</v>
      </c>
      <c r="H1862" s="11">
        <f>VLOOKUP(A1862,'Operational Data'!$A$2:$E$201,4,FALSE)</f>
        <v>2915.44</v>
      </c>
      <c r="I1862" s="11">
        <f>VLOOKUP(A1862,'Operational Data'!$A$2:$E$201,5,FALSE)</f>
        <v>29.84</v>
      </c>
      <c r="J1862" s="21">
        <f t="shared" si="29"/>
        <v>3.8612859200849191E-2</v>
      </c>
    </row>
    <row r="1863" spans="1:10" x14ac:dyDescent="0.25">
      <c r="A1863" s="20" t="s">
        <v>110</v>
      </c>
      <c r="B1863" s="20" t="s">
        <v>12</v>
      </c>
      <c r="C1863" s="20" t="s">
        <v>23</v>
      </c>
      <c r="D1863" s="20" t="s">
        <v>9</v>
      </c>
      <c r="E1863" s="20" t="s">
        <v>15</v>
      </c>
      <c r="F1863" s="20">
        <v>503.93</v>
      </c>
      <c r="G1863" s="11">
        <f>VLOOKUP(A1863,'Operational Data'!$A$2:$E$201,3,FALSE)</f>
        <v>70481</v>
      </c>
      <c r="H1863" s="11">
        <f>VLOOKUP(A1863,'Operational Data'!$A$2:$E$201,4,FALSE)</f>
        <v>4452.83</v>
      </c>
      <c r="I1863" s="11">
        <f>VLOOKUP(A1863,'Operational Data'!$A$2:$E$201,5,FALSE)</f>
        <v>91.26</v>
      </c>
      <c r="J1863" s="21">
        <f t="shared" si="29"/>
        <v>7.1498701777784083E-3</v>
      </c>
    </row>
    <row r="1864" spans="1:10" x14ac:dyDescent="0.25">
      <c r="A1864" s="20" t="s">
        <v>38</v>
      </c>
      <c r="B1864" s="20" t="s">
        <v>30</v>
      </c>
      <c r="C1864" s="20" t="s">
        <v>13</v>
      </c>
      <c r="D1864" s="20" t="s">
        <v>9</v>
      </c>
      <c r="E1864" s="20" t="s">
        <v>10</v>
      </c>
      <c r="F1864" s="20">
        <v>3013.4457640000001</v>
      </c>
      <c r="G1864" s="11">
        <f>VLOOKUP(A1864,'Operational Data'!$A$2:$E$201,3,FALSE)</f>
        <v>57215</v>
      </c>
      <c r="H1864" s="11">
        <f>VLOOKUP(A1864,'Operational Data'!$A$2:$E$201,4,FALSE)</f>
        <v>3227.1</v>
      </c>
      <c r="I1864" s="11">
        <f>VLOOKUP(A1864,'Operational Data'!$A$2:$E$201,5,FALSE)</f>
        <v>32.909999999999997</v>
      </c>
      <c r="J1864" s="21">
        <f t="shared" si="29"/>
        <v>5.2668806501791489E-2</v>
      </c>
    </row>
    <row r="1865" spans="1:10" x14ac:dyDescent="0.25">
      <c r="A1865" s="20" t="s">
        <v>81</v>
      </c>
      <c r="B1865" s="20" t="s">
        <v>12</v>
      </c>
      <c r="C1865" s="20" t="s">
        <v>13</v>
      </c>
      <c r="D1865" s="20" t="s">
        <v>28</v>
      </c>
      <c r="E1865" s="20" t="s">
        <v>10</v>
      </c>
      <c r="F1865" s="20">
        <v>1639.95</v>
      </c>
      <c r="G1865" s="11">
        <f>VLOOKUP(A1865,'Operational Data'!$A$2:$E$201,3,FALSE)</f>
        <v>93661</v>
      </c>
      <c r="H1865" s="11">
        <f>VLOOKUP(A1865,'Operational Data'!$A$2:$E$201,4,FALSE)</f>
        <v>7324.58</v>
      </c>
      <c r="I1865" s="11">
        <f>VLOOKUP(A1865,'Operational Data'!$A$2:$E$201,5,FALSE)</f>
        <v>23.55</v>
      </c>
      <c r="J1865" s="21">
        <f t="shared" si="29"/>
        <v>1.750942227821612E-2</v>
      </c>
    </row>
    <row r="1866" spans="1:10" x14ac:dyDescent="0.25">
      <c r="A1866" s="20" t="s">
        <v>125</v>
      </c>
      <c r="B1866" s="20" t="s">
        <v>7</v>
      </c>
      <c r="C1866" s="20" t="s">
        <v>23</v>
      </c>
      <c r="D1866" s="20" t="s">
        <v>14</v>
      </c>
      <c r="E1866" s="20" t="s">
        <v>24</v>
      </c>
      <c r="F1866" s="20">
        <v>4092.48</v>
      </c>
      <c r="G1866" s="11">
        <f>VLOOKUP(A1866,'Operational Data'!$A$2:$E$201,3,FALSE)</f>
        <v>56392</v>
      </c>
      <c r="H1866" s="11">
        <f>VLOOKUP(A1866,'Operational Data'!$A$2:$E$201,4,FALSE)</f>
        <v>5703.76</v>
      </c>
      <c r="I1866" s="11">
        <f>VLOOKUP(A1866,'Operational Data'!$A$2:$E$201,5,FALSE)</f>
        <v>23.04</v>
      </c>
      <c r="J1866" s="21">
        <f t="shared" si="29"/>
        <v>7.2571996027805369E-2</v>
      </c>
    </row>
    <row r="1867" spans="1:10" x14ac:dyDescent="0.25">
      <c r="A1867" s="20" t="s">
        <v>185</v>
      </c>
      <c r="B1867" s="20" t="s">
        <v>30</v>
      </c>
      <c r="C1867" s="20" t="s">
        <v>13</v>
      </c>
      <c r="D1867" s="20" t="s">
        <v>14</v>
      </c>
      <c r="E1867" s="20" t="s">
        <v>15</v>
      </c>
      <c r="F1867" s="20">
        <v>730.62</v>
      </c>
      <c r="G1867" s="11">
        <f>VLOOKUP(A1867,'Operational Data'!$A$2:$E$201,3,FALSE)</f>
        <v>24913</v>
      </c>
      <c r="H1867" s="11">
        <f>VLOOKUP(A1867,'Operational Data'!$A$2:$E$201,4,FALSE)</f>
        <v>5727.27</v>
      </c>
      <c r="I1867" s="11">
        <f>VLOOKUP(A1867,'Operational Data'!$A$2:$E$201,5,FALSE)</f>
        <v>78.849999999999994</v>
      </c>
      <c r="J1867" s="21">
        <f t="shared" si="29"/>
        <v>2.9326857463974631E-2</v>
      </c>
    </row>
    <row r="1868" spans="1:10" x14ac:dyDescent="0.25">
      <c r="A1868" s="20" t="s">
        <v>128</v>
      </c>
      <c r="B1868" s="20" t="s">
        <v>12</v>
      </c>
      <c r="C1868" s="20" t="s">
        <v>8</v>
      </c>
      <c r="D1868" s="20" t="s">
        <v>9</v>
      </c>
      <c r="E1868" s="20" t="s">
        <v>24</v>
      </c>
      <c r="F1868" s="20">
        <v>5247.8932150000001</v>
      </c>
      <c r="G1868" s="11">
        <f>VLOOKUP(A1868,'Operational Data'!$A$2:$E$201,3,FALSE)</f>
        <v>29406</v>
      </c>
      <c r="H1868" s="11">
        <f>VLOOKUP(A1868,'Operational Data'!$A$2:$E$201,4,FALSE)</f>
        <v>5281.69</v>
      </c>
      <c r="I1868" s="11">
        <f>VLOOKUP(A1868,'Operational Data'!$A$2:$E$201,5,FALSE)</f>
        <v>27.01</v>
      </c>
      <c r="J1868" s="21">
        <f t="shared" si="29"/>
        <v>0.17846334812623274</v>
      </c>
    </row>
    <row r="1869" spans="1:10" x14ac:dyDescent="0.25">
      <c r="A1869" s="20" t="s">
        <v>201</v>
      </c>
      <c r="B1869" s="20" t="s">
        <v>12</v>
      </c>
      <c r="C1869" s="20" t="s">
        <v>34</v>
      </c>
      <c r="D1869" s="20" t="s">
        <v>14</v>
      </c>
      <c r="E1869" s="20" t="s">
        <v>24</v>
      </c>
      <c r="F1869" s="20">
        <v>2947.53</v>
      </c>
      <c r="G1869" s="11">
        <f>VLOOKUP(A1869,'Operational Data'!$A$2:$E$201,3,FALSE)</f>
        <v>58439</v>
      </c>
      <c r="H1869" s="11">
        <f>VLOOKUP(A1869,'Operational Data'!$A$2:$E$201,4,FALSE)</f>
        <v>5817.93</v>
      </c>
      <c r="I1869" s="11">
        <f>VLOOKUP(A1869,'Operational Data'!$A$2:$E$201,5,FALSE)</f>
        <v>63.77</v>
      </c>
      <c r="J1869" s="21">
        <f t="shared" si="29"/>
        <v>5.0437721384691735E-2</v>
      </c>
    </row>
    <row r="1870" spans="1:10" ht="30" x14ac:dyDescent="0.25">
      <c r="A1870" s="20" t="s">
        <v>129</v>
      </c>
      <c r="B1870" s="20" t="s">
        <v>17</v>
      </c>
      <c r="C1870" s="20" t="s">
        <v>8</v>
      </c>
      <c r="D1870" s="20" t="s">
        <v>28</v>
      </c>
      <c r="E1870" s="20" t="s">
        <v>24</v>
      </c>
      <c r="F1870" s="20">
        <v>571.92999999999995</v>
      </c>
      <c r="G1870" s="11">
        <f>VLOOKUP(A1870,'Operational Data'!$A$2:$E$201,3,FALSE)</f>
        <v>95292</v>
      </c>
      <c r="H1870" s="11">
        <f>VLOOKUP(A1870,'Operational Data'!$A$2:$E$201,4,FALSE)</f>
        <v>697.47</v>
      </c>
      <c r="I1870" s="11">
        <f>VLOOKUP(A1870,'Operational Data'!$A$2:$E$201,5,FALSE)</f>
        <v>88.35</v>
      </c>
      <c r="J1870" s="21">
        <f t="shared" si="29"/>
        <v>6.0018679427444061E-3</v>
      </c>
    </row>
    <row r="1871" spans="1:10" x14ac:dyDescent="0.25">
      <c r="A1871" s="20" t="s">
        <v>102</v>
      </c>
      <c r="B1871" s="20" t="s">
        <v>19</v>
      </c>
      <c r="C1871" s="20" t="s">
        <v>8</v>
      </c>
      <c r="D1871" s="20" t="s">
        <v>9</v>
      </c>
      <c r="E1871" s="20" t="s">
        <v>15</v>
      </c>
      <c r="F1871" s="20">
        <v>4065.7376650000001</v>
      </c>
      <c r="G1871" s="11">
        <f>VLOOKUP(A1871,'Operational Data'!$A$2:$E$201,3,FALSE)</f>
        <v>86263</v>
      </c>
      <c r="H1871" s="11">
        <f>VLOOKUP(A1871,'Operational Data'!$A$2:$E$201,4,FALSE)</f>
        <v>3213.71</v>
      </c>
      <c r="I1871" s="11">
        <f>VLOOKUP(A1871,'Operational Data'!$A$2:$E$201,5,FALSE)</f>
        <v>98.39</v>
      </c>
      <c r="J1871" s="21">
        <f t="shared" si="29"/>
        <v>4.7131883484228462E-2</v>
      </c>
    </row>
    <row r="1872" spans="1:10" x14ac:dyDescent="0.25">
      <c r="A1872" s="20" t="s">
        <v>39</v>
      </c>
      <c r="B1872" s="20" t="s">
        <v>7</v>
      </c>
      <c r="C1872" s="20" t="s">
        <v>8</v>
      </c>
      <c r="D1872" s="20" t="s">
        <v>9</v>
      </c>
      <c r="E1872" s="20" t="s">
        <v>10</v>
      </c>
      <c r="F1872" s="20">
        <v>1983.30376</v>
      </c>
      <c r="G1872" s="11">
        <f>VLOOKUP(A1872,'Operational Data'!$A$2:$E$201,3,FALSE)</f>
        <v>80904</v>
      </c>
      <c r="H1872" s="11">
        <f>VLOOKUP(A1872,'Operational Data'!$A$2:$E$201,4,FALSE)</f>
        <v>3263.09</v>
      </c>
      <c r="I1872" s="11">
        <f>VLOOKUP(A1872,'Operational Data'!$A$2:$E$201,5,FALSE)</f>
        <v>58.37</v>
      </c>
      <c r="J1872" s="21">
        <f t="shared" si="29"/>
        <v>2.4514285573024819E-2</v>
      </c>
    </row>
    <row r="1873" spans="1:10" x14ac:dyDescent="0.25">
      <c r="A1873" s="20" t="s">
        <v>134</v>
      </c>
      <c r="B1873" s="20" t="s">
        <v>7</v>
      </c>
      <c r="C1873" s="20" t="s">
        <v>34</v>
      </c>
      <c r="D1873" s="20" t="s">
        <v>14</v>
      </c>
      <c r="E1873" s="20" t="s">
        <v>24</v>
      </c>
      <c r="F1873" s="20">
        <v>3226.08</v>
      </c>
      <c r="G1873" s="11">
        <f>VLOOKUP(A1873,'Operational Data'!$A$2:$E$201,3,FALSE)</f>
        <v>39568</v>
      </c>
      <c r="H1873" s="11">
        <f>VLOOKUP(A1873,'Operational Data'!$A$2:$E$201,4,FALSE)</f>
        <v>3580.54</v>
      </c>
      <c r="I1873" s="11">
        <f>VLOOKUP(A1873,'Operational Data'!$A$2:$E$201,5,FALSE)</f>
        <v>78.08</v>
      </c>
      <c r="J1873" s="21">
        <f t="shared" si="29"/>
        <v>8.153255155681359E-2</v>
      </c>
    </row>
    <row r="1874" spans="1:10" x14ac:dyDescent="0.25">
      <c r="A1874" s="20" t="s">
        <v>95</v>
      </c>
      <c r="B1874" s="20" t="s">
        <v>30</v>
      </c>
      <c r="C1874" s="20" t="s">
        <v>8</v>
      </c>
      <c r="D1874" s="20" t="s">
        <v>9</v>
      </c>
      <c r="E1874" s="20" t="s">
        <v>15</v>
      </c>
      <c r="F1874" s="20">
        <v>885.44218950000004</v>
      </c>
      <c r="G1874" s="11">
        <f>VLOOKUP(A1874,'Operational Data'!$A$2:$E$201,3,FALSE)</f>
        <v>51800</v>
      </c>
      <c r="H1874" s="11">
        <f>VLOOKUP(A1874,'Operational Data'!$A$2:$E$201,4,FALSE)</f>
        <v>3042.95</v>
      </c>
      <c r="I1874" s="11">
        <f>VLOOKUP(A1874,'Operational Data'!$A$2:$E$201,5,FALSE)</f>
        <v>71.87</v>
      </c>
      <c r="J1874" s="21">
        <f t="shared" si="29"/>
        <v>1.7093478561776062E-2</v>
      </c>
    </row>
    <row r="1875" spans="1:10" x14ac:dyDescent="0.25">
      <c r="A1875" s="20" t="s">
        <v>196</v>
      </c>
      <c r="B1875" s="20" t="s">
        <v>30</v>
      </c>
      <c r="C1875" s="20" t="s">
        <v>13</v>
      </c>
      <c r="D1875" s="20" t="s">
        <v>14</v>
      </c>
      <c r="E1875" s="20" t="s">
        <v>15</v>
      </c>
      <c r="F1875" s="20">
        <v>3998.24</v>
      </c>
      <c r="G1875" s="11">
        <f>VLOOKUP(A1875,'Operational Data'!$A$2:$E$201,3,FALSE)</f>
        <v>12262</v>
      </c>
      <c r="H1875" s="11">
        <f>VLOOKUP(A1875,'Operational Data'!$A$2:$E$201,4,FALSE)</f>
        <v>7106.18</v>
      </c>
      <c r="I1875" s="11">
        <f>VLOOKUP(A1875,'Operational Data'!$A$2:$E$201,5,FALSE)</f>
        <v>45.69</v>
      </c>
      <c r="J1875" s="21">
        <f t="shared" si="29"/>
        <v>0.32606752568912084</v>
      </c>
    </row>
    <row r="1876" spans="1:10" x14ac:dyDescent="0.25">
      <c r="A1876" s="20" t="s">
        <v>164</v>
      </c>
      <c r="B1876" s="20" t="s">
        <v>19</v>
      </c>
      <c r="C1876" s="20" t="s">
        <v>23</v>
      </c>
      <c r="D1876" s="20" t="s">
        <v>14</v>
      </c>
      <c r="E1876" s="20" t="s">
        <v>15</v>
      </c>
      <c r="F1876" s="20">
        <v>2639.81</v>
      </c>
      <c r="G1876" s="11">
        <f>VLOOKUP(A1876,'Operational Data'!$A$2:$E$201,3,FALSE)</f>
        <v>69636</v>
      </c>
      <c r="H1876" s="11">
        <f>VLOOKUP(A1876,'Operational Data'!$A$2:$E$201,4,FALSE)</f>
        <v>4246.55</v>
      </c>
      <c r="I1876" s="11">
        <f>VLOOKUP(A1876,'Operational Data'!$A$2:$E$201,5,FALSE)</f>
        <v>69.290000000000006</v>
      </c>
      <c r="J1876" s="21">
        <f t="shared" si="29"/>
        <v>3.7908696651157446E-2</v>
      </c>
    </row>
    <row r="1877" spans="1:10" ht="30" x14ac:dyDescent="0.25">
      <c r="A1877" s="20" t="s">
        <v>199</v>
      </c>
      <c r="B1877" s="20" t="s">
        <v>17</v>
      </c>
      <c r="C1877" s="20" t="s">
        <v>34</v>
      </c>
      <c r="D1877" s="20" t="s">
        <v>14</v>
      </c>
      <c r="E1877" s="20" t="s">
        <v>10</v>
      </c>
      <c r="F1877" s="20">
        <v>2835.04</v>
      </c>
      <c r="G1877" s="11">
        <f>VLOOKUP(A1877,'Operational Data'!$A$2:$E$201,3,FALSE)</f>
        <v>77317</v>
      </c>
      <c r="H1877" s="11">
        <f>VLOOKUP(A1877,'Operational Data'!$A$2:$E$201,4,FALSE)</f>
        <v>4862.95</v>
      </c>
      <c r="I1877" s="11">
        <f>VLOOKUP(A1877,'Operational Data'!$A$2:$E$201,5,FALSE)</f>
        <v>89.78</v>
      </c>
      <c r="J1877" s="21">
        <f t="shared" si="29"/>
        <v>3.6667744480515282E-2</v>
      </c>
    </row>
    <row r="1878" spans="1:10" x14ac:dyDescent="0.25">
      <c r="A1878" s="20" t="s">
        <v>21</v>
      </c>
      <c r="B1878" s="20" t="s">
        <v>19</v>
      </c>
      <c r="C1878" s="20" t="s">
        <v>23</v>
      </c>
      <c r="D1878" s="20" t="s">
        <v>14</v>
      </c>
      <c r="E1878" s="20" t="s">
        <v>10</v>
      </c>
      <c r="F1878" s="20">
        <v>2182.6999999999998</v>
      </c>
      <c r="G1878" s="11">
        <f>VLOOKUP(A1878,'Operational Data'!$A$2:$E$201,3,FALSE)</f>
        <v>61157</v>
      </c>
      <c r="H1878" s="11">
        <f>VLOOKUP(A1878,'Operational Data'!$A$2:$E$201,4,FALSE)</f>
        <v>7331.54</v>
      </c>
      <c r="I1878" s="11">
        <f>VLOOKUP(A1878,'Operational Data'!$A$2:$E$201,5,FALSE)</f>
        <v>55.52</v>
      </c>
      <c r="J1878" s="21">
        <f t="shared" si="29"/>
        <v>3.5690109063557726E-2</v>
      </c>
    </row>
    <row r="1879" spans="1:10" x14ac:dyDescent="0.25">
      <c r="A1879" s="20" t="s">
        <v>55</v>
      </c>
      <c r="B1879" s="20" t="s">
        <v>12</v>
      </c>
      <c r="C1879" s="20" t="s">
        <v>13</v>
      </c>
      <c r="D1879" s="20" t="s">
        <v>28</v>
      </c>
      <c r="E1879" s="20" t="s">
        <v>10</v>
      </c>
      <c r="F1879" s="20">
        <v>3507.39</v>
      </c>
      <c r="G1879" s="11">
        <f>VLOOKUP(A1879,'Operational Data'!$A$2:$E$201,3,FALSE)</f>
        <v>38181</v>
      </c>
      <c r="H1879" s="11">
        <f>VLOOKUP(A1879,'Operational Data'!$A$2:$E$201,4,FALSE)</f>
        <v>691.84</v>
      </c>
      <c r="I1879" s="11">
        <f>VLOOKUP(A1879,'Operational Data'!$A$2:$E$201,5,FALSE)</f>
        <v>33.53</v>
      </c>
      <c r="J1879" s="21">
        <f t="shared" si="29"/>
        <v>9.1862182761059161E-2</v>
      </c>
    </row>
    <row r="1880" spans="1:10" x14ac:dyDescent="0.25">
      <c r="A1880" s="20" t="s">
        <v>209</v>
      </c>
      <c r="B1880" s="20" t="s">
        <v>7</v>
      </c>
      <c r="C1880" s="20" t="s">
        <v>13</v>
      </c>
      <c r="D1880" s="20" t="s">
        <v>14</v>
      </c>
      <c r="E1880" s="20" t="s">
        <v>24</v>
      </c>
      <c r="F1880" s="20">
        <v>4743.79</v>
      </c>
      <c r="G1880" s="11">
        <f>VLOOKUP(A1880,'Operational Data'!$A$2:$E$201,3,FALSE)</f>
        <v>52357</v>
      </c>
      <c r="H1880" s="11">
        <f>VLOOKUP(A1880,'Operational Data'!$A$2:$E$201,4,FALSE)</f>
        <v>5643.16</v>
      </c>
      <c r="I1880" s="11">
        <f>VLOOKUP(A1880,'Operational Data'!$A$2:$E$201,5,FALSE)</f>
        <v>37.130000000000003</v>
      </c>
      <c r="J1880" s="21">
        <f t="shared" si="29"/>
        <v>9.0604694692209262E-2</v>
      </c>
    </row>
    <row r="1881" spans="1:10" ht="30" x14ac:dyDescent="0.25">
      <c r="A1881" s="20" t="s">
        <v>194</v>
      </c>
      <c r="B1881" s="20" t="s">
        <v>17</v>
      </c>
      <c r="C1881" s="20" t="s">
        <v>13</v>
      </c>
      <c r="D1881" s="20" t="s">
        <v>28</v>
      </c>
      <c r="E1881" s="20" t="s">
        <v>10</v>
      </c>
      <c r="F1881" s="20">
        <v>2798.51</v>
      </c>
      <c r="G1881" s="11">
        <f>VLOOKUP(A1881,'Operational Data'!$A$2:$E$201,3,FALSE)</f>
        <v>95165</v>
      </c>
      <c r="H1881" s="11">
        <f>VLOOKUP(A1881,'Operational Data'!$A$2:$E$201,4,FALSE)</f>
        <v>8562.76</v>
      </c>
      <c r="I1881" s="11">
        <f>VLOOKUP(A1881,'Operational Data'!$A$2:$E$201,5,FALSE)</f>
        <v>37.54</v>
      </c>
      <c r="J1881" s="21">
        <f t="shared" si="29"/>
        <v>2.9406924814795357E-2</v>
      </c>
    </row>
    <row r="1882" spans="1:10" x14ac:dyDescent="0.25">
      <c r="A1882" s="20" t="s">
        <v>179</v>
      </c>
      <c r="B1882" s="20" t="s">
        <v>7</v>
      </c>
      <c r="C1882" s="20" t="s">
        <v>8</v>
      </c>
      <c r="D1882" s="20" t="s">
        <v>14</v>
      </c>
      <c r="E1882" s="20" t="s">
        <v>15</v>
      </c>
      <c r="F1882" s="20">
        <v>2111.5100000000002</v>
      </c>
      <c r="G1882" s="11">
        <f>VLOOKUP(A1882,'Operational Data'!$A$2:$E$201,3,FALSE)</f>
        <v>94393</v>
      </c>
      <c r="H1882" s="11">
        <f>VLOOKUP(A1882,'Operational Data'!$A$2:$E$201,4,FALSE)</f>
        <v>6691.7</v>
      </c>
      <c r="I1882" s="11">
        <f>VLOOKUP(A1882,'Operational Data'!$A$2:$E$201,5,FALSE)</f>
        <v>74.790000000000006</v>
      </c>
      <c r="J1882" s="21">
        <f t="shared" si="29"/>
        <v>2.2369349422096979E-2</v>
      </c>
    </row>
    <row r="1883" spans="1:10" x14ac:dyDescent="0.25">
      <c r="A1883" s="20" t="s">
        <v>107</v>
      </c>
      <c r="B1883" s="20" t="s">
        <v>30</v>
      </c>
      <c r="C1883" s="20" t="s">
        <v>8</v>
      </c>
      <c r="D1883" s="20" t="s">
        <v>28</v>
      </c>
      <c r="E1883" s="20" t="s">
        <v>15</v>
      </c>
      <c r="F1883" s="20">
        <v>440.45</v>
      </c>
      <c r="G1883" s="11">
        <f>VLOOKUP(A1883,'Operational Data'!$A$2:$E$201,3,FALSE)</f>
        <v>69305</v>
      </c>
      <c r="H1883" s="11">
        <f>VLOOKUP(A1883,'Operational Data'!$A$2:$E$201,4,FALSE)</f>
        <v>3203.67</v>
      </c>
      <c r="I1883" s="11">
        <f>VLOOKUP(A1883,'Operational Data'!$A$2:$E$201,5,FALSE)</f>
        <v>83.65</v>
      </c>
      <c r="J1883" s="21">
        <f t="shared" si="29"/>
        <v>6.3552413245797556E-3</v>
      </c>
    </row>
    <row r="1884" spans="1:10" x14ac:dyDescent="0.25">
      <c r="A1884" s="20" t="s">
        <v>75</v>
      </c>
      <c r="B1884" s="20" t="s">
        <v>19</v>
      </c>
      <c r="C1884" s="20" t="s">
        <v>13</v>
      </c>
      <c r="D1884" s="20" t="s">
        <v>14</v>
      </c>
      <c r="E1884" s="20" t="s">
        <v>15</v>
      </c>
      <c r="F1884" s="20">
        <v>2532.06</v>
      </c>
      <c r="G1884" s="11">
        <f>VLOOKUP(A1884,'Operational Data'!$A$2:$E$201,3,FALSE)</f>
        <v>54136</v>
      </c>
      <c r="H1884" s="11">
        <f>VLOOKUP(A1884,'Operational Data'!$A$2:$E$201,4,FALSE)</f>
        <v>2775.38</v>
      </c>
      <c r="I1884" s="11">
        <f>VLOOKUP(A1884,'Operational Data'!$A$2:$E$201,5,FALSE)</f>
        <v>75.459999999999994</v>
      </c>
      <c r="J1884" s="21">
        <f t="shared" si="29"/>
        <v>4.6772203339736959E-2</v>
      </c>
    </row>
    <row r="1885" spans="1:10" ht="30" x14ac:dyDescent="0.25">
      <c r="A1885" s="20" t="s">
        <v>133</v>
      </c>
      <c r="B1885" s="20" t="s">
        <v>17</v>
      </c>
      <c r="C1885" s="20" t="s">
        <v>13</v>
      </c>
      <c r="D1885" s="20" t="s">
        <v>9</v>
      </c>
      <c r="E1885" s="20" t="s">
        <v>15</v>
      </c>
      <c r="F1885" s="20">
        <v>3682.33</v>
      </c>
      <c r="G1885" s="11">
        <f>VLOOKUP(A1885,'Operational Data'!$A$2:$E$201,3,FALSE)</f>
        <v>48501</v>
      </c>
      <c r="H1885" s="11">
        <f>VLOOKUP(A1885,'Operational Data'!$A$2:$E$201,4,FALSE)</f>
        <v>7209.77</v>
      </c>
      <c r="I1885" s="11">
        <f>VLOOKUP(A1885,'Operational Data'!$A$2:$E$201,5,FALSE)</f>
        <v>92.51</v>
      </c>
      <c r="J1885" s="21">
        <f t="shared" si="29"/>
        <v>7.5922764479082902E-2</v>
      </c>
    </row>
    <row r="1886" spans="1:10" x14ac:dyDescent="0.25">
      <c r="A1886" s="20" t="s">
        <v>189</v>
      </c>
      <c r="B1886" s="20" t="s">
        <v>19</v>
      </c>
      <c r="C1886" s="20" t="s">
        <v>23</v>
      </c>
      <c r="D1886" s="20" t="s">
        <v>28</v>
      </c>
      <c r="E1886" s="20" t="s">
        <v>15</v>
      </c>
      <c r="F1886" s="20">
        <v>1546.78</v>
      </c>
      <c r="G1886" s="11">
        <f>VLOOKUP(A1886,'Operational Data'!$A$2:$E$201,3,FALSE)</f>
        <v>27681</v>
      </c>
      <c r="H1886" s="11">
        <f>VLOOKUP(A1886,'Operational Data'!$A$2:$E$201,4,FALSE)</f>
        <v>928.26</v>
      </c>
      <c r="I1886" s="11">
        <f>VLOOKUP(A1886,'Operational Data'!$A$2:$E$201,5,FALSE)</f>
        <v>44.97</v>
      </c>
      <c r="J1886" s="21">
        <f t="shared" si="29"/>
        <v>5.5878761605433327E-2</v>
      </c>
    </row>
    <row r="1887" spans="1:10" x14ac:dyDescent="0.25">
      <c r="A1887" s="20" t="s">
        <v>125</v>
      </c>
      <c r="B1887" s="20" t="s">
        <v>7</v>
      </c>
      <c r="C1887" s="20" t="s">
        <v>23</v>
      </c>
      <c r="D1887" s="20" t="s">
        <v>28</v>
      </c>
      <c r="E1887" s="20" t="s">
        <v>15</v>
      </c>
      <c r="F1887" s="20">
        <v>2135.9699999999998</v>
      </c>
      <c r="G1887" s="11">
        <f>VLOOKUP(A1887,'Operational Data'!$A$2:$E$201,3,FALSE)</f>
        <v>56392</v>
      </c>
      <c r="H1887" s="11">
        <f>VLOOKUP(A1887,'Operational Data'!$A$2:$E$201,4,FALSE)</f>
        <v>5703.76</v>
      </c>
      <c r="I1887" s="11">
        <f>VLOOKUP(A1887,'Operational Data'!$A$2:$E$201,5,FALSE)</f>
        <v>23.04</v>
      </c>
      <c r="J1887" s="21">
        <f t="shared" si="29"/>
        <v>3.7877181160448289E-2</v>
      </c>
    </row>
    <row r="1888" spans="1:10" x14ac:dyDescent="0.25">
      <c r="A1888" s="20" t="s">
        <v>180</v>
      </c>
      <c r="B1888" s="20" t="s">
        <v>30</v>
      </c>
      <c r="C1888" s="20" t="s">
        <v>13</v>
      </c>
      <c r="D1888" s="20" t="s">
        <v>28</v>
      </c>
      <c r="E1888" s="20" t="s">
        <v>10</v>
      </c>
      <c r="F1888" s="20">
        <v>1344</v>
      </c>
      <c r="G1888" s="11">
        <f>VLOOKUP(A1888,'Operational Data'!$A$2:$E$201,3,FALSE)</f>
        <v>72846</v>
      </c>
      <c r="H1888" s="11">
        <f>VLOOKUP(A1888,'Operational Data'!$A$2:$E$201,4,FALSE)</f>
        <v>5169.53</v>
      </c>
      <c r="I1888" s="11">
        <f>VLOOKUP(A1888,'Operational Data'!$A$2:$E$201,5,FALSE)</f>
        <v>76.709999999999994</v>
      </c>
      <c r="J1888" s="21">
        <f t="shared" si="29"/>
        <v>1.8449880569969525E-2</v>
      </c>
    </row>
    <row r="1889" spans="1:10" ht="30" x14ac:dyDescent="0.25">
      <c r="A1889" s="20" t="s">
        <v>143</v>
      </c>
      <c r="B1889" s="20" t="s">
        <v>17</v>
      </c>
      <c r="C1889" s="20" t="s">
        <v>23</v>
      </c>
      <c r="D1889" s="20" t="s">
        <v>28</v>
      </c>
      <c r="E1889" s="20" t="s">
        <v>10</v>
      </c>
      <c r="F1889" s="20">
        <v>1009.35</v>
      </c>
      <c r="G1889" s="11">
        <f>VLOOKUP(A1889,'Operational Data'!$A$2:$E$201,3,FALSE)</f>
        <v>94704</v>
      </c>
      <c r="H1889" s="11">
        <f>VLOOKUP(A1889,'Operational Data'!$A$2:$E$201,4,FALSE)</f>
        <v>6632.95</v>
      </c>
      <c r="I1889" s="11">
        <f>VLOOKUP(A1889,'Operational Data'!$A$2:$E$201,5,FALSE)</f>
        <v>14.76</v>
      </c>
      <c r="J1889" s="21">
        <f t="shared" si="29"/>
        <v>1.0657944754181449E-2</v>
      </c>
    </row>
    <row r="1890" spans="1:10" x14ac:dyDescent="0.25">
      <c r="A1890" s="20" t="s">
        <v>38</v>
      </c>
      <c r="B1890" s="20" t="s">
        <v>30</v>
      </c>
      <c r="C1890" s="20" t="s">
        <v>8</v>
      </c>
      <c r="D1890" s="20" t="s">
        <v>28</v>
      </c>
      <c r="E1890" s="20" t="s">
        <v>24</v>
      </c>
      <c r="F1890" s="20">
        <v>1620.64</v>
      </c>
      <c r="G1890" s="11">
        <f>VLOOKUP(A1890,'Operational Data'!$A$2:$E$201,3,FALSE)</f>
        <v>57215</v>
      </c>
      <c r="H1890" s="11">
        <f>VLOOKUP(A1890,'Operational Data'!$A$2:$E$201,4,FALSE)</f>
        <v>3227.1</v>
      </c>
      <c r="I1890" s="11">
        <f>VLOOKUP(A1890,'Operational Data'!$A$2:$E$201,5,FALSE)</f>
        <v>32.909999999999997</v>
      </c>
      <c r="J1890" s="21">
        <f t="shared" si="29"/>
        <v>2.832543913309447E-2</v>
      </c>
    </row>
    <row r="1891" spans="1:10" x14ac:dyDescent="0.25">
      <c r="A1891" s="20" t="s">
        <v>85</v>
      </c>
      <c r="B1891" s="20" t="s">
        <v>30</v>
      </c>
      <c r="C1891" s="20" t="s">
        <v>34</v>
      </c>
      <c r="D1891" s="20" t="s">
        <v>14</v>
      </c>
      <c r="E1891" s="20" t="s">
        <v>10</v>
      </c>
      <c r="F1891" s="20">
        <v>3874.19</v>
      </c>
      <c r="G1891" s="11">
        <f>VLOOKUP(A1891,'Operational Data'!$A$2:$E$201,3,FALSE)</f>
        <v>45519</v>
      </c>
      <c r="H1891" s="11">
        <f>VLOOKUP(A1891,'Operational Data'!$A$2:$E$201,4,FALSE)</f>
        <v>7987.69</v>
      </c>
      <c r="I1891" s="11">
        <f>VLOOKUP(A1891,'Operational Data'!$A$2:$E$201,5,FALSE)</f>
        <v>10.86</v>
      </c>
      <c r="J1891" s="21">
        <f t="shared" si="29"/>
        <v>8.5111491904479447E-2</v>
      </c>
    </row>
    <row r="1892" spans="1:10" x14ac:dyDescent="0.25">
      <c r="A1892" s="20" t="s">
        <v>92</v>
      </c>
      <c r="B1892" s="20" t="s">
        <v>30</v>
      </c>
      <c r="C1892" s="20" t="s">
        <v>8</v>
      </c>
      <c r="D1892" s="20" t="s">
        <v>28</v>
      </c>
      <c r="E1892" s="20" t="s">
        <v>15</v>
      </c>
      <c r="F1892" s="20">
        <v>3045.93</v>
      </c>
      <c r="G1892" s="11">
        <f>VLOOKUP(A1892,'Operational Data'!$A$2:$E$201,3,FALSE)</f>
        <v>18726</v>
      </c>
      <c r="H1892" s="11">
        <f>VLOOKUP(A1892,'Operational Data'!$A$2:$E$201,4,FALSE)</f>
        <v>5099.54</v>
      </c>
      <c r="I1892" s="11">
        <f>VLOOKUP(A1892,'Operational Data'!$A$2:$E$201,5,FALSE)</f>
        <v>71.05</v>
      </c>
      <c r="J1892" s="21">
        <f t="shared" si="29"/>
        <v>0.16265780198654275</v>
      </c>
    </row>
    <row r="1893" spans="1:10" x14ac:dyDescent="0.25">
      <c r="A1893" s="20" t="s">
        <v>60</v>
      </c>
      <c r="B1893" s="20" t="s">
        <v>12</v>
      </c>
      <c r="C1893" s="20" t="s">
        <v>8</v>
      </c>
      <c r="D1893" s="20" t="s">
        <v>28</v>
      </c>
      <c r="E1893" s="20" t="s">
        <v>24</v>
      </c>
      <c r="F1893" s="20">
        <v>1476.28</v>
      </c>
      <c r="G1893" s="11">
        <f>VLOOKUP(A1893,'Operational Data'!$A$2:$E$201,3,FALSE)</f>
        <v>25148</v>
      </c>
      <c r="H1893" s="11">
        <f>VLOOKUP(A1893,'Operational Data'!$A$2:$E$201,4,FALSE)</f>
        <v>9604.5499999999993</v>
      </c>
      <c r="I1893" s="11">
        <f>VLOOKUP(A1893,'Operational Data'!$A$2:$E$201,5,FALSE)</f>
        <v>63.47</v>
      </c>
      <c r="J1893" s="21">
        <f t="shared" si="29"/>
        <v>5.8703674248449182E-2</v>
      </c>
    </row>
    <row r="1894" spans="1:10" x14ac:dyDescent="0.25">
      <c r="A1894" s="20" t="s">
        <v>117</v>
      </c>
      <c r="B1894" s="20" t="s">
        <v>7</v>
      </c>
      <c r="C1894" s="20" t="s">
        <v>23</v>
      </c>
      <c r="D1894" s="20" t="s">
        <v>9</v>
      </c>
      <c r="E1894" s="20" t="s">
        <v>15</v>
      </c>
      <c r="F1894" s="20">
        <v>3862.2531779999999</v>
      </c>
      <c r="G1894" s="11">
        <f>VLOOKUP(A1894,'Operational Data'!$A$2:$E$201,3,FALSE)</f>
        <v>89321</v>
      </c>
      <c r="H1894" s="11">
        <f>VLOOKUP(A1894,'Operational Data'!$A$2:$E$201,4,FALSE)</f>
        <v>9836.34</v>
      </c>
      <c r="I1894" s="11">
        <f>VLOOKUP(A1894,'Operational Data'!$A$2:$E$201,5,FALSE)</f>
        <v>16.989999999999998</v>
      </c>
      <c r="J1894" s="21">
        <f t="shared" si="29"/>
        <v>4.324014708747103E-2</v>
      </c>
    </row>
    <row r="1895" spans="1:10" ht="30" x14ac:dyDescent="0.25">
      <c r="A1895" s="20" t="s">
        <v>133</v>
      </c>
      <c r="B1895" s="20" t="s">
        <v>17</v>
      </c>
      <c r="C1895" s="20" t="s">
        <v>13</v>
      </c>
      <c r="D1895" s="20" t="s">
        <v>14</v>
      </c>
      <c r="E1895" s="20" t="s">
        <v>24</v>
      </c>
      <c r="F1895" s="20">
        <v>2517.98</v>
      </c>
      <c r="G1895" s="11">
        <f>VLOOKUP(A1895,'Operational Data'!$A$2:$E$201,3,FALSE)</f>
        <v>48501</v>
      </c>
      <c r="H1895" s="11">
        <f>VLOOKUP(A1895,'Operational Data'!$A$2:$E$201,4,FALSE)</f>
        <v>7209.77</v>
      </c>
      <c r="I1895" s="11">
        <f>VLOOKUP(A1895,'Operational Data'!$A$2:$E$201,5,FALSE)</f>
        <v>92.51</v>
      </c>
      <c r="J1895" s="21">
        <f t="shared" si="29"/>
        <v>5.1916042968186221E-2</v>
      </c>
    </row>
    <row r="1896" spans="1:10" x14ac:dyDescent="0.25">
      <c r="A1896" s="20" t="s">
        <v>158</v>
      </c>
      <c r="B1896" s="20" t="s">
        <v>30</v>
      </c>
      <c r="C1896" s="20" t="s">
        <v>23</v>
      </c>
      <c r="D1896" s="20" t="s">
        <v>14</v>
      </c>
      <c r="E1896" s="20" t="s">
        <v>10</v>
      </c>
      <c r="F1896" s="20">
        <v>3737.89</v>
      </c>
      <c r="G1896" s="11">
        <f>VLOOKUP(A1896,'Operational Data'!$A$2:$E$201,3,FALSE)</f>
        <v>85488</v>
      </c>
      <c r="H1896" s="11">
        <f>VLOOKUP(A1896,'Operational Data'!$A$2:$E$201,4,FALSE)</f>
        <v>9691.57</v>
      </c>
      <c r="I1896" s="11">
        <f>VLOOKUP(A1896,'Operational Data'!$A$2:$E$201,5,FALSE)</f>
        <v>96.98</v>
      </c>
      <c r="J1896" s="21">
        <f t="shared" si="29"/>
        <v>4.3724148418491482E-2</v>
      </c>
    </row>
    <row r="1897" spans="1:10" x14ac:dyDescent="0.25">
      <c r="A1897" s="20" t="s">
        <v>141</v>
      </c>
      <c r="B1897" s="20" t="s">
        <v>7</v>
      </c>
      <c r="C1897" s="20" t="s">
        <v>13</v>
      </c>
      <c r="D1897" s="20" t="s">
        <v>14</v>
      </c>
      <c r="E1897" s="20" t="s">
        <v>10</v>
      </c>
      <c r="F1897" s="20">
        <v>1111.82</v>
      </c>
      <c r="G1897" s="11">
        <f>VLOOKUP(A1897,'Operational Data'!$A$2:$E$201,3,FALSE)</f>
        <v>45644</v>
      </c>
      <c r="H1897" s="11">
        <f>VLOOKUP(A1897,'Operational Data'!$A$2:$E$201,4,FALSE)</f>
        <v>7724.73</v>
      </c>
      <c r="I1897" s="11">
        <f>VLOOKUP(A1897,'Operational Data'!$A$2:$E$201,5,FALSE)</f>
        <v>31</v>
      </c>
      <c r="J1897" s="21">
        <f t="shared" si="29"/>
        <v>2.435851371483656E-2</v>
      </c>
    </row>
    <row r="1898" spans="1:10" x14ac:dyDescent="0.25">
      <c r="A1898" s="20" t="s">
        <v>103</v>
      </c>
      <c r="B1898" s="20" t="s">
        <v>19</v>
      </c>
      <c r="C1898" s="20" t="s">
        <v>23</v>
      </c>
      <c r="D1898" s="20" t="s">
        <v>14</v>
      </c>
      <c r="E1898" s="20" t="s">
        <v>24</v>
      </c>
      <c r="F1898" s="20">
        <v>4547.9799999999996</v>
      </c>
      <c r="G1898" s="11">
        <f>VLOOKUP(A1898,'Operational Data'!$A$2:$E$201,3,FALSE)</f>
        <v>38869</v>
      </c>
      <c r="H1898" s="11">
        <f>VLOOKUP(A1898,'Operational Data'!$A$2:$E$201,4,FALSE)</f>
        <v>5109.76</v>
      </c>
      <c r="I1898" s="11">
        <f>VLOOKUP(A1898,'Operational Data'!$A$2:$E$201,5,FALSE)</f>
        <v>35.270000000000003</v>
      </c>
      <c r="J1898" s="21">
        <f t="shared" si="29"/>
        <v>0.11700789832514343</v>
      </c>
    </row>
    <row r="1899" spans="1:10" ht="30" x14ac:dyDescent="0.25">
      <c r="A1899" s="20" t="s">
        <v>216</v>
      </c>
      <c r="B1899" s="20" t="s">
        <v>17</v>
      </c>
      <c r="C1899" s="20" t="s">
        <v>13</v>
      </c>
      <c r="D1899" s="20" t="s">
        <v>9</v>
      </c>
      <c r="E1899" s="20" t="s">
        <v>24</v>
      </c>
      <c r="F1899" s="20">
        <v>5035.8731600000001</v>
      </c>
      <c r="G1899" s="11">
        <f>VLOOKUP(A1899,'Operational Data'!$A$2:$E$201,3,FALSE)</f>
        <v>13302</v>
      </c>
      <c r="H1899" s="11">
        <f>VLOOKUP(A1899,'Operational Data'!$A$2:$E$201,4,FALSE)</f>
        <v>821.51</v>
      </c>
      <c r="I1899" s="11">
        <f>VLOOKUP(A1899,'Operational Data'!$A$2:$E$201,5,FALSE)</f>
        <v>69.599999999999994</v>
      </c>
      <c r="J1899" s="21">
        <f t="shared" si="29"/>
        <v>0.37858015035333031</v>
      </c>
    </row>
    <row r="1900" spans="1:10" x14ac:dyDescent="0.25">
      <c r="A1900" s="20" t="s">
        <v>106</v>
      </c>
      <c r="B1900" s="20" t="s">
        <v>12</v>
      </c>
      <c r="C1900" s="20" t="s">
        <v>8</v>
      </c>
      <c r="D1900" s="20" t="s">
        <v>14</v>
      </c>
      <c r="E1900" s="20" t="s">
        <v>15</v>
      </c>
      <c r="F1900" s="20">
        <v>666.62</v>
      </c>
      <c r="G1900" s="11">
        <f>VLOOKUP(A1900,'Operational Data'!$A$2:$E$201,3,FALSE)</f>
        <v>21386</v>
      </c>
      <c r="H1900" s="11">
        <f>VLOOKUP(A1900,'Operational Data'!$A$2:$E$201,4,FALSE)</f>
        <v>2271.92</v>
      </c>
      <c r="I1900" s="11">
        <f>VLOOKUP(A1900,'Operational Data'!$A$2:$E$201,5,FALSE)</f>
        <v>49.67</v>
      </c>
      <c r="J1900" s="21">
        <f t="shared" si="29"/>
        <v>3.1170859440755636E-2</v>
      </c>
    </row>
    <row r="1901" spans="1:10" ht="30" x14ac:dyDescent="0.25">
      <c r="A1901" s="20" t="s">
        <v>104</v>
      </c>
      <c r="B1901" s="20" t="s">
        <v>17</v>
      </c>
      <c r="C1901" s="20" t="s">
        <v>8</v>
      </c>
      <c r="D1901" s="20" t="s">
        <v>28</v>
      </c>
      <c r="E1901" s="20" t="s">
        <v>24</v>
      </c>
      <c r="F1901" s="20">
        <v>4848.67</v>
      </c>
      <c r="G1901" s="11">
        <f>VLOOKUP(A1901,'Operational Data'!$A$2:$E$201,3,FALSE)</f>
        <v>16868</v>
      </c>
      <c r="H1901" s="11">
        <f>VLOOKUP(A1901,'Operational Data'!$A$2:$E$201,4,FALSE)</f>
        <v>1378.01</v>
      </c>
      <c r="I1901" s="11">
        <f>VLOOKUP(A1901,'Operational Data'!$A$2:$E$201,5,FALSE)</f>
        <v>47.52</v>
      </c>
      <c r="J1901" s="21">
        <f t="shared" si="29"/>
        <v>0.28744783021105053</v>
      </c>
    </row>
    <row r="1902" spans="1:10" x14ac:dyDescent="0.25">
      <c r="A1902" s="20" t="s">
        <v>181</v>
      </c>
      <c r="B1902" s="20" t="s">
        <v>30</v>
      </c>
      <c r="C1902" s="20" t="s">
        <v>13</v>
      </c>
      <c r="D1902" s="20" t="s">
        <v>28</v>
      </c>
      <c r="E1902" s="20" t="s">
        <v>24</v>
      </c>
      <c r="F1902" s="20">
        <v>965.26</v>
      </c>
      <c r="G1902" s="11">
        <f>VLOOKUP(A1902,'Operational Data'!$A$2:$E$201,3,FALSE)</f>
        <v>28704</v>
      </c>
      <c r="H1902" s="11">
        <f>VLOOKUP(A1902,'Operational Data'!$A$2:$E$201,4,FALSE)</f>
        <v>6009.24</v>
      </c>
      <c r="I1902" s="11">
        <f>VLOOKUP(A1902,'Operational Data'!$A$2:$E$201,5,FALSE)</f>
        <v>39.31</v>
      </c>
      <c r="J1902" s="21">
        <f t="shared" si="29"/>
        <v>3.3628065774804906E-2</v>
      </c>
    </row>
    <row r="1903" spans="1:10" x14ac:dyDescent="0.25">
      <c r="A1903" s="20" t="s">
        <v>102</v>
      </c>
      <c r="B1903" s="20" t="s">
        <v>19</v>
      </c>
      <c r="C1903" s="20" t="s">
        <v>34</v>
      </c>
      <c r="D1903" s="20" t="s">
        <v>9</v>
      </c>
      <c r="E1903" s="20" t="s">
        <v>24</v>
      </c>
      <c r="F1903" s="20">
        <v>3352.8806140000002</v>
      </c>
      <c r="G1903" s="11">
        <f>VLOOKUP(A1903,'Operational Data'!$A$2:$E$201,3,FALSE)</f>
        <v>86263</v>
      </c>
      <c r="H1903" s="11">
        <f>VLOOKUP(A1903,'Operational Data'!$A$2:$E$201,4,FALSE)</f>
        <v>3213.71</v>
      </c>
      <c r="I1903" s="11">
        <f>VLOOKUP(A1903,'Operational Data'!$A$2:$E$201,5,FALSE)</f>
        <v>98.39</v>
      </c>
      <c r="J1903" s="21">
        <f t="shared" si="29"/>
        <v>3.8868119750066661E-2</v>
      </c>
    </row>
    <row r="1904" spans="1:10" x14ac:dyDescent="0.25">
      <c r="A1904" s="20" t="s">
        <v>220</v>
      </c>
      <c r="B1904" s="20" t="s">
        <v>12</v>
      </c>
      <c r="C1904" s="20" t="s">
        <v>23</v>
      </c>
      <c r="D1904" s="20" t="s">
        <v>9</v>
      </c>
      <c r="E1904" s="20" t="s">
        <v>24</v>
      </c>
      <c r="F1904" s="20">
        <v>3960.6895800000002</v>
      </c>
      <c r="G1904" s="11">
        <f>VLOOKUP(A1904,'Operational Data'!$A$2:$E$201,3,FALSE)</f>
        <v>97040</v>
      </c>
      <c r="H1904" s="11">
        <f>VLOOKUP(A1904,'Operational Data'!$A$2:$E$201,4,FALSE)</f>
        <v>5727.14</v>
      </c>
      <c r="I1904" s="11">
        <f>VLOOKUP(A1904,'Operational Data'!$A$2:$E$201,5,FALSE)</f>
        <v>38.19</v>
      </c>
      <c r="J1904" s="21">
        <f t="shared" si="29"/>
        <v>4.0815020403957132E-2</v>
      </c>
    </row>
    <row r="1905" spans="1:10" x14ac:dyDescent="0.25">
      <c r="A1905" s="20" t="s">
        <v>185</v>
      </c>
      <c r="B1905" s="20" t="s">
        <v>30</v>
      </c>
      <c r="C1905" s="20" t="s">
        <v>8</v>
      </c>
      <c r="D1905" s="20" t="s">
        <v>28</v>
      </c>
      <c r="E1905" s="20" t="s">
        <v>24</v>
      </c>
      <c r="F1905" s="20">
        <v>4162.58</v>
      </c>
      <c r="G1905" s="11">
        <f>VLOOKUP(A1905,'Operational Data'!$A$2:$E$201,3,FALSE)</f>
        <v>24913</v>
      </c>
      <c r="H1905" s="11">
        <f>VLOOKUP(A1905,'Operational Data'!$A$2:$E$201,4,FALSE)</f>
        <v>5727.27</v>
      </c>
      <c r="I1905" s="11">
        <f>VLOOKUP(A1905,'Operational Data'!$A$2:$E$201,5,FALSE)</f>
        <v>78.849999999999994</v>
      </c>
      <c r="J1905" s="21">
        <f t="shared" si="29"/>
        <v>0.16708465459800104</v>
      </c>
    </row>
    <row r="1906" spans="1:10" x14ac:dyDescent="0.25">
      <c r="A1906" s="20" t="s">
        <v>132</v>
      </c>
      <c r="B1906" s="20" t="s">
        <v>19</v>
      </c>
      <c r="C1906" s="20" t="s">
        <v>13</v>
      </c>
      <c r="D1906" s="20" t="s">
        <v>28</v>
      </c>
      <c r="E1906" s="20" t="s">
        <v>24</v>
      </c>
      <c r="F1906" s="20">
        <v>3555.25</v>
      </c>
      <c r="G1906" s="11">
        <f>VLOOKUP(A1906,'Operational Data'!$A$2:$E$201,3,FALSE)</f>
        <v>29860</v>
      </c>
      <c r="H1906" s="11">
        <f>VLOOKUP(A1906,'Operational Data'!$A$2:$E$201,4,FALSE)</f>
        <v>3956.23</v>
      </c>
      <c r="I1906" s="11">
        <f>VLOOKUP(A1906,'Operational Data'!$A$2:$E$201,5,FALSE)</f>
        <v>57.5</v>
      </c>
      <c r="J1906" s="21">
        <f t="shared" si="29"/>
        <v>0.11906396517079705</v>
      </c>
    </row>
    <row r="1907" spans="1:10" x14ac:dyDescent="0.25">
      <c r="A1907" s="20" t="s">
        <v>55</v>
      </c>
      <c r="B1907" s="20" t="s">
        <v>12</v>
      </c>
      <c r="C1907" s="20" t="s">
        <v>34</v>
      </c>
      <c r="D1907" s="20" t="s">
        <v>9</v>
      </c>
      <c r="E1907" s="20" t="s">
        <v>24</v>
      </c>
      <c r="F1907" s="20">
        <v>4585.8885039999996</v>
      </c>
      <c r="G1907" s="11">
        <f>VLOOKUP(A1907,'Operational Data'!$A$2:$E$201,3,FALSE)</f>
        <v>38181</v>
      </c>
      <c r="H1907" s="11">
        <f>VLOOKUP(A1907,'Operational Data'!$A$2:$E$201,4,FALSE)</f>
        <v>691.84</v>
      </c>
      <c r="I1907" s="11">
        <f>VLOOKUP(A1907,'Operational Data'!$A$2:$E$201,5,FALSE)</f>
        <v>33.53</v>
      </c>
      <c r="J1907" s="21">
        <f t="shared" si="29"/>
        <v>0.12010917744427856</v>
      </c>
    </row>
    <row r="1908" spans="1:10" ht="30" x14ac:dyDescent="0.25">
      <c r="A1908" s="20" t="s">
        <v>116</v>
      </c>
      <c r="B1908" s="20" t="s">
        <v>17</v>
      </c>
      <c r="C1908" s="20" t="s">
        <v>8</v>
      </c>
      <c r="D1908" s="20" t="s">
        <v>9</v>
      </c>
      <c r="E1908" s="20" t="s">
        <v>24</v>
      </c>
      <c r="F1908" s="20">
        <v>875.52542779999999</v>
      </c>
      <c r="G1908" s="11">
        <f>VLOOKUP(A1908,'Operational Data'!$A$2:$E$201,3,FALSE)</f>
        <v>68216</v>
      </c>
      <c r="H1908" s="11">
        <f>VLOOKUP(A1908,'Operational Data'!$A$2:$E$201,4,FALSE)</f>
        <v>9562.33</v>
      </c>
      <c r="I1908" s="11">
        <f>VLOOKUP(A1908,'Operational Data'!$A$2:$E$201,5,FALSE)</f>
        <v>63.59</v>
      </c>
      <c r="J1908" s="21">
        <f t="shared" si="29"/>
        <v>1.2834605192330244E-2</v>
      </c>
    </row>
    <row r="1909" spans="1:10" x14ac:dyDescent="0.25">
      <c r="A1909" s="20" t="s">
        <v>198</v>
      </c>
      <c r="B1909" s="20" t="s">
        <v>12</v>
      </c>
      <c r="C1909" s="20" t="s">
        <v>8</v>
      </c>
      <c r="D1909" s="20" t="s">
        <v>9</v>
      </c>
      <c r="E1909" s="20" t="s">
        <v>24</v>
      </c>
      <c r="F1909" s="20">
        <v>3686.6816829999998</v>
      </c>
      <c r="G1909" s="11">
        <f>VLOOKUP(A1909,'Operational Data'!$A$2:$E$201,3,FALSE)</f>
        <v>58113</v>
      </c>
      <c r="H1909" s="11">
        <f>VLOOKUP(A1909,'Operational Data'!$A$2:$E$201,4,FALSE)</f>
        <v>6382.12</v>
      </c>
      <c r="I1909" s="11">
        <f>VLOOKUP(A1909,'Operational Data'!$A$2:$E$201,5,FALSE)</f>
        <v>56.66</v>
      </c>
      <c r="J1909" s="21">
        <f t="shared" si="29"/>
        <v>6.3439878908333761E-2</v>
      </c>
    </row>
    <row r="1910" spans="1:10" x14ac:dyDescent="0.25">
      <c r="A1910" s="20" t="s">
        <v>173</v>
      </c>
      <c r="B1910" s="20" t="s">
        <v>30</v>
      </c>
      <c r="C1910" s="20" t="s">
        <v>8</v>
      </c>
      <c r="D1910" s="20" t="s">
        <v>14</v>
      </c>
      <c r="E1910" s="20" t="s">
        <v>24</v>
      </c>
      <c r="F1910" s="20">
        <v>2899.46</v>
      </c>
      <c r="G1910" s="11">
        <f>VLOOKUP(A1910,'Operational Data'!$A$2:$E$201,3,FALSE)</f>
        <v>49620</v>
      </c>
      <c r="H1910" s="11">
        <f>VLOOKUP(A1910,'Operational Data'!$A$2:$E$201,4,FALSE)</f>
        <v>2424.31</v>
      </c>
      <c r="I1910" s="11">
        <f>VLOOKUP(A1910,'Operational Data'!$A$2:$E$201,5,FALSE)</f>
        <v>62.09</v>
      </c>
      <c r="J1910" s="21">
        <f t="shared" si="29"/>
        <v>5.8433293027005243E-2</v>
      </c>
    </row>
    <row r="1911" spans="1:10" x14ac:dyDescent="0.25">
      <c r="A1911" s="20" t="s">
        <v>29</v>
      </c>
      <c r="B1911" s="20" t="s">
        <v>30</v>
      </c>
      <c r="C1911" s="20" t="s">
        <v>23</v>
      </c>
      <c r="D1911" s="20" t="s">
        <v>28</v>
      </c>
      <c r="E1911" s="20" t="s">
        <v>15</v>
      </c>
      <c r="F1911" s="20">
        <v>429.01</v>
      </c>
      <c r="G1911" s="11">
        <f>VLOOKUP(A1911,'Operational Data'!$A$2:$E$201,3,FALSE)</f>
        <v>32131</v>
      </c>
      <c r="H1911" s="11">
        <f>VLOOKUP(A1911,'Operational Data'!$A$2:$E$201,4,FALSE)</f>
        <v>1474.23</v>
      </c>
      <c r="I1911" s="11">
        <f>VLOOKUP(A1911,'Operational Data'!$A$2:$E$201,5,FALSE)</f>
        <v>45.47</v>
      </c>
      <c r="J1911" s="21">
        <f t="shared" si="29"/>
        <v>1.3351903146494039E-2</v>
      </c>
    </row>
    <row r="1912" spans="1:10" ht="30" x14ac:dyDescent="0.25">
      <c r="A1912" s="20" t="s">
        <v>116</v>
      </c>
      <c r="B1912" s="20" t="s">
        <v>17</v>
      </c>
      <c r="C1912" s="20" t="s">
        <v>13</v>
      </c>
      <c r="D1912" s="20" t="s">
        <v>9</v>
      </c>
      <c r="E1912" s="20" t="s">
        <v>10</v>
      </c>
      <c r="F1912" s="20">
        <v>1770.1852530000001</v>
      </c>
      <c r="G1912" s="11">
        <f>VLOOKUP(A1912,'Operational Data'!$A$2:$E$201,3,FALSE)</f>
        <v>68216</v>
      </c>
      <c r="H1912" s="11">
        <f>VLOOKUP(A1912,'Operational Data'!$A$2:$E$201,4,FALSE)</f>
        <v>9562.33</v>
      </c>
      <c r="I1912" s="11">
        <f>VLOOKUP(A1912,'Operational Data'!$A$2:$E$201,5,FALSE)</f>
        <v>63.59</v>
      </c>
      <c r="J1912" s="21">
        <f t="shared" si="29"/>
        <v>2.5949707590594583E-2</v>
      </c>
    </row>
    <row r="1913" spans="1:10" x14ac:dyDescent="0.25">
      <c r="A1913" s="20" t="s">
        <v>71</v>
      </c>
      <c r="B1913" s="20" t="s">
        <v>7</v>
      </c>
      <c r="C1913" s="20" t="s">
        <v>23</v>
      </c>
      <c r="D1913" s="20" t="s">
        <v>28</v>
      </c>
      <c r="E1913" s="20" t="s">
        <v>15</v>
      </c>
      <c r="F1913" s="20">
        <v>2143.0300000000002</v>
      </c>
      <c r="G1913" s="11">
        <f>VLOOKUP(A1913,'Operational Data'!$A$2:$E$201,3,FALSE)</f>
        <v>68018</v>
      </c>
      <c r="H1913" s="11">
        <f>VLOOKUP(A1913,'Operational Data'!$A$2:$E$201,4,FALSE)</f>
        <v>3523.4</v>
      </c>
      <c r="I1913" s="11">
        <f>VLOOKUP(A1913,'Operational Data'!$A$2:$E$201,5,FALSE)</f>
        <v>92.26</v>
      </c>
      <c r="J1913" s="21">
        <f t="shared" si="29"/>
        <v>3.1506807021670739E-2</v>
      </c>
    </row>
    <row r="1914" spans="1:10" x14ac:dyDescent="0.25">
      <c r="A1914" s="20" t="s">
        <v>40</v>
      </c>
      <c r="B1914" s="20" t="s">
        <v>19</v>
      </c>
      <c r="C1914" s="20" t="s">
        <v>8</v>
      </c>
      <c r="D1914" s="20" t="s">
        <v>14</v>
      </c>
      <c r="E1914" s="20" t="s">
        <v>15</v>
      </c>
      <c r="F1914" s="20">
        <v>81.83</v>
      </c>
      <c r="G1914" s="11">
        <f>VLOOKUP(A1914,'Operational Data'!$A$2:$E$201,3,FALSE)</f>
        <v>96474</v>
      </c>
      <c r="H1914" s="11">
        <f>VLOOKUP(A1914,'Operational Data'!$A$2:$E$201,4,FALSE)</f>
        <v>7574.39</v>
      </c>
      <c r="I1914" s="11">
        <f>VLOOKUP(A1914,'Operational Data'!$A$2:$E$201,5,FALSE)</f>
        <v>95.54</v>
      </c>
      <c r="J1914" s="21">
        <f t="shared" si="29"/>
        <v>8.482078072848643E-4</v>
      </c>
    </row>
    <row r="1915" spans="1:10" ht="30" x14ac:dyDescent="0.25">
      <c r="A1915" s="20" t="s">
        <v>133</v>
      </c>
      <c r="B1915" s="20" t="s">
        <v>17</v>
      </c>
      <c r="C1915" s="20" t="s">
        <v>23</v>
      </c>
      <c r="D1915" s="20" t="s">
        <v>9</v>
      </c>
      <c r="E1915" s="20" t="s">
        <v>24</v>
      </c>
      <c r="F1915" s="20">
        <v>2577.6</v>
      </c>
      <c r="G1915" s="11">
        <f>VLOOKUP(A1915,'Operational Data'!$A$2:$E$201,3,FALSE)</f>
        <v>48501</v>
      </c>
      <c r="H1915" s="11">
        <f>VLOOKUP(A1915,'Operational Data'!$A$2:$E$201,4,FALSE)</f>
        <v>7209.77</v>
      </c>
      <c r="I1915" s="11">
        <f>VLOOKUP(A1915,'Operational Data'!$A$2:$E$201,5,FALSE)</f>
        <v>92.51</v>
      </c>
      <c r="J1915" s="21">
        <f t="shared" si="29"/>
        <v>5.3145295973278897E-2</v>
      </c>
    </row>
    <row r="1916" spans="1:10" x14ac:dyDescent="0.25">
      <c r="A1916" s="20" t="s">
        <v>60</v>
      </c>
      <c r="B1916" s="20" t="s">
        <v>12</v>
      </c>
      <c r="C1916" s="20" t="s">
        <v>8</v>
      </c>
      <c r="D1916" s="20" t="s">
        <v>9</v>
      </c>
      <c r="E1916" s="20" t="s">
        <v>15</v>
      </c>
      <c r="F1916" s="20">
        <v>5027.8617039999999</v>
      </c>
      <c r="G1916" s="11">
        <f>VLOOKUP(A1916,'Operational Data'!$A$2:$E$201,3,FALSE)</f>
        <v>25148</v>
      </c>
      <c r="H1916" s="11">
        <f>VLOOKUP(A1916,'Operational Data'!$A$2:$E$201,4,FALSE)</f>
        <v>9604.5499999999993</v>
      </c>
      <c r="I1916" s="11">
        <f>VLOOKUP(A1916,'Operational Data'!$A$2:$E$201,5,FALSE)</f>
        <v>63.47</v>
      </c>
      <c r="J1916" s="21">
        <f t="shared" si="29"/>
        <v>0.19993087736599333</v>
      </c>
    </row>
    <row r="1917" spans="1:10" x14ac:dyDescent="0.25">
      <c r="A1917" s="20" t="s">
        <v>124</v>
      </c>
      <c r="B1917" s="20" t="s">
        <v>12</v>
      </c>
      <c r="C1917" s="20" t="s">
        <v>23</v>
      </c>
      <c r="D1917" s="20" t="s">
        <v>28</v>
      </c>
      <c r="E1917" s="20" t="s">
        <v>15</v>
      </c>
      <c r="F1917" s="20">
        <v>3269.61</v>
      </c>
      <c r="G1917" s="11">
        <f>VLOOKUP(A1917,'Operational Data'!$A$2:$E$201,3,FALSE)</f>
        <v>47491</v>
      </c>
      <c r="H1917" s="11">
        <f>VLOOKUP(A1917,'Operational Data'!$A$2:$E$201,4,FALSE)</f>
        <v>5781.05</v>
      </c>
      <c r="I1917" s="11">
        <f>VLOOKUP(A1917,'Operational Data'!$A$2:$E$201,5,FALSE)</f>
        <v>92.18</v>
      </c>
      <c r="J1917" s="21">
        <f t="shared" si="29"/>
        <v>6.8846939420100658E-2</v>
      </c>
    </row>
    <row r="1918" spans="1:10" x14ac:dyDescent="0.25">
      <c r="A1918" s="20" t="s">
        <v>198</v>
      </c>
      <c r="B1918" s="20" t="s">
        <v>12</v>
      </c>
      <c r="C1918" s="20" t="s">
        <v>13</v>
      </c>
      <c r="D1918" s="20" t="s">
        <v>9</v>
      </c>
      <c r="E1918" s="20" t="s">
        <v>10</v>
      </c>
      <c r="F1918" s="20">
        <v>3769.6593710000002</v>
      </c>
      <c r="G1918" s="11">
        <f>VLOOKUP(A1918,'Operational Data'!$A$2:$E$201,3,FALSE)</f>
        <v>58113</v>
      </c>
      <c r="H1918" s="11">
        <f>VLOOKUP(A1918,'Operational Data'!$A$2:$E$201,4,FALSE)</f>
        <v>6382.12</v>
      </c>
      <c r="I1918" s="11">
        <f>VLOOKUP(A1918,'Operational Data'!$A$2:$E$201,5,FALSE)</f>
        <v>56.66</v>
      </c>
      <c r="J1918" s="21">
        <f t="shared" si="29"/>
        <v>6.4867746820849045E-2</v>
      </c>
    </row>
    <row r="1919" spans="1:10" x14ac:dyDescent="0.25">
      <c r="A1919" s="20" t="s">
        <v>180</v>
      </c>
      <c r="B1919" s="20" t="s">
        <v>30</v>
      </c>
      <c r="C1919" s="20" t="s">
        <v>23</v>
      </c>
      <c r="D1919" s="20" t="s">
        <v>14</v>
      </c>
      <c r="E1919" s="20" t="s">
        <v>10</v>
      </c>
      <c r="F1919" s="20">
        <v>3970.3</v>
      </c>
      <c r="G1919" s="11">
        <f>VLOOKUP(A1919,'Operational Data'!$A$2:$E$201,3,FALSE)</f>
        <v>72846</v>
      </c>
      <c r="H1919" s="11">
        <f>VLOOKUP(A1919,'Operational Data'!$A$2:$E$201,4,FALSE)</f>
        <v>5169.53</v>
      </c>
      <c r="I1919" s="11">
        <f>VLOOKUP(A1919,'Operational Data'!$A$2:$E$201,5,FALSE)</f>
        <v>76.709999999999994</v>
      </c>
      <c r="J1919" s="21">
        <f t="shared" si="29"/>
        <v>5.4502649424813997E-2</v>
      </c>
    </row>
    <row r="1920" spans="1:10" ht="30" x14ac:dyDescent="0.25">
      <c r="A1920" s="20" t="s">
        <v>131</v>
      </c>
      <c r="B1920" s="20" t="s">
        <v>17</v>
      </c>
      <c r="C1920" s="20" t="s">
        <v>23</v>
      </c>
      <c r="D1920" s="20" t="s">
        <v>14</v>
      </c>
      <c r="E1920" s="20" t="s">
        <v>10</v>
      </c>
      <c r="F1920" s="20">
        <v>2665.16</v>
      </c>
      <c r="G1920" s="11">
        <f>VLOOKUP(A1920,'Operational Data'!$A$2:$E$201,3,FALSE)</f>
        <v>94128</v>
      </c>
      <c r="H1920" s="11">
        <f>VLOOKUP(A1920,'Operational Data'!$A$2:$E$201,4,FALSE)</f>
        <v>8117.82</v>
      </c>
      <c r="I1920" s="11">
        <f>VLOOKUP(A1920,'Operational Data'!$A$2:$E$201,5,FALSE)</f>
        <v>73.83</v>
      </c>
      <c r="J1920" s="21">
        <f t="shared" si="29"/>
        <v>2.8314210436851946E-2</v>
      </c>
    </row>
    <row r="1921" spans="1:10" x14ac:dyDescent="0.25">
      <c r="A1921" s="20" t="s">
        <v>182</v>
      </c>
      <c r="B1921" s="20" t="s">
        <v>12</v>
      </c>
      <c r="C1921" s="20" t="s">
        <v>23</v>
      </c>
      <c r="D1921" s="20" t="s">
        <v>14</v>
      </c>
      <c r="E1921" s="20" t="s">
        <v>24</v>
      </c>
      <c r="F1921" s="20">
        <v>374.88</v>
      </c>
      <c r="G1921" s="11">
        <f>VLOOKUP(A1921,'Operational Data'!$A$2:$E$201,3,FALSE)</f>
        <v>21081</v>
      </c>
      <c r="H1921" s="11">
        <f>VLOOKUP(A1921,'Operational Data'!$A$2:$E$201,4,FALSE)</f>
        <v>9001.77</v>
      </c>
      <c r="I1921" s="11">
        <f>VLOOKUP(A1921,'Operational Data'!$A$2:$E$201,5,FALSE)</f>
        <v>49.27</v>
      </c>
      <c r="J1921" s="21">
        <f t="shared" si="29"/>
        <v>1.7782837626298561E-2</v>
      </c>
    </row>
    <row r="1922" spans="1:10" x14ac:dyDescent="0.25">
      <c r="A1922" s="20" t="s">
        <v>214</v>
      </c>
      <c r="B1922" s="20" t="s">
        <v>30</v>
      </c>
      <c r="C1922" s="20" t="s">
        <v>13</v>
      </c>
      <c r="D1922" s="20" t="s">
        <v>9</v>
      </c>
      <c r="E1922" s="20" t="s">
        <v>10</v>
      </c>
      <c r="F1922" s="20">
        <v>1106.076894</v>
      </c>
      <c r="G1922" s="11">
        <f>VLOOKUP(A1922,'Operational Data'!$A$2:$E$201,3,FALSE)</f>
        <v>79330</v>
      </c>
      <c r="H1922" s="11">
        <f>VLOOKUP(A1922,'Operational Data'!$A$2:$E$201,4,FALSE)</f>
        <v>6075.23</v>
      </c>
      <c r="I1922" s="11">
        <f>VLOOKUP(A1922,'Operational Data'!$A$2:$E$201,5,FALSE)</f>
        <v>83.97</v>
      </c>
      <c r="J1922" s="21">
        <f t="shared" si="29"/>
        <v>1.3942731551745873E-2</v>
      </c>
    </row>
    <row r="1923" spans="1:10" ht="30" x14ac:dyDescent="0.25">
      <c r="A1923" s="20" t="s">
        <v>207</v>
      </c>
      <c r="B1923" s="20" t="s">
        <v>17</v>
      </c>
      <c r="C1923" s="20" t="s">
        <v>8</v>
      </c>
      <c r="D1923" s="20" t="s">
        <v>9</v>
      </c>
      <c r="E1923" s="20" t="s">
        <v>15</v>
      </c>
      <c r="F1923" s="20">
        <v>2876.4781170000001</v>
      </c>
      <c r="G1923" s="11">
        <f>VLOOKUP(A1923,'Operational Data'!$A$2:$E$201,3,FALSE)</f>
        <v>99115</v>
      </c>
      <c r="H1923" s="11">
        <f>VLOOKUP(A1923,'Operational Data'!$A$2:$E$201,4,FALSE)</f>
        <v>827.26</v>
      </c>
      <c r="I1923" s="11">
        <f>VLOOKUP(A1923,'Operational Data'!$A$2:$E$201,5,FALSE)</f>
        <v>28.88</v>
      </c>
      <c r="J1923" s="21">
        <f t="shared" ref="J1923:J1986" si="30">F1923/G1923</f>
        <v>2.902162252938506E-2</v>
      </c>
    </row>
    <row r="1924" spans="1:10" x14ac:dyDescent="0.25">
      <c r="A1924" s="20" t="s">
        <v>67</v>
      </c>
      <c r="B1924" s="20" t="s">
        <v>7</v>
      </c>
      <c r="C1924" s="20" t="s">
        <v>34</v>
      </c>
      <c r="D1924" s="20" t="s">
        <v>14</v>
      </c>
      <c r="E1924" s="20" t="s">
        <v>24</v>
      </c>
      <c r="F1924" s="20">
        <v>4394.3599999999997</v>
      </c>
      <c r="G1924" s="11">
        <f>VLOOKUP(A1924,'Operational Data'!$A$2:$E$201,3,FALSE)</f>
        <v>70582</v>
      </c>
      <c r="H1924" s="11">
        <f>VLOOKUP(A1924,'Operational Data'!$A$2:$E$201,4,FALSE)</f>
        <v>7517.59</v>
      </c>
      <c r="I1924" s="11">
        <f>VLOOKUP(A1924,'Operational Data'!$A$2:$E$201,5,FALSE)</f>
        <v>95.71</v>
      </c>
      <c r="J1924" s="21">
        <f t="shared" si="30"/>
        <v>6.2258932872403722E-2</v>
      </c>
    </row>
    <row r="1925" spans="1:10" x14ac:dyDescent="0.25">
      <c r="A1925" s="20" t="s">
        <v>191</v>
      </c>
      <c r="B1925" s="20" t="s">
        <v>12</v>
      </c>
      <c r="C1925" s="20" t="s">
        <v>34</v>
      </c>
      <c r="D1925" s="20" t="s">
        <v>28</v>
      </c>
      <c r="E1925" s="20" t="s">
        <v>10</v>
      </c>
      <c r="F1925" s="20">
        <v>3682.56</v>
      </c>
      <c r="G1925" s="11">
        <f>VLOOKUP(A1925,'Operational Data'!$A$2:$E$201,3,FALSE)</f>
        <v>43346</v>
      </c>
      <c r="H1925" s="11">
        <f>VLOOKUP(A1925,'Operational Data'!$A$2:$E$201,4,FALSE)</f>
        <v>5559.12</v>
      </c>
      <c r="I1925" s="11">
        <f>VLOOKUP(A1925,'Operational Data'!$A$2:$E$201,5,FALSE)</f>
        <v>39.4</v>
      </c>
      <c r="J1925" s="21">
        <f t="shared" si="30"/>
        <v>8.4957320167950906E-2</v>
      </c>
    </row>
    <row r="1926" spans="1:10" x14ac:dyDescent="0.25">
      <c r="A1926" s="20" t="s">
        <v>179</v>
      </c>
      <c r="B1926" s="20" t="s">
        <v>7</v>
      </c>
      <c r="C1926" s="20" t="s">
        <v>23</v>
      </c>
      <c r="D1926" s="20" t="s">
        <v>14</v>
      </c>
      <c r="E1926" s="20" t="s">
        <v>24</v>
      </c>
      <c r="F1926" s="20">
        <v>2576.87</v>
      </c>
      <c r="G1926" s="11">
        <f>VLOOKUP(A1926,'Operational Data'!$A$2:$E$201,3,FALSE)</f>
        <v>94393</v>
      </c>
      <c r="H1926" s="11">
        <f>VLOOKUP(A1926,'Operational Data'!$A$2:$E$201,4,FALSE)</f>
        <v>6691.7</v>
      </c>
      <c r="I1926" s="11">
        <f>VLOOKUP(A1926,'Operational Data'!$A$2:$E$201,5,FALSE)</f>
        <v>74.790000000000006</v>
      </c>
      <c r="J1926" s="21">
        <f t="shared" si="30"/>
        <v>2.7299376013051813E-2</v>
      </c>
    </row>
    <row r="1927" spans="1:10" x14ac:dyDescent="0.25">
      <c r="A1927" s="20" t="s">
        <v>217</v>
      </c>
      <c r="B1927" s="20" t="s">
        <v>19</v>
      </c>
      <c r="C1927" s="20" t="s">
        <v>23</v>
      </c>
      <c r="D1927" s="20" t="s">
        <v>14</v>
      </c>
      <c r="E1927" s="20" t="s">
        <v>15</v>
      </c>
      <c r="F1927" s="20">
        <v>4625.6000000000004</v>
      </c>
      <c r="G1927" s="11">
        <f>VLOOKUP(A1927,'Operational Data'!$A$2:$E$201,3,FALSE)</f>
        <v>80824</v>
      </c>
      <c r="H1927" s="11">
        <f>VLOOKUP(A1927,'Operational Data'!$A$2:$E$201,4,FALSE)</f>
        <v>2858.92</v>
      </c>
      <c r="I1927" s="11">
        <f>VLOOKUP(A1927,'Operational Data'!$A$2:$E$201,5,FALSE)</f>
        <v>13.97</v>
      </c>
      <c r="J1927" s="21">
        <f t="shared" si="30"/>
        <v>5.7230525586459469E-2</v>
      </c>
    </row>
    <row r="1928" spans="1:10" x14ac:dyDescent="0.25">
      <c r="A1928" s="20" t="s">
        <v>161</v>
      </c>
      <c r="B1928" s="20" t="s">
        <v>7</v>
      </c>
      <c r="C1928" s="20" t="s">
        <v>23</v>
      </c>
      <c r="D1928" s="20" t="s">
        <v>14</v>
      </c>
      <c r="E1928" s="20" t="s">
        <v>24</v>
      </c>
      <c r="F1928" s="20">
        <v>3554.21</v>
      </c>
      <c r="G1928" s="11">
        <f>VLOOKUP(A1928,'Operational Data'!$A$2:$E$201,3,FALSE)</f>
        <v>15788</v>
      </c>
      <c r="H1928" s="11">
        <f>VLOOKUP(A1928,'Operational Data'!$A$2:$E$201,4,FALSE)</f>
        <v>1824.14</v>
      </c>
      <c r="I1928" s="11">
        <f>VLOOKUP(A1928,'Operational Data'!$A$2:$E$201,5,FALSE)</f>
        <v>52.78</v>
      </c>
      <c r="J1928" s="21">
        <f t="shared" si="30"/>
        <v>0.22512097795794275</v>
      </c>
    </row>
    <row r="1929" spans="1:10" x14ac:dyDescent="0.25">
      <c r="A1929" s="20" t="s">
        <v>209</v>
      </c>
      <c r="B1929" s="20" t="s">
        <v>7</v>
      </c>
      <c r="C1929" s="20" t="s">
        <v>34</v>
      </c>
      <c r="D1929" s="20" t="s">
        <v>14</v>
      </c>
      <c r="E1929" s="20" t="s">
        <v>24</v>
      </c>
      <c r="F1929" s="20">
        <v>2525.88</v>
      </c>
      <c r="G1929" s="11">
        <f>VLOOKUP(A1929,'Operational Data'!$A$2:$E$201,3,FALSE)</f>
        <v>52357</v>
      </c>
      <c r="H1929" s="11">
        <f>VLOOKUP(A1929,'Operational Data'!$A$2:$E$201,4,FALSE)</f>
        <v>5643.16</v>
      </c>
      <c r="I1929" s="11">
        <f>VLOOKUP(A1929,'Operational Data'!$A$2:$E$201,5,FALSE)</f>
        <v>37.130000000000003</v>
      </c>
      <c r="J1929" s="21">
        <f t="shared" si="30"/>
        <v>4.824340584831064E-2</v>
      </c>
    </row>
    <row r="1930" spans="1:10" ht="30" x14ac:dyDescent="0.25">
      <c r="A1930" s="20" t="s">
        <v>76</v>
      </c>
      <c r="B1930" s="20" t="s">
        <v>17</v>
      </c>
      <c r="C1930" s="20" t="s">
        <v>8</v>
      </c>
      <c r="D1930" s="20" t="s">
        <v>9</v>
      </c>
      <c r="E1930" s="20" t="s">
        <v>15</v>
      </c>
      <c r="F1930" s="20">
        <v>2134.7955550000001</v>
      </c>
      <c r="G1930" s="11">
        <f>VLOOKUP(A1930,'Operational Data'!$A$2:$E$201,3,FALSE)</f>
        <v>59617</v>
      </c>
      <c r="H1930" s="11">
        <f>VLOOKUP(A1930,'Operational Data'!$A$2:$E$201,4,FALSE)</f>
        <v>5000.95</v>
      </c>
      <c r="I1930" s="11">
        <f>VLOOKUP(A1930,'Operational Data'!$A$2:$E$201,5,FALSE)</f>
        <v>80.36</v>
      </c>
      <c r="J1930" s="21">
        <f t="shared" si="30"/>
        <v>3.5808503530872067E-2</v>
      </c>
    </row>
    <row r="1931" spans="1:10" ht="30" x14ac:dyDescent="0.25">
      <c r="A1931" s="20" t="s">
        <v>80</v>
      </c>
      <c r="B1931" s="20" t="s">
        <v>17</v>
      </c>
      <c r="C1931" s="20" t="s">
        <v>34</v>
      </c>
      <c r="D1931" s="20" t="s">
        <v>28</v>
      </c>
      <c r="E1931" s="20" t="s">
        <v>10</v>
      </c>
      <c r="F1931" s="20">
        <v>798.55</v>
      </c>
      <c r="G1931" s="11">
        <f>VLOOKUP(A1931,'Operational Data'!$A$2:$E$201,3,FALSE)</f>
        <v>75508</v>
      </c>
      <c r="H1931" s="11">
        <f>VLOOKUP(A1931,'Operational Data'!$A$2:$E$201,4,FALSE)</f>
        <v>6856.22</v>
      </c>
      <c r="I1931" s="11">
        <f>VLOOKUP(A1931,'Operational Data'!$A$2:$E$201,5,FALSE)</f>
        <v>18.2</v>
      </c>
      <c r="J1931" s="21">
        <f t="shared" si="30"/>
        <v>1.0575700588017163E-2</v>
      </c>
    </row>
    <row r="1932" spans="1:10" ht="30" x14ac:dyDescent="0.25">
      <c r="A1932" s="20" t="s">
        <v>207</v>
      </c>
      <c r="B1932" s="20" t="s">
        <v>17</v>
      </c>
      <c r="C1932" s="20" t="s">
        <v>8</v>
      </c>
      <c r="D1932" s="20" t="s">
        <v>28</v>
      </c>
      <c r="E1932" s="20" t="s">
        <v>24</v>
      </c>
      <c r="F1932" s="20">
        <v>4426.58</v>
      </c>
      <c r="G1932" s="11">
        <f>VLOOKUP(A1932,'Operational Data'!$A$2:$E$201,3,FALSE)</f>
        <v>99115</v>
      </c>
      <c r="H1932" s="11">
        <f>VLOOKUP(A1932,'Operational Data'!$A$2:$E$201,4,FALSE)</f>
        <v>827.26</v>
      </c>
      <c r="I1932" s="11">
        <f>VLOOKUP(A1932,'Operational Data'!$A$2:$E$201,5,FALSE)</f>
        <v>28.88</v>
      </c>
      <c r="J1932" s="21">
        <f t="shared" si="30"/>
        <v>4.4661050295111741E-2</v>
      </c>
    </row>
    <row r="1933" spans="1:10" x14ac:dyDescent="0.25">
      <c r="A1933" s="20" t="s">
        <v>84</v>
      </c>
      <c r="B1933" s="20" t="s">
        <v>30</v>
      </c>
      <c r="C1933" s="20" t="s">
        <v>34</v>
      </c>
      <c r="D1933" s="20" t="s">
        <v>14</v>
      </c>
      <c r="E1933" s="20" t="s">
        <v>15</v>
      </c>
      <c r="F1933" s="20">
        <v>2921.55</v>
      </c>
      <c r="G1933" s="11">
        <f>VLOOKUP(A1933,'Operational Data'!$A$2:$E$201,3,FALSE)</f>
        <v>85444</v>
      </c>
      <c r="H1933" s="11">
        <f>VLOOKUP(A1933,'Operational Data'!$A$2:$E$201,4,FALSE)</f>
        <v>852.57</v>
      </c>
      <c r="I1933" s="11">
        <f>VLOOKUP(A1933,'Operational Data'!$A$2:$E$201,5,FALSE)</f>
        <v>72.650000000000006</v>
      </c>
      <c r="J1933" s="21">
        <f t="shared" si="30"/>
        <v>3.4192570572538744E-2</v>
      </c>
    </row>
    <row r="1934" spans="1:10" x14ac:dyDescent="0.25">
      <c r="A1934" s="20" t="s">
        <v>176</v>
      </c>
      <c r="B1934" s="20" t="s">
        <v>19</v>
      </c>
      <c r="C1934" s="20" t="s">
        <v>34</v>
      </c>
      <c r="D1934" s="20" t="s">
        <v>14</v>
      </c>
      <c r="E1934" s="20" t="s">
        <v>24</v>
      </c>
      <c r="F1934" s="20">
        <v>1534.55</v>
      </c>
      <c r="G1934" s="11">
        <f>VLOOKUP(A1934,'Operational Data'!$A$2:$E$201,3,FALSE)</f>
        <v>10907</v>
      </c>
      <c r="H1934" s="11">
        <f>VLOOKUP(A1934,'Operational Data'!$A$2:$E$201,4,FALSE)</f>
        <v>4748.66</v>
      </c>
      <c r="I1934" s="11">
        <f>VLOOKUP(A1934,'Operational Data'!$A$2:$E$201,5,FALSE)</f>
        <v>39.36</v>
      </c>
      <c r="J1934" s="21">
        <f t="shared" si="30"/>
        <v>0.14069404969285779</v>
      </c>
    </row>
    <row r="1935" spans="1:10" x14ac:dyDescent="0.25">
      <c r="A1935" s="20" t="s">
        <v>11</v>
      </c>
      <c r="B1935" s="20" t="s">
        <v>12</v>
      </c>
      <c r="C1935" s="20" t="s">
        <v>13</v>
      </c>
      <c r="D1935" s="20" t="s">
        <v>9</v>
      </c>
      <c r="E1935" s="20" t="s">
        <v>15</v>
      </c>
      <c r="F1935" s="20">
        <v>3062.3459630000002</v>
      </c>
      <c r="G1935" s="11">
        <f>VLOOKUP(A1935,'Operational Data'!$A$2:$E$201,3,FALSE)</f>
        <v>44657</v>
      </c>
      <c r="H1935" s="11">
        <f>VLOOKUP(A1935,'Operational Data'!$A$2:$E$201,4,FALSE)</f>
        <v>7867.98</v>
      </c>
      <c r="I1935" s="11">
        <f>VLOOKUP(A1935,'Operational Data'!$A$2:$E$201,5,FALSE)</f>
        <v>96.01</v>
      </c>
      <c r="J1935" s="21">
        <f t="shared" si="30"/>
        <v>6.8574825066618897E-2</v>
      </c>
    </row>
    <row r="1936" spans="1:10" x14ac:dyDescent="0.25">
      <c r="A1936" s="20" t="s">
        <v>185</v>
      </c>
      <c r="B1936" s="20" t="s">
        <v>30</v>
      </c>
      <c r="C1936" s="20" t="s">
        <v>8</v>
      </c>
      <c r="D1936" s="20" t="s">
        <v>9</v>
      </c>
      <c r="E1936" s="20" t="s">
        <v>15</v>
      </c>
      <c r="F1936" s="20">
        <v>1828.37</v>
      </c>
      <c r="G1936" s="11">
        <f>VLOOKUP(A1936,'Operational Data'!$A$2:$E$201,3,FALSE)</f>
        <v>24913</v>
      </c>
      <c r="H1936" s="11">
        <f>VLOOKUP(A1936,'Operational Data'!$A$2:$E$201,4,FALSE)</f>
        <v>5727.27</v>
      </c>
      <c r="I1936" s="11">
        <f>VLOOKUP(A1936,'Operational Data'!$A$2:$E$201,5,FALSE)</f>
        <v>78.849999999999994</v>
      </c>
      <c r="J1936" s="21">
        <f t="shared" si="30"/>
        <v>7.3390197888652503E-2</v>
      </c>
    </row>
    <row r="1937" spans="1:10" x14ac:dyDescent="0.25">
      <c r="A1937" s="20" t="s">
        <v>181</v>
      </c>
      <c r="B1937" s="20" t="s">
        <v>30</v>
      </c>
      <c r="C1937" s="20" t="s">
        <v>8</v>
      </c>
      <c r="D1937" s="20" t="s">
        <v>9</v>
      </c>
      <c r="E1937" s="20" t="s">
        <v>15</v>
      </c>
      <c r="F1937" s="20">
        <v>2945.0437750000001</v>
      </c>
      <c r="G1937" s="11">
        <f>VLOOKUP(A1937,'Operational Data'!$A$2:$E$201,3,FALSE)</f>
        <v>28704</v>
      </c>
      <c r="H1937" s="11">
        <f>VLOOKUP(A1937,'Operational Data'!$A$2:$E$201,4,FALSE)</f>
        <v>6009.24</v>
      </c>
      <c r="I1937" s="11">
        <f>VLOOKUP(A1937,'Operational Data'!$A$2:$E$201,5,FALSE)</f>
        <v>39.31</v>
      </c>
      <c r="J1937" s="21">
        <f t="shared" si="30"/>
        <v>0.102600465962932</v>
      </c>
    </row>
    <row r="1938" spans="1:10" x14ac:dyDescent="0.25">
      <c r="A1938" s="20" t="s">
        <v>29</v>
      </c>
      <c r="B1938" s="20" t="s">
        <v>30</v>
      </c>
      <c r="C1938" s="20" t="s">
        <v>34</v>
      </c>
      <c r="D1938" s="20" t="s">
        <v>28</v>
      </c>
      <c r="E1938" s="20" t="s">
        <v>10</v>
      </c>
      <c r="F1938" s="20">
        <v>2905.61</v>
      </c>
      <c r="G1938" s="11">
        <f>VLOOKUP(A1938,'Operational Data'!$A$2:$E$201,3,FALSE)</f>
        <v>32131</v>
      </c>
      <c r="H1938" s="11">
        <f>VLOOKUP(A1938,'Operational Data'!$A$2:$E$201,4,FALSE)</f>
        <v>1474.23</v>
      </c>
      <c r="I1938" s="11">
        <f>VLOOKUP(A1938,'Operational Data'!$A$2:$E$201,5,FALSE)</f>
        <v>45.47</v>
      </c>
      <c r="J1938" s="21">
        <f t="shared" si="30"/>
        <v>9.0430114219912233E-2</v>
      </c>
    </row>
    <row r="1939" spans="1:10" ht="30" x14ac:dyDescent="0.25">
      <c r="A1939" s="20" t="s">
        <v>199</v>
      </c>
      <c r="B1939" s="20" t="s">
        <v>17</v>
      </c>
      <c r="C1939" s="20" t="s">
        <v>23</v>
      </c>
      <c r="D1939" s="20" t="s">
        <v>28</v>
      </c>
      <c r="E1939" s="20" t="s">
        <v>24</v>
      </c>
      <c r="F1939" s="20">
        <v>3354.34</v>
      </c>
      <c r="G1939" s="11">
        <f>VLOOKUP(A1939,'Operational Data'!$A$2:$E$201,3,FALSE)</f>
        <v>77317</v>
      </c>
      <c r="H1939" s="11">
        <f>VLOOKUP(A1939,'Operational Data'!$A$2:$E$201,4,FALSE)</f>
        <v>4862.95</v>
      </c>
      <c r="I1939" s="11">
        <f>VLOOKUP(A1939,'Operational Data'!$A$2:$E$201,5,FALSE)</f>
        <v>89.78</v>
      </c>
      <c r="J1939" s="21">
        <f t="shared" si="30"/>
        <v>4.3384249259541888E-2</v>
      </c>
    </row>
    <row r="1940" spans="1:10" ht="30" x14ac:dyDescent="0.25">
      <c r="A1940" s="20" t="s">
        <v>168</v>
      </c>
      <c r="B1940" s="20" t="s">
        <v>17</v>
      </c>
      <c r="C1940" s="20" t="s">
        <v>23</v>
      </c>
      <c r="D1940" s="20" t="s">
        <v>14</v>
      </c>
      <c r="E1940" s="20" t="s">
        <v>10</v>
      </c>
      <c r="F1940" s="20">
        <v>4622.8599999999997</v>
      </c>
      <c r="G1940" s="11">
        <f>VLOOKUP(A1940,'Operational Data'!$A$2:$E$201,3,FALSE)</f>
        <v>41050</v>
      </c>
      <c r="H1940" s="11">
        <f>VLOOKUP(A1940,'Operational Data'!$A$2:$E$201,4,FALSE)</f>
        <v>6025.84</v>
      </c>
      <c r="I1940" s="11">
        <f>VLOOKUP(A1940,'Operational Data'!$A$2:$E$201,5,FALSE)</f>
        <v>53.53</v>
      </c>
      <c r="J1940" s="21">
        <f t="shared" si="30"/>
        <v>0.11261534713763702</v>
      </c>
    </row>
    <row r="1941" spans="1:10" x14ac:dyDescent="0.25">
      <c r="A1941" s="20" t="s">
        <v>97</v>
      </c>
      <c r="B1941" s="20" t="s">
        <v>7</v>
      </c>
      <c r="C1941" s="20" t="s">
        <v>13</v>
      </c>
      <c r="D1941" s="20" t="s">
        <v>9</v>
      </c>
      <c r="E1941" s="20" t="s">
        <v>24</v>
      </c>
      <c r="F1941" s="20">
        <v>4374</v>
      </c>
      <c r="G1941" s="11">
        <f>VLOOKUP(A1941,'Operational Data'!$A$2:$E$201,3,FALSE)</f>
        <v>78624</v>
      </c>
      <c r="H1941" s="11">
        <f>VLOOKUP(A1941,'Operational Data'!$A$2:$E$201,4,FALSE)</f>
        <v>2373.27</v>
      </c>
      <c r="I1941" s="11">
        <f>VLOOKUP(A1941,'Operational Data'!$A$2:$E$201,5,FALSE)</f>
        <v>25.07</v>
      </c>
      <c r="J1941" s="21">
        <f t="shared" si="30"/>
        <v>5.5631868131868129E-2</v>
      </c>
    </row>
    <row r="1942" spans="1:10" x14ac:dyDescent="0.25">
      <c r="A1942" s="20" t="s">
        <v>95</v>
      </c>
      <c r="B1942" s="20" t="s">
        <v>30</v>
      </c>
      <c r="C1942" s="20" t="s">
        <v>34</v>
      </c>
      <c r="D1942" s="20" t="s">
        <v>28</v>
      </c>
      <c r="E1942" s="20" t="s">
        <v>10</v>
      </c>
      <c r="F1942" s="20">
        <v>1375.43</v>
      </c>
      <c r="G1942" s="11">
        <f>VLOOKUP(A1942,'Operational Data'!$A$2:$E$201,3,FALSE)</f>
        <v>51800</v>
      </c>
      <c r="H1942" s="11">
        <f>VLOOKUP(A1942,'Operational Data'!$A$2:$E$201,4,FALSE)</f>
        <v>3042.95</v>
      </c>
      <c r="I1942" s="11">
        <f>VLOOKUP(A1942,'Operational Data'!$A$2:$E$201,5,FALSE)</f>
        <v>71.87</v>
      </c>
      <c r="J1942" s="21">
        <f t="shared" si="30"/>
        <v>2.6552702702702703E-2</v>
      </c>
    </row>
    <row r="1943" spans="1:10" ht="30" x14ac:dyDescent="0.25">
      <c r="A1943" s="20" t="s">
        <v>129</v>
      </c>
      <c r="B1943" s="20" t="s">
        <v>17</v>
      </c>
      <c r="C1943" s="20" t="s">
        <v>8</v>
      </c>
      <c r="D1943" s="20" t="s">
        <v>9</v>
      </c>
      <c r="E1943" s="20" t="s">
        <v>24</v>
      </c>
      <c r="F1943" s="20">
        <v>4136.8180979999997</v>
      </c>
      <c r="G1943" s="11">
        <f>VLOOKUP(A1943,'Operational Data'!$A$2:$E$201,3,FALSE)</f>
        <v>95292</v>
      </c>
      <c r="H1943" s="11">
        <f>VLOOKUP(A1943,'Operational Data'!$A$2:$E$201,4,FALSE)</f>
        <v>697.47</v>
      </c>
      <c r="I1943" s="11">
        <f>VLOOKUP(A1943,'Operational Data'!$A$2:$E$201,5,FALSE)</f>
        <v>88.35</v>
      </c>
      <c r="J1943" s="21">
        <f t="shared" si="30"/>
        <v>4.3412018826344288E-2</v>
      </c>
    </row>
    <row r="1944" spans="1:10" x14ac:dyDescent="0.25">
      <c r="A1944" s="20" t="s">
        <v>100</v>
      </c>
      <c r="B1944" s="20" t="s">
        <v>7</v>
      </c>
      <c r="C1944" s="20" t="s">
        <v>13</v>
      </c>
      <c r="D1944" s="20" t="s">
        <v>9</v>
      </c>
      <c r="E1944" s="20" t="s">
        <v>10</v>
      </c>
      <c r="F1944" s="20">
        <v>2988.4606469999999</v>
      </c>
      <c r="G1944" s="11">
        <f>VLOOKUP(A1944,'Operational Data'!$A$2:$E$201,3,FALSE)</f>
        <v>17468</v>
      </c>
      <c r="H1944" s="11">
        <f>VLOOKUP(A1944,'Operational Data'!$A$2:$E$201,4,FALSE)</f>
        <v>6359.73</v>
      </c>
      <c r="I1944" s="11">
        <f>VLOOKUP(A1944,'Operational Data'!$A$2:$E$201,5,FALSE)</f>
        <v>5.22</v>
      </c>
      <c r="J1944" s="21">
        <f t="shared" si="30"/>
        <v>0.17108201551408289</v>
      </c>
    </row>
    <row r="1945" spans="1:10" x14ac:dyDescent="0.25">
      <c r="A1945" s="20" t="s">
        <v>119</v>
      </c>
      <c r="B1945" s="20" t="s">
        <v>30</v>
      </c>
      <c r="C1945" s="20" t="s">
        <v>23</v>
      </c>
      <c r="D1945" s="20" t="s">
        <v>9</v>
      </c>
      <c r="E1945" s="20" t="s">
        <v>15</v>
      </c>
      <c r="F1945" s="20">
        <v>724.73842969999998</v>
      </c>
      <c r="G1945" s="11">
        <f>VLOOKUP(A1945,'Operational Data'!$A$2:$E$201,3,FALSE)</f>
        <v>80488</v>
      </c>
      <c r="H1945" s="11">
        <f>VLOOKUP(A1945,'Operational Data'!$A$2:$E$201,4,FALSE)</f>
        <v>7629.95</v>
      </c>
      <c r="I1945" s="11">
        <f>VLOOKUP(A1945,'Operational Data'!$A$2:$E$201,5,FALSE)</f>
        <v>63.83</v>
      </c>
      <c r="J1945" s="21">
        <f t="shared" si="30"/>
        <v>9.0043041161415368E-3</v>
      </c>
    </row>
    <row r="1946" spans="1:10" x14ac:dyDescent="0.25">
      <c r="A1946" s="20" t="s">
        <v>86</v>
      </c>
      <c r="B1946" s="20" t="s">
        <v>19</v>
      </c>
      <c r="C1946" s="20" t="s">
        <v>8</v>
      </c>
      <c r="D1946" s="20" t="s">
        <v>28</v>
      </c>
      <c r="E1946" s="20" t="s">
        <v>15</v>
      </c>
      <c r="F1946" s="20">
        <v>4727.37</v>
      </c>
      <c r="G1946" s="11">
        <f>VLOOKUP(A1946,'Operational Data'!$A$2:$E$201,3,FALSE)</f>
        <v>56531</v>
      </c>
      <c r="H1946" s="11">
        <f>VLOOKUP(A1946,'Operational Data'!$A$2:$E$201,4,FALSE)</f>
        <v>8958.07</v>
      </c>
      <c r="I1946" s="11">
        <f>VLOOKUP(A1946,'Operational Data'!$A$2:$E$201,5,FALSE)</f>
        <v>83.44</v>
      </c>
      <c r="J1946" s="21">
        <f t="shared" si="30"/>
        <v>8.3624383081848899E-2</v>
      </c>
    </row>
    <row r="1947" spans="1:10" x14ac:dyDescent="0.25">
      <c r="A1947" s="20" t="s">
        <v>202</v>
      </c>
      <c r="B1947" s="20" t="s">
        <v>12</v>
      </c>
      <c r="C1947" s="20" t="s">
        <v>13</v>
      </c>
      <c r="D1947" s="20" t="s">
        <v>28</v>
      </c>
      <c r="E1947" s="20" t="s">
        <v>24</v>
      </c>
      <c r="F1947" s="20">
        <v>78.44</v>
      </c>
      <c r="G1947" s="11">
        <f>VLOOKUP(A1947,'Operational Data'!$A$2:$E$201,3,FALSE)</f>
        <v>28400</v>
      </c>
      <c r="H1947" s="11">
        <f>VLOOKUP(A1947,'Operational Data'!$A$2:$E$201,4,FALSE)</f>
        <v>3056.67</v>
      </c>
      <c r="I1947" s="11">
        <f>VLOOKUP(A1947,'Operational Data'!$A$2:$E$201,5,FALSE)</f>
        <v>52.68</v>
      </c>
      <c r="J1947" s="21">
        <f t="shared" si="30"/>
        <v>2.7619718309859153E-3</v>
      </c>
    </row>
    <row r="1948" spans="1:10" x14ac:dyDescent="0.25">
      <c r="A1948" s="20" t="s">
        <v>213</v>
      </c>
      <c r="B1948" s="20" t="s">
        <v>12</v>
      </c>
      <c r="C1948" s="20" t="s">
        <v>8</v>
      </c>
      <c r="D1948" s="20" t="s">
        <v>14</v>
      </c>
      <c r="E1948" s="20" t="s">
        <v>24</v>
      </c>
      <c r="F1948" s="20">
        <v>4289.21</v>
      </c>
      <c r="G1948" s="11">
        <f>VLOOKUP(A1948,'Operational Data'!$A$2:$E$201,3,FALSE)</f>
        <v>58622</v>
      </c>
      <c r="H1948" s="11">
        <f>VLOOKUP(A1948,'Operational Data'!$A$2:$E$201,4,FALSE)</f>
        <v>7795.36</v>
      </c>
      <c r="I1948" s="11">
        <f>VLOOKUP(A1948,'Operational Data'!$A$2:$E$201,5,FALSE)</f>
        <v>59.81</v>
      </c>
      <c r="J1948" s="21">
        <f t="shared" si="30"/>
        <v>7.316724096755485E-2</v>
      </c>
    </row>
    <row r="1949" spans="1:10" x14ac:dyDescent="0.25">
      <c r="A1949" s="20" t="s">
        <v>220</v>
      </c>
      <c r="B1949" s="20" t="s">
        <v>12</v>
      </c>
      <c r="C1949" s="20" t="s">
        <v>34</v>
      </c>
      <c r="D1949" s="20" t="s">
        <v>14</v>
      </c>
      <c r="E1949" s="20" t="s">
        <v>15</v>
      </c>
      <c r="F1949" s="20">
        <v>1666.98</v>
      </c>
      <c r="G1949" s="11">
        <f>VLOOKUP(A1949,'Operational Data'!$A$2:$E$201,3,FALSE)</f>
        <v>97040</v>
      </c>
      <c r="H1949" s="11">
        <f>VLOOKUP(A1949,'Operational Data'!$A$2:$E$201,4,FALSE)</f>
        <v>5727.14</v>
      </c>
      <c r="I1949" s="11">
        <f>VLOOKUP(A1949,'Operational Data'!$A$2:$E$201,5,FALSE)</f>
        <v>38.19</v>
      </c>
      <c r="J1949" s="21">
        <f t="shared" si="30"/>
        <v>1.7178276999175599E-2</v>
      </c>
    </row>
    <row r="1950" spans="1:10" x14ac:dyDescent="0.25">
      <c r="A1950" s="20" t="s">
        <v>35</v>
      </c>
      <c r="B1950" s="20" t="s">
        <v>19</v>
      </c>
      <c r="C1950" s="20" t="s">
        <v>13</v>
      </c>
      <c r="D1950" s="20" t="s">
        <v>14</v>
      </c>
      <c r="E1950" s="20" t="s">
        <v>15</v>
      </c>
      <c r="F1950" s="20">
        <v>1277.3399999999999</v>
      </c>
      <c r="G1950" s="11">
        <f>VLOOKUP(A1950,'Operational Data'!$A$2:$E$201,3,FALSE)</f>
        <v>42382</v>
      </c>
      <c r="H1950" s="11">
        <f>VLOOKUP(A1950,'Operational Data'!$A$2:$E$201,4,FALSE)</f>
        <v>5116.6899999999996</v>
      </c>
      <c r="I1950" s="11">
        <f>VLOOKUP(A1950,'Operational Data'!$A$2:$E$201,5,FALSE)</f>
        <v>80.42</v>
      </c>
      <c r="J1950" s="21">
        <f t="shared" si="30"/>
        <v>3.0138738143551506E-2</v>
      </c>
    </row>
    <row r="1951" spans="1:10" x14ac:dyDescent="0.25">
      <c r="A1951" s="20" t="s">
        <v>118</v>
      </c>
      <c r="B1951" s="20" t="s">
        <v>30</v>
      </c>
      <c r="C1951" s="20" t="s">
        <v>13</v>
      </c>
      <c r="D1951" s="20" t="s">
        <v>28</v>
      </c>
      <c r="E1951" s="20" t="s">
        <v>24</v>
      </c>
      <c r="F1951" s="20">
        <v>371.36</v>
      </c>
      <c r="G1951" s="11">
        <f>VLOOKUP(A1951,'Operational Data'!$A$2:$E$201,3,FALSE)</f>
        <v>68492</v>
      </c>
      <c r="H1951" s="11">
        <f>VLOOKUP(A1951,'Operational Data'!$A$2:$E$201,4,FALSE)</f>
        <v>3533.88</v>
      </c>
      <c r="I1951" s="11">
        <f>VLOOKUP(A1951,'Operational Data'!$A$2:$E$201,5,FALSE)</f>
        <v>52.99</v>
      </c>
      <c r="J1951" s="21">
        <f t="shared" si="30"/>
        <v>5.4219470887110904E-3</v>
      </c>
    </row>
    <row r="1952" spans="1:10" ht="30" x14ac:dyDescent="0.25">
      <c r="A1952" s="20" t="s">
        <v>143</v>
      </c>
      <c r="B1952" s="20" t="s">
        <v>17</v>
      </c>
      <c r="C1952" s="20" t="s">
        <v>13</v>
      </c>
      <c r="D1952" s="20" t="s">
        <v>9</v>
      </c>
      <c r="E1952" s="20" t="s">
        <v>15</v>
      </c>
      <c r="F1952" s="20">
        <v>4247.1697489999997</v>
      </c>
      <c r="G1952" s="11">
        <f>VLOOKUP(A1952,'Operational Data'!$A$2:$E$201,3,FALSE)</f>
        <v>94704</v>
      </c>
      <c r="H1952" s="11">
        <f>VLOOKUP(A1952,'Operational Data'!$A$2:$E$201,4,FALSE)</f>
        <v>6632.95</v>
      </c>
      <c r="I1952" s="11">
        <f>VLOOKUP(A1952,'Operational Data'!$A$2:$E$201,5,FALSE)</f>
        <v>14.76</v>
      </c>
      <c r="J1952" s="21">
        <f t="shared" si="30"/>
        <v>4.4846783124260853E-2</v>
      </c>
    </row>
    <row r="1953" spans="1:10" x14ac:dyDescent="0.25">
      <c r="A1953" s="20" t="s">
        <v>125</v>
      </c>
      <c r="B1953" s="20" t="s">
        <v>7</v>
      </c>
      <c r="C1953" s="20" t="s">
        <v>13</v>
      </c>
      <c r="D1953" s="20" t="s">
        <v>14</v>
      </c>
      <c r="E1953" s="20" t="s">
        <v>15</v>
      </c>
      <c r="F1953" s="20">
        <v>3150.39</v>
      </c>
      <c r="G1953" s="11">
        <f>VLOOKUP(A1953,'Operational Data'!$A$2:$E$201,3,FALSE)</f>
        <v>56392</v>
      </c>
      <c r="H1953" s="11">
        <f>VLOOKUP(A1953,'Operational Data'!$A$2:$E$201,4,FALSE)</f>
        <v>5703.76</v>
      </c>
      <c r="I1953" s="11">
        <f>VLOOKUP(A1953,'Operational Data'!$A$2:$E$201,5,FALSE)</f>
        <v>23.04</v>
      </c>
      <c r="J1953" s="21">
        <f t="shared" si="30"/>
        <v>5.5865902964959566E-2</v>
      </c>
    </row>
    <row r="1954" spans="1:10" ht="30" x14ac:dyDescent="0.25">
      <c r="A1954" s="20" t="s">
        <v>127</v>
      </c>
      <c r="B1954" s="20" t="s">
        <v>17</v>
      </c>
      <c r="C1954" s="20" t="s">
        <v>13</v>
      </c>
      <c r="D1954" s="20" t="s">
        <v>9</v>
      </c>
      <c r="E1954" s="20" t="s">
        <v>15</v>
      </c>
      <c r="F1954" s="20">
        <v>3071.4404570000002</v>
      </c>
      <c r="G1954" s="11">
        <f>VLOOKUP(A1954,'Operational Data'!$A$2:$E$201,3,FALSE)</f>
        <v>17416</v>
      </c>
      <c r="H1954" s="11">
        <f>VLOOKUP(A1954,'Operational Data'!$A$2:$E$201,4,FALSE)</f>
        <v>812.06</v>
      </c>
      <c r="I1954" s="11">
        <f>VLOOKUP(A1954,'Operational Data'!$A$2:$E$201,5,FALSE)</f>
        <v>5.7</v>
      </c>
      <c r="J1954" s="21">
        <f t="shared" si="30"/>
        <v>0.17635739877124484</v>
      </c>
    </row>
    <row r="1955" spans="1:10" ht="30" x14ac:dyDescent="0.25">
      <c r="A1955" s="20" t="s">
        <v>58</v>
      </c>
      <c r="B1955" s="20" t="s">
        <v>17</v>
      </c>
      <c r="C1955" s="20" t="s">
        <v>13</v>
      </c>
      <c r="D1955" s="20" t="s">
        <v>14</v>
      </c>
      <c r="E1955" s="20" t="s">
        <v>15</v>
      </c>
      <c r="F1955" s="20">
        <v>341.64</v>
      </c>
      <c r="G1955" s="11">
        <f>VLOOKUP(A1955,'Operational Data'!$A$2:$E$201,3,FALSE)</f>
        <v>32246</v>
      </c>
      <c r="H1955" s="11">
        <f>VLOOKUP(A1955,'Operational Data'!$A$2:$E$201,4,FALSE)</f>
        <v>7903.93</v>
      </c>
      <c r="I1955" s="11">
        <f>VLOOKUP(A1955,'Operational Data'!$A$2:$E$201,5,FALSE)</f>
        <v>42.12</v>
      </c>
      <c r="J1955" s="21">
        <f t="shared" si="30"/>
        <v>1.0594802456118588E-2</v>
      </c>
    </row>
    <row r="1956" spans="1:10" x14ac:dyDescent="0.25">
      <c r="A1956" s="20" t="s">
        <v>69</v>
      </c>
      <c r="B1956" s="20" t="s">
        <v>7</v>
      </c>
      <c r="C1956" s="20" t="s">
        <v>13</v>
      </c>
      <c r="D1956" s="20" t="s">
        <v>28</v>
      </c>
      <c r="E1956" s="20" t="s">
        <v>24</v>
      </c>
      <c r="F1956" s="20">
        <v>4075.39</v>
      </c>
      <c r="G1956" s="11">
        <f>VLOOKUP(A1956,'Operational Data'!$A$2:$E$201,3,FALSE)</f>
        <v>34725</v>
      </c>
      <c r="H1956" s="11">
        <f>VLOOKUP(A1956,'Operational Data'!$A$2:$E$201,4,FALSE)</f>
        <v>3269.89</v>
      </c>
      <c r="I1956" s="11">
        <f>VLOOKUP(A1956,'Operational Data'!$A$2:$E$201,5,FALSE)</f>
        <v>78.86</v>
      </c>
      <c r="J1956" s="21">
        <f t="shared" si="30"/>
        <v>0.11736184305255579</v>
      </c>
    </row>
    <row r="1957" spans="1:10" ht="30" x14ac:dyDescent="0.25">
      <c r="A1957" s="20" t="s">
        <v>142</v>
      </c>
      <c r="B1957" s="20" t="s">
        <v>17</v>
      </c>
      <c r="C1957" s="20" t="s">
        <v>8</v>
      </c>
      <c r="D1957" s="20" t="s">
        <v>28</v>
      </c>
      <c r="E1957" s="20" t="s">
        <v>24</v>
      </c>
      <c r="F1957" s="20">
        <v>4062.72</v>
      </c>
      <c r="G1957" s="11">
        <f>VLOOKUP(A1957,'Operational Data'!$A$2:$E$201,3,FALSE)</f>
        <v>75736</v>
      </c>
      <c r="H1957" s="11">
        <f>VLOOKUP(A1957,'Operational Data'!$A$2:$E$201,4,FALSE)</f>
        <v>6287.07</v>
      </c>
      <c r="I1957" s="11">
        <f>VLOOKUP(A1957,'Operational Data'!$A$2:$E$201,5,FALSE)</f>
        <v>63.11</v>
      </c>
      <c r="J1957" s="21">
        <f t="shared" si="30"/>
        <v>5.3643181578113444E-2</v>
      </c>
    </row>
    <row r="1958" spans="1:10" x14ac:dyDescent="0.25">
      <c r="A1958" s="20" t="s">
        <v>64</v>
      </c>
      <c r="B1958" s="20" t="s">
        <v>30</v>
      </c>
      <c r="C1958" s="20" t="s">
        <v>13</v>
      </c>
      <c r="D1958" s="20" t="s">
        <v>28</v>
      </c>
      <c r="E1958" s="20" t="s">
        <v>15</v>
      </c>
      <c r="F1958" s="20">
        <v>3930.54</v>
      </c>
      <c r="G1958" s="11">
        <f>VLOOKUP(A1958,'Operational Data'!$A$2:$E$201,3,FALSE)</f>
        <v>52836</v>
      </c>
      <c r="H1958" s="11">
        <f>VLOOKUP(A1958,'Operational Data'!$A$2:$E$201,4,FALSE)</f>
        <v>9330.2999999999993</v>
      </c>
      <c r="I1958" s="11">
        <f>VLOOKUP(A1958,'Operational Data'!$A$2:$E$201,5,FALSE)</f>
        <v>87.27</v>
      </c>
      <c r="J1958" s="21">
        <f t="shared" si="30"/>
        <v>7.4391324097206446E-2</v>
      </c>
    </row>
    <row r="1959" spans="1:10" x14ac:dyDescent="0.25">
      <c r="A1959" s="20" t="s">
        <v>201</v>
      </c>
      <c r="B1959" s="20" t="s">
        <v>12</v>
      </c>
      <c r="C1959" s="20" t="s">
        <v>23</v>
      </c>
      <c r="D1959" s="20" t="s">
        <v>14</v>
      </c>
      <c r="E1959" s="20" t="s">
        <v>10</v>
      </c>
      <c r="F1959" s="20">
        <v>1919.26</v>
      </c>
      <c r="G1959" s="11">
        <f>VLOOKUP(A1959,'Operational Data'!$A$2:$E$201,3,FALSE)</f>
        <v>58439</v>
      </c>
      <c r="H1959" s="11">
        <f>VLOOKUP(A1959,'Operational Data'!$A$2:$E$201,4,FALSE)</f>
        <v>5817.93</v>
      </c>
      <c r="I1959" s="11">
        <f>VLOOKUP(A1959,'Operational Data'!$A$2:$E$201,5,FALSE)</f>
        <v>63.77</v>
      </c>
      <c r="J1959" s="21">
        <f t="shared" si="30"/>
        <v>3.2842108865654786E-2</v>
      </c>
    </row>
    <row r="1960" spans="1:10" x14ac:dyDescent="0.25">
      <c r="A1960" s="20" t="s">
        <v>210</v>
      </c>
      <c r="B1960" s="20" t="s">
        <v>7</v>
      </c>
      <c r="C1960" s="20" t="s">
        <v>13</v>
      </c>
      <c r="D1960" s="20" t="s">
        <v>14</v>
      </c>
      <c r="E1960" s="20" t="s">
        <v>10</v>
      </c>
      <c r="F1960" s="20">
        <v>3554.23</v>
      </c>
      <c r="G1960" s="11">
        <f>VLOOKUP(A1960,'Operational Data'!$A$2:$E$201,3,FALSE)</f>
        <v>65666</v>
      </c>
      <c r="H1960" s="11">
        <f>VLOOKUP(A1960,'Operational Data'!$A$2:$E$201,4,FALSE)</f>
        <v>7269.98</v>
      </c>
      <c r="I1960" s="11">
        <f>VLOOKUP(A1960,'Operational Data'!$A$2:$E$201,5,FALSE)</f>
        <v>75.62</v>
      </c>
      <c r="J1960" s="21">
        <f t="shared" si="30"/>
        <v>5.4125879450552798E-2</v>
      </c>
    </row>
    <row r="1961" spans="1:10" x14ac:dyDescent="0.25">
      <c r="A1961" s="20" t="s">
        <v>169</v>
      </c>
      <c r="B1961" s="20" t="s">
        <v>12</v>
      </c>
      <c r="C1961" s="20" t="s">
        <v>13</v>
      </c>
      <c r="D1961" s="20" t="s">
        <v>9</v>
      </c>
      <c r="E1961" s="20" t="s">
        <v>24</v>
      </c>
      <c r="F1961" s="20">
        <v>493.58</v>
      </c>
      <c r="G1961" s="11">
        <f>VLOOKUP(A1961,'Operational Data'!$A$2:$E$201,3,FALSE)</f>
        <v>82377</v>
      </c>
      <c r="H1961" s="11">
        <f>VLOOKUP(A1961,'Operational Data'!$A$2:$E$201,4,FALSE)</f>
        <v>7974.74</v>
      </c>
      <c r="I1961" s="11">
        <f>VLOOKUP(A1961,'Operational Data'!$A$2:$E$201,5,FALSE)</f>
        <v>9.17</v>
      </c>
      <c r="J1961" s="21">
        <f t="shared" si="30"/>
        <v>5.9917209900821828E-3</v>
      </c>
    </row>
    <row r="1962" spans="1:10" x14ac:dyDescent="0.25">
      <c r="A1962" s="20" t="s">
        <v>87</v>
      </c>
      <c r="B1962" s="20" t="s">
        <v>12</v>
      </c>
      <c r="C1962" s="20" t="s">
        <v>23</v>
      </c>
      <c r="D1962" s="20" t="s">
        <v>9</v>
      </c>
      <c r="E1962" s="20" t="s">
        <v>10</v>
      </c>
      <c r="F1962" s="20">
        <v>2362.1602800000001</v>
      </c>
      <c r="G1962" s="11">
        <f>VLOOKUP(A1962,'Operational Data'!$A$2:$E$201,3,FALSE)</f>
        <v>15333</v>
      </c>
      <c r="H1962" s="11">
        <f>VLOOKUP(A1962,'Operational Data'!$A$2:$E$201,4,FALSE)</f>
        <v>2570.54</v>
      </c>
      <c r="I1962" s="11">
        <f>VLOOKUP(A1962,'Operational Data'!$A$2:$E$201,5,FALSE)</f>
        <v>41.07</v>
      </c>
      <c r="J1962" s="21">
        <f t="shared" si="30"/>
        <v>0.15405728037566035</v>
      </c>
    </row>
    <row r="1963" spans="1:10" x14ac:dyDescent="0.25">
      <c r="A1963" s="20" t="s">
        <v>203</v>
      </c>
      <c r="B1963" s="20" t="s">
        <v>12</v>
      </c>
      <c r="C1963" s="20" t="s">
        <v>13</v>
      </c>
      <c r="D1963" s="20" t="s">
        <v>14</v>
      </c>
      <c r="E1963" s="20" t="s">
        <v>15</v>
      </c>
      <c r="F1963" s="20">
        <v>984.26</v>
      </c>
      <c r="G1963" s="11">
        <f>VLOOKUP(A1963,'Operational Data'!$A$2:$E$201,3,FALSE)</f>
        <v>66398</v>
      </c>
      <c r="H1963" s="11">
        <f>VLOOKUP(A1963,'Operational Data'!$A$2:$E$201,4,FALSE)</f>
        <v>8713.61</v>
      </c>
      <c r="I1963" s="11">
        <f>VLOOKUP(A1963,'Operational Data'!$A$2:$E$201,5,FALSE)</f>
        <v>83.44</v>
      </c>
      <c r="J1963" s="21">
        <f t="shared" si="30"/>
        <v>1.482363926624296E-2</v>
      </c>
    </row>
    <row r="1964" spans="1:10" x14ac:dyDescent="0.25">
      <c r="A1964" s="20" t="s">
        <v>163</v>
      </c>
      <c r="B1964" s="20" t="s">
        <v>19</v>
      </c>
      <c r="C1964" s="20" t="s">
        <v>23</v>
      </c>
      <c r="D1964" s="20" t="s">
        <v>28</v>
      </c>
      <c r="E1964" s="20" t="s">
        <v>24</v>
      </c>
      <c r="F1964" s="20">
        <v>2223.0500000000002</v>
      </c>
      <c r="G1964" s="11">
        <f>VLOOKUP(A1964,'Operational Data'!$A$2:$E$201,3,FALSE)</f>
        <v>87482</v>
      </c>
      <c r="H1964" s="11">
        <f>VLOOKUP(A1964,'Operational Data'!$A$2:$E$201,4,FALSE)</f>
        <v>2231.7399999999998</v>
      </c>
      <c r="I1964" s="11">
        <f>VLOOKUP(A1964,'Operational Data'!$A$2:$E$201,5,FALSE)</f>
        <v>45.43</v>
      </c>
      <c r="J1964" s="21">
        <f t="shared" si="30"/>
        <v>2.5411513225577834E-2</v>
      </c>
    </row>
    <row r="1965" spans="1:10" x14ac:dyDescent="0.25">
      <c r="A1965" s="20" t="s">
        <v>54</v>
      </c>
      <c r="B1965" s="20" t="s">
        <v>12</v>
      </c>
      <c r="C1965" s="20" t="s">
        <v>34</v>
      </c>
      <c r="D1965" s="20" t="s">
        <v>9</v>
      </c>
      <c r="E1965" s="20" t="s">
        <v>24</v>
      </c>
      <c r="F1965" s="20">
        <v>2498.8473060000001</v>
      </c>
      <c r="G1965" s="11">
        <f>VLOOKUP(A1965,'Operational Data'!$A$2:$E$201,3,FALSE)</f>
        <v>58111</v>
      </c>
      <c r="H1965" s="11">
        <f>VLOOKUP(A1965,'Operational Data'!$A$2:$E$201,4,FALSE)</f>
        <v>4610.8999999999996</v>
      </c>
      <c r="I1965" s="11">
        <f>VLOOKUP(A1965,'Operational Data'!$A$2:$E$201,5,FALSE)</f>
        <v>21.53</v>
      </c>
      <c r="J1965" s="21">
        <f t="shared" si="30"/>
        <v>4.3001278690781436E-2</v>
      </c>
    </row>
    <row r="1966" spans="1:10" x14ac:dyDescent="0.25">
      <c r="A1966" s="20" t="s">
        <v>21</v>
      </c>
      <c r="B1966" s="20" t="s">
        <v>19</v>
      </c>
      <c r="C1966" s="20" t="s">
        <v>8</v>
      </c>
      <c r="D1966" s="20" t="s">
        <v>9</v>
      </c>
      <c r="E1966" s="20" t="s">
        <v>10</v>
      </c>
      <c r="F1966" s="20">
        <v>857.66462850000005</v>
      </c>
      <c r="G1966" s="11">
        <f>VLOOKUP(A1966,'Operational Data'!$A$2:$E$201,3,FALSE)</f>
        <v>61157</v>
      </c>
      <c r="H1966" s="11">
        <f>VLOOKUP(A1966,'Operational Data'!$A$2:$E$201,4,FALSE)</f>
        <v>7331.54</v>
      </c>
      <c r="I1966" s="11">
        <f>VLOOKUP(A1966,'Operational Data'!$A$2:$E$201,5,FALSE)</f>
        <v>55.52</v>
      </c>
      <c r="J1966" s="21">
        <f t="shared" si="30"/>
        <v>1.4023981367627582E-2</v>
      </c>
    </row>
    <row r="1967" spans="1:10" x14ac:dyDescent="0.25">
      <c r="A1967" s="20" t="s">
        <v>53</v>
      </c>
      <c r="B1967" s="20" t="s">
        <v>7</v>
      </c>
      <c r="C1967" s="20" t="s">
        <v>8</v>
      </c>
      <c r="D1967" s="20" t="s">
        <v>14</v>
      </c>
      <c r="E1967" s="20" t="s">
        <v>15</v>
      </c>
      <c r="F1967" s="20">
        <v>2079.4</v>
      </c>
      <c r="G1967" s="11">
        <f>VLOOKUP(A1967,'Operational Data'!$A$2:$E$201,3,FALSE)</f>
        <v>90632</v>
      </c>
      <c r="H1967" s="11">
        <f>VLOOKUP(A1967,'Operational Data'!$A$2:$E$201,4,FALSE)</f>
        <v>5292.17</v>
      </c>
      <c r="I1967" s="11">
        <f>VLOOKUP(A1967,'Operational Data'!$A$2:$E$201,5,FALSE)</f>
        <v>78.45</v>
      </c>
      <c r="J1967" s="21">
        <f t="shared" si="30"/>
        <v>2.2943331273722306E-2</v>
      </c>
    </row>
    <row r="1968" spans="1:10" x14ac:dyDescent="0.25">
      <c r="A1968" s="20" t="s">
        <v>36</v>
      </c>
      <c r="B1968" s="20" t="s">
        <v>12</v>
      </c>
      <c r="C1968" s="20" t="s">
        <v>13</v>
      </c>
      <c r="D1968" s="20" t="s">
        <v>28</v>
      </c>
      <c r="E1968" s="20" t="s">
        <v>15</v>
      </c>
      <c r="F1968" s="20">
        <v>2644.71</v>
      </c>
      <c r="G1968" s="11">
        <f>VLOOKUP(A1968,'Operational Data'!$A$2:$E$201,3,FALSE)</f>
        <v>40226</v>
      </c>
      <c r="H1968" s="11">
        <f>VLOOKUP(A1968,'Operational Data'!$A$2:$E$201,4,FALSE)</f>
        <v>7868.86</v>
      </c>
      <c r="I1968" s="11">
        <f>VLOOKUP(A1968,'Operational Data'!$A$2:$E$201,5,FALSE)</f>
        <v>80.53</v>
      </c>
      <c r="J1968" s="21">
        <f t="shared" si="30"/>
        <v>6.574628349823497E-2</v>
      </c>
    </row>
    <row r="1969" spans="1:10" x14ac:dyDescent="0.25">
      <c r="A1969" s="20" t="s">
        <v>110</v>
      </c>
      <c r="B1969" s="20" t="s">
        <v>12</v>
      </c>
      <c r="C1969" s="20" t="s">
        <v>8</v>
      </c>
      <c r="D1969" s="20" t="s">
        <v>14</v>
      </c>
      <c r="E1969" s="20" t="s">
        <v>15</v>
      </c>
      <c r="F1969" s="20">
        <v>813.42</v>
      </c>
      <c r="G1969" s="11">
        <f>VLOOKUP(A1969,'Operational Data'!$A$2:$E$201,3,FALSE)</f>
        <v>70481</v>
      </c>
      <c r="H1969" s="11">
        <f>VLOOKUP(A1969,'Operational Data'!$A$2:$E$201,4,FALSE)</f>
        <v>4452.83</v>
      </c>
      <c r="I1969" s="11">
        <f>VLOOKUP(A1969,'Operational Data'!$A$2:$E$201,5,FALSE)</f>
        <v>91.26</v>
      </c>
      <c r="J1969" s="21">
        <f t="shared" si="30"/>
        <v>1.1540982676182233E-2</v>
      </c>
    </row>
    <row r="1970" spans="1:10" x14ac:dyDescent="0.25">
      <c r="A1970" s="20" t="s">
        <v>77</v>
      </c>
      <c r="B1970" s="20" t="s">
        <v>30</v>
      </c>
      <c r="C1970" s="20" t="s">
        <v>23</v>
      </c>
      <c r="D1970" s="20" t="s">
        <v>9</v>
      </c>
      <c r="E1970" s="20" t="s">
        <v>15</v>
      </c>
      <c r="F1970" s="20">
        <v>1500.741311</v>
      </c>
      <c r="G1970" s="11">
        <f>VLOOKUP(A1970,'Operational Data'!$A$2:$E$201,3,FALSE)</f>
        <v>61942</v>
      </c>
      <c r="H1970" s="11">
        <f>VLOOKUP(A1970,'Operational Data'!$A$2:$E$201,4,FALSE)</f>
        <v>4891.32</v>
      </c>
      <c r="I1970" s="11">
        <f>VLOOKUP(A1970,'Operational Data'!$A$2:$E$201,5,FALSE)</f>
        <v>91.59</v>
      </c>
      <c r="J1970" s="21">
        <f t="shared" si="30"/>
        <v>2.4228170078460495E-2</v>
      </c>
    </row>
    <row r="1971" spans="1:10" x14ac:dyDescent="0.25">
      <c r="A1971" s="20" t="s">
        <v>117</v>
      </c>
      <c r="B1971" s="20" t="s">
        <v>7</v>
      </c>
      <c r="C1971" s="20" t="s">
        <v>34</v>
      </c>
      <c r="D1971" s="20" t="s">
        <v>14</v>
      </c>
      <c r="E1971" s="20" t="s">
        <v>24</v>
      </c>
      <c r="F1971" s="20">
        <v>2099.7800000000002</v>
      </c>
      <c r="G1971" s="11">
        <f>VLOOKUP(A1971,'Operational Data'!$A$2:$E$201,3,FALSE)</f>
        <v>89321</v>
      </c>
      <c r="H1971" s="11">
        <f>VLOOKUP(A1971,'Operational Data'!$A$2:$E$201,4,FALSE)</f>
        <v>9836.34</v>
      </c>
      <c r="I1971" s="11">
        <f>VLOOKUP(A1971,'Operational Data'!$A$2:$E$201,5,FALSE)</f>
        <v>16.989999999999998</v>
      </c>
      <c r="J1971" s="21">
        <f t="shared" si="30"/>
        <v>2.3508245541362056E-2</v>
      </c>
    </row>
    <row r="1972" spans="1:10" x14ac:dyDescent="0.25">
      <c r="A1972" s="20" t="s">
        <v>125</v>
      </c>
      <c r="B1972" s="20" t="s">
        <v>7</v>
      </c>
      <c r="C1972" s="20" t="s">
        <v>13</v>
      </c>
      <c r="D1972" s="20" t="s">
        <v>9</v>
      </c>
      <c r="E1972" s="20" t="s">
        <v>10</v>
      </c>
      <c r="F1972" s="20">
        <v>3573.184213</v>
      </c>
      <c r="G1972" s="11">
        <f>VLOOKUP(A1972,'Operational Data'!$A$2:$E$201,3,FALSE)</f>
        <v>56392</v>
      </c>
      <c r="H1972" s="11">
        <f>VLOOKUP(A1972,'Operational Data'!$A$2:$E$201,4,FALSE)</f>
        <v>5703.76</v>
      </c>
      <c r="I1972" s="11">
        <f>VLOOKUP(A1972,'Operational Data'!$A$2:$E$201,5,FALSE)</f>
        <v>23.04</v>
      </c>
      <c r="J1972" s="21">
        <f t="shared" si="30"/>
        <v>6.336331772237197E-2</v>
      </c>
    </row>
    <row r="1973" spans="1:10" ht="30" x14ac:dyDescent="0.25">
      <c r="A1973" s="20" t="s">
        <v>136</v>
      </c>
      <c r="B1973" s="20" t="s">
        <v>17</v>
      </c>
      <c r="C1973" s="20" t="s">
        <v>23</v>
      </c>
      <c r="D1973" s="20" t="s">
        <v>9</v>
      </c>
      <c r="E1973" s="20" t="s">
        <v>15</v>
      </c>
      <c r="F1973" s="20">
        <v>3666.976435</v>
      </c>
      <c r="G1973" s="11">
        <f>VLOOKUP(A1973,'Operational Data'!$A$2:$E$201,3,FALSE)</f>
        <v>15128</v>
      </c>
      <c r="H1973" s="11">
        <f>VLOOKUP(A1973,'Operational Data'!$A$2:$E$201,4,FALSE)</f>
        <v>8847.09</v>
      </c>
      <c r="I1973" s="11">
        <f>VLOOKUP(A1973,'Operational Data'!$A$2:$E$201,5,FALSE)</f>
        <v>5.25</v>
      </c>
      <c r="J1973" s="21">
        <f t="shared" si="30"/>
        <v>0.24239664430195665</v>
      </c>
    </row>
    <row r="1974" spans="1:10" x14ac:dyDescent="0.25">
      <c r="A1974" s="20" t="s">
        <v>40</v>
      </c>
      <c r="B1974" s="20" t="s">
        <v>19</v>
      </c>
      <c r="C1974" s="20" t="s">
        <v>13</v>
      </c>
      <c r="D1974" s="20" t="s">
        <v>28</v>
      </c>
      <c r="E1974" s="20" t="s">
        <v>15</v>
      </c>
      <c r="F1974" s="20">
        <v>4772.12</v>
      </c>
      <c r="G1974" s="11">
        <f>VLOOKUP(A1974,'Operational Data'!$A$2:$E$201,3,FALSE)</f>
        <v>96474</v>
      </c>
      <c r="H1974" s="11">
        <f>VLOOKUP(A1974,'Operational Data'!$A$2:$E$201,4,FALSE)</f>
        <v>7574.39</v>
      </c>
      <c r="I1974" s="11">
        <f>VLOOKUP(A1974,'Operational Data'!$A$2:$E$201,5,FALSE)</f>
        <v>95.54</v>
      </c>
      <c r="J1974" s="21">
        <f t="shared" si="30"/>
        <v>4.9465348176710826E-2</v>
      </c>
    </row>
    <row r="1975" spans="1:10" x14ac:dyDescent="0.25">
      <c r="A1975" s="20" t="s">
        <v>98</v>
      </c>
      <c r="B1975" s="20" t="s">
        <v>19</v>
      </c>
      <c r="C1975" s="20" t="s">
        <v>23</v>
      </c>
      <c r="D1975" s="20" t="s">
        <v>9</v>
      </c>
      <c r="E1975" s="20" t="s">
        <v>24</v>
      </c>
      <c r="F1975" s="20">
        <v>4691.37</v>
      </c>
      <c r="G1975" s="11">
        <f>VLOOKUP(A1975,'Operational Data'!$A$2:$E$201,3,FALSE)</f>
        <v>26170</v>
      </c>
      <c r="H1975" s="11">
        <f>VLOOKUP(A1975,'Operational Data'!$A$2:$E$201,4,FALSE)</f>
        <v>8057.54</v>
      </c>
      <c r="I1975" s="11">
        <f>VLOOKUP(A1975,'Operational Data'!$A$2:$E$201,5,FALSE)</f>
        <v>63.71</v>
      </c>
      <c r="J1975" s="21">
        <f t="shared" si="30"/>
        <v>0.17926518914787926</v>
      </c>
    </row>
    <row r="1976" spans="1:10" x14ac:dyDescent="0.25">
      <c r="A1976" s="20" t="s">
        <v>160</v>
      </c>
      <c r="B1976" s="20" t="s">
        <v>30</v>
      </c>
      <c r="C1976" s="20" t="s">
        <v>23</v>
      </c>
      <c r="D1976" s="20" t="s">
        <v>14</v>
      </c>
      <c r="E1976" s="20" t="s">
        <v>15</v>
      </c>
      <c r="F1976" s="20">
        <v>2731.04</v>
      </c>
      <c r="G1976" s="11">
        <f>VLOOKUP(A1976,'Operational Data'!$A$2:$E$201,3,FALSE)</f>
        <v>18341</v>
      </c>
      <c r="H1976" s="11">
        <f>VLOOKUP(A1976,'Operational Data'!$A$2:$E$201,4,FALSE)</f>
        <v>8465.57</v>
      </c>
      <c r="I1976" s="11">
        <f>VLOOKUP(A1976,'Operational Data'!$A$2:$E$201,5,FALSE)</f>
        <v>38.39</v>
      </c>
      <c r="J1976" s="21">
        <f t="shared" si="30"/>
        <v>0.14890354942478601</v>
      </c>
    </row>
    <row r="1977" spans="1:10" x14ac:dyDescent="0.25">
      <c r="A1977" s="20" t="s">
        <v>42</v>
      </c>
      <c r="B1977" s="20" t="s">
        <v>30</v>
      </c>
      <c r="C1977" s="20" t="s">
        <v>8</v>
      </c>
      <c r="D1977" s="20" t="s">
        <v>14</v>
      </c>
      <c r="E1977" s="20" t="s">
        <v>24</v>
      </c>
      <c r="F1977" s="20">
        <v>3020.79</v>
      </c>
      <c r="G1977" s="11">
        <f>VLOOKUP(A1977,'Operational Data'!$A$2:$E$201,3,FALSE)</f>
        <v>41539</v>
      </c>
      <c r="H1977" s="11">
        <f>VLOOKUP(A1977,'Operational Data'!$A$2:$E$201,4,FALSE)</f>
        <v>982.8</v>
      </c>
      <c r="I1977" s="11">
        <f>VLOOKUP(A1977,'Operational Data'!$A$2:$E$201,5,FALSE)</f>
        <v>79.7</v>
      </c>
      <c r="J1977" s="21">
        <f t="shared" si="30"/>
        <v>7.272177953248754E-2</v>
      </c>
    </row>
    <row r="1978" spans="1:10" x14ac:dyDescent="0.25">
      <c r="A1978" s="20" t="s">
        <v>112</v>
      </c>
      <c r="B1978" s="20" t="s">
        <v>30</v>
      </c>
      <c r="C1978" s="20" t="s">
        <v>34</v>
      </c>
      <c r="D1978" s="20" t="s">
        <v>28</v>
      </c>
      <c r="E1978" s="20" t="s">
        <v>24</v>
      </c>
      <c r="F1978" s="20">
        <v>1086.79</v>
      </c>
      <c r="G1978" s="11">
        <f>VLOOKUP(A1978,'Operational Data'!$A$2:$E$201,3,FALSE)</f>
        <v>43294</v>
      </c>
      <c r="H1978" s="11">
        <f>VLOOKUP(A1978,'Operational Data'!$A$2:$E$201,4,FALSE)</f>
        <v>3802.13</v>
      </c>
      <c r="I1978" s="11">
        <f>VLOOKUP(A1978,'Operational Data'!$A$2:$E$201,5,FALSE)</f>
        <v>45.84</v>
      </c>
      <c r="J1978" s="21">
        <f t="shared" si="30"/>
        <v>2.5102554626507137E-2</v>
      </c>
    </row>
    <row r="1979" spans="1:10" x14ac:dyDescent="0.25">
      <c r="A1979" s="20" t="s">
        <v>130</v>
      </c>
      <c r="B1979" s="20" t="s">
        <v>12</v>
      </c>
      <c r="C1979" s="20" t="s">
        <v>23</v>
      </c>
      <c r="D1979" s="20" t="s">
        <v>9</v>
      </c>
      <c r="E1979" s="20" t="s">
        <v>24</v>
      </c>
      <c r="F1979" s="20">
        <v>5115.1311139999998</v>
      </c>
      <c r="G1979" s="11">
        <f>VLOOKUP(A1979,'Operational Data'!$A$2:$E$201,3,FALSE)</f>
        <v>82332</v>
      </c>
      <c r="H1979" s="11">
        <f>VLOOKUP(A1979,'Operational Data'!$A$2:$E$201,4,FALSE)</f>
        <v>7134.86</v>
      </c>
      <c r="I1979" s="11">
        <f>VLOOKUP(A1979,'Operational Data'!$A$2:$E$201,5,FALSE)</f>
        <v>22.44</v>
      </c>
      <c r="J1979" s="21">
        <f t="shared" si="30"/>
        <v>6.2128104673759899E-2</v>
      </c>
    </row>
    <row r="1980" spans="1:10" ht="30" x14ac:dyDescent="0.25">
      <c r="A1980" s="20" t="s">
        <v>116</v>
      </c>
      <c r="B1980" s="20" t="s">
        <v>17</v>
      </c>
      <c r="C1980" s="20" t="s">
        <v>23</v>
      </c>
      <c r="D1980" s="20" t="s">
        <v>14</v>
      </c>
      <c r="E1980" s="20" t="s">
        <v>10</v>
      </c>
      <c r="F1980" s="20">
        <v>2958.7</v>
      </c>
      <c r="G1980" s="11">
        <f>VLOOKUP(A1980,'Operational Data'!$A$2:$E$201,3,FALSE)</f>
        <v>68216</v>
      </c>
      <c r="H1980" s="11">
        <f>VLOOKUP(A1980,'Operational Data'!$A$2:$E$201,4,FALSE)</f>
        <v>9562.33</v>
      </c>
      <c r="I1980" s="11">
        <f>VLOOKUP(A1980,'Operational Data'!$A$2:$E$201,5,FALSE)</f>
        <v>63.59</v>
      </c>
      <c r="J1980" s="21">
        <f t="shared" si="30"/>
        <v>4.337252257534889E-2</v>
      </c>
    </row>
    <row r="1981" spans="1:10" x14ac:dyDescent="0.25">
      <c r="A1981" s="20" t="s">
        <v>93</v>
      </c>
      <c r="B1981" s="20" t="s">
        <v>30</v>
      </c>
      <c r="C1981" s="20" t="s">
        <v>23</v>
      </c>
      <c r="D1981" s="20" t="s">
        <v>9</v>
      </c>
      <c r="E1981" s="20" t="s">
        <v>10</v>
      </c>
      <c r="F1981" s="20">
        <v>1571.969407</v>
      </c>
      <c r="G1981" s="11">
        <f>VLOOKUP(A1981,'Operational Data'!$A$2:$E$201,3,FALSE)</f>
        <v>26378</v>
      </c>
      <c r="H1981" s="11">
        <f>VLOOKUP(A1981,'Operational Data'!$A$2:$E$201,4,FALSE)</f>
        <v>2915.44</v>
      </c>
      <c r="I1981" s="11">
        <f>VLOOKUP(A1981,'Operational Data'!$A$2:$E$201,5,FALSE)</f>
        <v>29.84</v>
      </c>
      <c r="J1981" s="21">
        <f t="shared" si="30"/>
        <v>5.9593957350822659E-2</v>
      </c>
    </row>
    <row r="1982" spans="1:10" x14ac:dyDescent="0.25">
      <c r="A1982" s="20" t="s">
        <v>141</v>
      </c>
      <c r="B1982" s="20" t="s">
        <v>7</v>
      </c>
      <c r="C1982" s="20" t="s">
        <v>13</v>
      </c>
      <c r="D1982" s="20" t="s">
        <v>28</v>
      </c>
      <c r="E1982" s="20" t="s">
        <v>15</v>
      </c>
      <c r="F1982" s="20">
        <v>2745.85</v>
      </c>
      <c r="G1982" s="11">
        <f>VLOOKUP(A1982,'Operational Data'!$A$2:$E$201,3,FALSE)</f>
        <v>45644</v>
      </c>
      <c r="H1982" s="11">
        <f>VLOOKUP(A1982,'Operational Data'!$A$2:$E$201,4,FALSE)</f>
        <v>7724.73</v>
      </c>
      <c r="I1982" s="11">
        <f>VLOOKUP(A1982,'Operational Data'!$A$2:$E$201,5,FALSE)</f>
        <v>31</v>
      </c>
      <c r="J1982" s="21">
        <f t="shared" si="30"/>
        <v>6.0157961615984572E-2</v>
      </c>
    </row>
    <row r="1983" spans="1:10" ht="30" x14ac:dyDescent="0.25">
      <c r="A1983" s="20" t="s">
        <v>156</v>
      </c>
      <c r="B1983" s="20" t="s">
        <v>17</v>
      </c>
      <c r="C1983" s="20" t="s">
        <v>23</v>
      </c>
      <c r="D1983" s="20" t="s">
        <v>28</v>
      </c>
      <c r="E1983" s="20" t="s">
        <v>24</v>
      </c>
      <c r="F1983" s="20">
        <v>1531</v>
      </c>
      <c r="G1983" s="11">
        <f>VLOOKUP(A1983,'Operational Data'!$A$2:$E$201,3,FALSE)</f>
        <v>81057</v>
      </c>
      <c r="H1983" s="11">
        <f>VLOOKUP(A1983,'Operational Data'!$A$2:$E$201,4,FALSE)</f>
        <v>675.41</v>
      </c>
      <c r="I1983" s="11">
        <f>VLOOKUP(A1983,'Operational Data'!$A$2:$E$201,5,FALSE)</f>
        <v>55.44</v>
      </c>
      <c r="J1983" s="21">
        <f t="shared" si="30"/>
        <v>1.8887943052419903E-2</v>
      </c>
    </row>
    <row r="1984" spans="1:10" ht="30" x14ac:dyDescent="0.25">
      <c r="A1984" s="20" t="s">
        <v>207</v>
      </c>
      <c r="B1984" s="20" t="s">
        <v>17</v>
      </c>
      <c r="C1984" s="20" t="s">
        <v>8</v>
      </c>
      <c r="D1984" s="20" t="s">
        <v>9</v>
      </c>
      <c r="E1984" s="20" t="s">
        <v>10</v>
      </c>
      <c r="F1984" s="20">
        <v>4709.8048410000001</v>
      </c>
      <c r="G1984" s="11">
        <f>VLOOKUP(A1984,'Operational Data'!$A$2:$E$201,3,FALSE)</f>
        <v>99115</v>
      </c>
      <c r="H1984" s="11">
        <f>VLOOKUP(A1984,'Operational Data'!$A$2:$E$201,4,FALSE)</f>
        <v>827.26</v>
      </c>
      <c r="I1984" s="11">
        <f>VLOOKUP(A1984,'Operational Data'!$A$2:$E$201,5,FALSE)</f>
        <v>28.88</v>
      </c>
      <c r="J1984" s="21">
        <f t="shared" si="30"/>
        <v>4.7518587913030319E-2</v>
      </c>
    </row>
    <row r="1985" spans="1:10" ht="30" x14ac:dyDescent="0.25">
      <c r="A1985" s="20" t="s">
        <v>171</v>
      </c>
      <c r="B1985" s="20" t="s">
        <v>17</v>
      </c>
      <c r="C1985" s="20" t="s">
        <v>34</v>
      </c>
      <c r="D1985" s="20" t="s">
        <v>28</v>
      </c>
      <c r="E1985" s="20" t="s">
        <v>24</v>
      </c>
      <c r="F1985" s="20">
        <v>830.08</v>
      </c>
      <c r="G1985" s="11">
        <f>VLOOKUP(A1985,'Operational Data'!$A$2:$E$201,3,FALSE)</f>
        <v>24502</v>
      </c>
      <c r="H1985" s="11">
        <f>VLOOKUP(A1985,'Operational Data'!$A$2:$E$201,4,FALSE)</f>
        <v>7466.86</v>
      </c>
      <c r="I1985" s="11">
        <f>VLOOKUP(A1985,'Operational Data'!$A$2:$E$201,5,FALSE)</f>
        <v>88.83</v>
      </c>
      <c r="J1985" s="21">
        <f t="shared" si="30"/>
        <v>3.3878050771365603E-2</v>
      </c>
    </row>
    <row r="1986" spans="1:10" x14ac:dyDescent="0.25">
      <c r="A1986" s="20" t="s">
        <v>203</v>
      </c>
      <c r="B1986" s="20" t="s">
        <v>12</v>
      </c>
      <c r="C1986" s="20" t="s">
        <v>8</v>
      </c>
      <c r="D1986" s="20" t="s">
        <v>28</v>
      </c>
      <c r="E1986" s="20" t="s">
        <v>15</v>
      </c>
      <c r="F1986" s="20">
        <v>4453.8999999999996</v>
      </c>
      <c r="G1986" s="11">
        <f>VLOOKUP(A1986,'Operational Data'!$A$2:$E$201,3,FALSE)</f>
        <v>66398</v>
      </c>
      <c r="H1986" s="11">
        <f>VLOOKUP(A1986,'Operational Data'!$A$2:$E$201,4,FALSE)</f>
        <v>8713.61</v>
      </c>
      <c r="I1986" s="11">
        <f>VLOOKUP(A1986,'Operational Data'!$A$2:$E$201,5,FALSE)</f>
        <v>83.44</v>
      </c>
      <c r="J1986" s="21">
        <f t="shared" si="30"/>
        <v>6.7078827675532388E-2</v>
      </c>
    </row>
    <row r="1987" spans="1:10" x14ac:dyDescent="0.25">
      <c r="A1987" s="20" t="s">
        <v>70</v>
      </c>
      <c r="B1987" s="20" t="s">
        <v>19</v>
      </c>
      <c r="C1987" s="20" t="s">
        <v>13</v>
      </c>
      <c r="D1987" s="20" t="s">
        <v>28</v>
      </c>
      <c r="E1987" s="20" t="s">
        <v>24</v>
      </c>
      <c r="F1987" s="20">
        <v>4791.93</v>
      </c>
      <c r="G1987" s="11">
        <f>VLOOKUP(A1987,'Operational Data'!$A$2:$E$201,3,FALSE)</f>
        <v>42485</v>
      </c>
      <c r="H1987" s="11">
        <f>VLOOKUP(A1987,'Operational Data'!$A$2:$E$201,4,FALSE)</f>
        <v>4755.75</v>
      </c>
      <c r="I1987" s="11">
        <f>VLOOKUP(A1987,'Operational Data'!$A$2:$E$201,5,FALSE)</f>
        <v>10.19</v>
      </c>
      <c r="J1987" s="21">
        <f t="shared" ref="J1987:J2001" si="31">F1987/G1987</f>
        <v>0.11279110274214429</v>
      </c>
    </row>
    <row r="1988" spans="1:10" ht="30" x14ac:dyDescent="0.25">
      <c r="A1988" s="20" t="s">
        <v>137</v>
      </c>
      <c r="B1988" s="20" t="s">
        <v>17</v>
      </c>
      <c r="C1988" s="20" t="s">
        <v>13</v>
      </c>
      <c r="D1988" s="20" t="s">
        <v>9</v>
      </c>
      <c r="E1988" s="20" t="s">
        <v>10</v>
      </c>
      <c r="F1988" s="20">
        <v>2280.109602</v>
      </c>
      <c r="G1988" s="11">
        <f>VLOOKUP(A1988,'Operational Data'!$A$2:$E$201,3,FALSE)</f>
        <v>19265</v>
      </c>
      <c r="H1988" s="11">
        <f>VLOOKUP(A1988,'Operational Data'!$A$2:$E$201,4,FALSE)</f>
        <v>776.6</v>
      </c>
      <c r="I1988" s="11">
        <f>VLOOKUP(A1988,'Operational Data'!$A$2:$E$201,5,FALSE)</f>
        <v>39.75</v>
      </c>
      <c r="J1988" s="21">
        <f t="shared" si="31"/>
        <v>0.11835502735530755</v>
      </c>
    </row>
    <row r="1989" spans="1:10" x14ac:dyDescent="0.25">
      <c r="A1989" s="20" t="s">
        <v>101</v>
      </c>
      <c r="B1989" s="20" t="s">
        <v>19</v>
      </c>
      <c r="C1989" s="20" t="s">
        <v>34</v>
      </c>
      <c r="D1989" s="20" t="s">
        <v>9</v>
      </c>
      <c r="E1989" s="20" t="s">
        <v>24</v>
      </c>
      <c r="F1989" s="20">
        <v>4839.8084959999996</v>
      </c>
      <c r="G1989" s="11">
        <f>VLOOKUP(A1989,'Operational Data'!$A$2:$E$201,3,FALSE)</f>
        <v>39050</v>
      </c>
      <c r="H1989" s="11">
        <f>VLOOKUP(A1989,'Operational Data'!$A$2:$E$201,4,FALSE)</f>
        <v>5885.73</v>
      </c>
      <c r="I1989" s="11">
        <f>VLOOKUP(A1989,'Operational Data'!$A$2:$E$201,5,FALSE)</f>
        <v>93.04</v>
      </c>
      <c r="J1989" s="21">
        <f t="shared" si="31"/>
        <v>0.12393875790012804</v>
      </c>
    </row>
    <row r="1990" spans="1:10" x14ac:dyDescent="0.25">
      <c r="A1990" s="20" t="s">
        <v>84</v>
      </c>
      <c r="B1990" s="20" t="s">
        <v>30</v>
      </c>
      <c r="C1990" s="20" t="s">
        <v>13</v>
      </c>
      <c r="D1990" s="20" t="s">
        <v>14</v>
      </c>
      <c r="E1990" s="20" t="s">
        <v>24</v>
      </c>
      <c r="F1990" s="20">
        <v>506.81</v>
      </c>
      <c r="G1990" s="11">
        <f>VLOOKUP(A1990,'Operational Data'!$A$2:$E$201,3,FALSE)</f>
        <v>85444</v>
      </c>
      <c r="H1990" s="11">
        <f>VLOOKUP(A1990,'Operational Data'!$A$2:$E$201,4,FALSE)</f>
        <v>852.57</v>
      </c>
      <c r="I1990" s="11">
        <f>VLOOKUP(A1990,'Operational Data'!$A$2:$E$201,5,FALSE)</f>
        <v>72.650000000000006</v>
      </c>
      <c r="J1990" s="21">
        <f t="shared" si="31"/>
        <v>5.9314872899208842E-3</v>
      </c>
    </row>
    <row r="1991" spans="1:10" x14ac:dyDescent="0.25">
      <c r="A1991" s="20" t="s">
        <v>35</v>
      </c>
      <c r="B1991" s="20" t="s">
        <v>19</v>
      </c>
      <c r="C1991" s="20" t="s">
        <v>13</v>
      </c>
      <c r="D1991" s="20" t="s">
        <v>9</v>
      </c>
      <c r="E1991" s="20" t="s">
        <v>15</v>
      </c>
      <c r="F1991" s="20">
        <v>3907.2413280000001</v>
      </c>
      <c r="G1991" s="11">
        <f>VLOOKUP(A1991,'Operational Data'!$A$2:$E$201,3,FALSE)</f>
        <v>42382</v>
      </c>
      <c r="H1991" s="11">
        <f>VLOOKUP(A1991,'Operational Data'!$A$2:$E$201,4,FALSE)</f>
        <v>5116.6899999999996</v>
      </c>
      <c r="I1991" s="11">
        <f>VLOOKUP(A1991,'Operational Data'!$A$2:$E$201,5,FALSE)</f>
        <v>80.42</v>
      </c>
      <c r="J1991" s="21">
        <f t="shared" si="31"/>
        <v>9.2191055825586329E-2</v>
      </c>
    </row>
    <row r="1992" spans="1:10" ht="30" x14ac:dyDescent="0.25">
      <c r="A1992" s="20" t="s">
        <v>216</v>
      </c>
      <c r="B1992" s="20" t="s">
        <v>17</v>
      </c>
      <c r="C1992" s="20" t="s">
        <v>13</v>
      </c>
      <c r="D1992" s="20" t="s">
        <v>9</v>
      </c>
      <c r="E1992" s="20" t="s">
        <v>15</v>
      </c>
      <c r="F1992" s="20">
        <v>2483.820612</v>
      </c>
      <c r="G1992" s="11">
        <f>VLOOKUP(A1992,'Operational Data'!$A$2:$E$201,3,FALSE)</f>
        <v>13302</v>
      </c>
      <c r="H1992" s="11">
        <f>VLOOKUP(A1992,'Operational Data'!$A$2:$E$201,4,FALSE)</f>
        <v>821.51</v>
      </c>
      <c r="I1992" s="11">
        <f>VLOOKUP(A1992,'Operational Data'!$A$2:$E$201,5,FALSE)</f>
        <v>69.599999999999994</v>
      </c>
      <c r="J1992" s="21">
        <f t="shared" si="31"/>
        <v>0.18672535047361299</v>
      </c>
    </row>
    <row r="1993" spans="1:10" ht="30" x14ac:dyDescent="0.25">
      <c r="A1993" s="20" t="s">
        <v>133</v>
      </c>
      <c r="B1993" s="20" t="s">
        <v>17</v>
      </c>
      <c r="C1993" s="20" t="s">
        <v>23</v>
      </c>
      <c r="D1993" s="20" t="s">
        <v>28</v>
      </c>
      <c r="E1993" s="20" t="s">
        <v>10</v>
      </c>
      <c r="F1993" s="20">
        <v>139.57</v>
      </c>
      <c r="G1993" s="11">
        <f>VLOOKUP(A1993,'Operational Data'!$A$2:$E$201,3,FALSE)</f>
        <v>48501</v>
      </c>
      <c r="H1993" s="11">
        <f>VLOOKUP(A1993,'Operational Data'!$A$2:$E$201,4,FALSE)</f>
        <v>7209.77</v>
      </c>
      <c r="I1993" s="11">
        <f>VLOOKUP(A1993,'Operational Data'!$A$2:$E$201,5,FALSE)</f>
        <v>92.51</v>
      </c>
      <c r="J1993" s="21">
        <f t="shared" si="31"/>
        <v>2.8776726253066944E-3</v>
      </c>
    </row>
    <row r="1994" spans="1:10" x14ac:dyDescent="0.25">
      <c r="A1994" s="20" t="s">
        <v>184</v>
      </c>
      <c r="B1994" s="20" t="s">
        <v>30</v>
      </c>
      <c r="C1994" s="20" t="s">
        <v>13</v>
      </c>
      <c r="D1994" s="20" t="s">
        <v>9</v>
      </c>
      <c r="E1994" s="20" t="s">
        <v>15</v>
      </c>
      <c r="F1994" s="20">
        <v>2912.6626670000001</v>
      </c>
      <c r="G1994" s="11">
        <f>VLOOKUP(A1994,'Operational Data'!$A$2:$E$201,3,FALSE)</f>
        <v>13543</v>
      </c>
      <c r="H1994" s="11">
        <f>VLOOKUP(A1994,'Operational Data'!$A$2:$E$201,4,FALSE)</f>
        <v>7854.96</v>
      </c>
      <c r="I1994" s="11">
        <f>VLOOKUP(A1994,'Operational Data'!$A$2:$E$201,5,FALSE)</f>
        <v>85.57</v>
      </c>
      <c r="J1994" s="21">
        <f t="shared" si="31"/>
        <v>0.21506775950675627</v>
      </c>
    </row>
    <row r="1995" spans="1:10" x14ac:dyDescent="0.25">
      <c r="A1995" s="20" t="s">
        <v>106</v>
      </c>
      <c r="B1995" s="20" t="s">
        <v>12</v>
      </c>
      <c r="C1995" s="20" t="s">
        <v>34</v>
      </c>
      <c r="D1995" s="20" t="s">
        <v>14</v>
      </c>
      <c r="E1995" s="20" t="s">
        <v>15</v>
      </c>
      <c r="F1995" s="20">
        <v>479.83</v>
      </c>
      <c r="G1995" s="11">
        <f>VLOOKUP(A1995,'Operational Data'!$A$2:$E$201,3,FALSE)</f>
        <v>21386</v>
      </c>
      <c r="H1995" s="11">
        <f>VLOOKUP(A1995,'Operational Data'!$A$2:$E$201,4,FALSE)</f>
        <v>2271.92</v>
      </c>
      <c r="I1995" s="11">
        <f>VLOOKUP(A1995,'Operational Data'!$A$2:$E$201,5,FALSE)</f>
        <v>49.67</v>
      </c>
      <c r="J1995" s="21">
        <f t="shared" si="31"/>
        <v>2.2436640793042178E-2</v>
      </c>
    </row>
    <row r="1996" spans="1:10" x14ac:dyDescent="0.25">
      <c r="A1996" s="20" t="s">
        <v>118</v>
      </c>
      <c r="B1996" s="20" t="s">
        <v>30</v>
      </c>
      <c r="C1996" s="20" t="s">
        <v>34</v>
      </c>
      <c r="D1996" s="20" t="s">
        <v>9</v>
      </c>
      <c r="E1996" s="20" t="s">
        <v>15</v>
      </c>
      <c r="F1996" s="20">
        <v>5275.2422539999998</v>
      </c>
      <c r="G1996" s="11">
        <f>VLOOKUP(A1996,'Operational Data'!$A$2:$E$201,3,FALSE)</f>
        <v>68492</v>
      </c>
      <c r="H1996" s="11">
        <f>VLOOKUP(A1996,'Operational Data'!$A$2:$E$201,4,FALSE)</f>
        <v>3533.88</v>
      </c>
      <c r="I1996" s="11">
        <f>VLOOKUP(A1996,'Operational Data'!$A$2:$E$201,5,FALSE)</f>
        <v>52.99</v>
      </c>
      <c r="J1996" s="21">
        <f t="shared" si="31"/>
        <v>7.701983084155814E-2</v>
      </c>
    </row>
    <row r="1997" spans="1:10" ht="30" x14ac:dyDescent="0.25">
      <c r="A1997" s="20" t="s">
        <v>116</v>
      </c>
      <c r="B1997" s="20" t="s">
        <v>17</v>
      </c>
      <c r="C1997" s="20" t="s">
        <v>8</v>
      </c>
      <c r="D1997" s="20" t="s">
        <v>14</v>
      </c>
      <c r="E1997" s="20" t="s">
        <v>15</v>
      </c>
      <c r="F1997" s="20">
        <v>3515.66</v>
      </c>
      <c r="G1997" s="11">
        <f>VLOOKUP(A1997,'Operational Data'!$A$2:$E$201,3,FALSE)</f>
        <v>68216</v>
      </c>
      <c r="H1997" s="11">
        <f>VLOOKUP(A1997,'Operational Data'!$A$2:$E$201,4,FALSE)</f>
        <v>9562.33</v>
      </c>
      <c r="I1997" s="11">
        <f>VLOOKUP(A1997,'Operational Data'!$A$2:$E$201,5,FALSE)</f>
        <v>63.59</v>
      </c>
      <c r="J1997" s="21">
        <f t="shared" si="31"/>
        <v>5.1537176029084086E-2</v>
      </c>
    </row>
    <row r="1998" spans="1:10" x14ac:dyDescent="0.25">
      <c r="A1998" s="20" t="s">
        <v>110</v>
      </c>
      <c r="B1998" s="20" t="s">
        <v>12</v>
      </c>
      <c r="C1998" s="20" t="s">
        <v>34</v>
      </c>
      <c r="D1998" s="20" t="s">
        <v>9</v>
      </c>
      <c r="E1998" s="20" t="s">
        <v>15</v>
      </c>
      <c r="F1998" s="20">
        <v>771.45</v>
      </c>
      <c r="G1998" s="11">
        <f>VLOOKUP(A1998,'Operational Data'!$A$2:$E$201,3,FALSE)</f>
        <v>70481</v>
      </c>
      <c r="H1998" s="11">
        <f>VLOOKUP(A1998,'Operational Data'!$A$2:$E$201,4,FALSE)</f>
        <v>4452.83</v>
      </c>
      <c r="I1998" s="11">
        <f>VLOOKUP(A1998,'Operational Data'!$A$2:$E$201,5,FALSE)</f>
        <v>91.26</v>
      </c>
      <c r="J1998" s="21">
        <f t="shared" si="31"/>
        <v>1.0945503043373392E-2</v>
      </c>
    </row>
    <row r="1999" spans="1:10" x14ac:dyDescent="0.25">
      <c r="A1999" s="20" t="s">
        <v>172</v>
      </c>
      <c r="B1999" s="20" t="s">
        <v>7</v>
      </c>
      <c r="C1999" s="20" t="s">
        <v>34</v>
      </c>
      <c r="D1999" s="20" t="s">
        <v>28</v>
      </c>
      <c r="E1999" s="20" t="s">
        <v>15</v>
      </c>
      <c r="F1999" s="20">
        <v>705.84</v>
      </c>
      <c r="G1999" s="11">
        <f>VLOOKUP(A1999,'Operational Data'!$A$2:$E$201,3,FALSE)</f>
        <v>68820</v>
      </c>
      <c r="H1999" s="11">
        <f>VLOOKUP(A1999,'Operational Data'!$A$2:$E$201,4,FALSE)</f>
        <v>9612.25</v>
      </c>
      <c r="I1999" s="11">
        <f>VLOOKUP(A1999,'Operational Data'!$A$2:$E$201,5,FALSE)</f>
        <v>83.51</v>
      </c>
      <c r="J1999" s="21">
        <f t="shared" si="31"/>
        <v>1.0256320836965999E-2</v>
      </c>
    </row>
    <row r="2000" spans="1:10" x14ac:dyDescent="0.25">
      <c r="A2000" s="20" t="s">
        <v>126</v>
      </c>
      <c r="B2000" s="20" t="s">
        <v>30</v>
      </c>
      <c r="C2000" s="20" t="s">
        <v>23</v>
      </c>
      <c r="D2000" s="20" t="s">
        <v>9</v>
      </c>
      <c r="E2000" s="20" t="s">
        <v>10</v>
      </c>
      <c r="F2000" s="20">
        <v>3398.71</v>
      </c>
      <c r="G2000" s="11">
        <f>VLOOKUP(A2000,'Operational Data'!$A$2:$E$201,3,FALSE)</f>
        <v>35506</v>
      </c>
      <c r="H2000" s="11">
        <f>VLOOKUP(A2000,'Operational Data'!$A$2:$E$201,4,FALSE)</f>
        <v>1892.04</v>
      </c>
      <c r="I2000" s="11">
        <f>VLOOKUP(A2000,'Operational Data'!$A$2:$E$201,5,FALSE)</f>
        <v>61.53</v>
      </c>
      <c r="J2000" s="21">
        <f t="shared" si="31"/>
        <v>9.572213147073734E-2</v>
      </c>
    </row>
    <row r="2001" spans="1:10" x14ac:dyDescent="0.25">
      <c r="A2001" s="20" t="s">
        <v>107</v>
      </c>
      <c r="B2001" s="20" t="s">
        <v>30</v>
      </c>
      <c r="C2001" s="20" t="s">
        <v>34</v>
      </c>
      <c r="D2001" s="20" t="s">
        <v>28</v>
      </c>
      <c r="E2001" s="20" t="s">
        <v>24</v>
      </c>
      <c r="F2001" s="20">
        <v>2433.04</v>
      </c>
      <c r="G2001" s="11">
        <f>VLOOKUP(A2001,'Operational Data'!$A$2:$E$201,3,FALSE)</f>
        <v>69305</v>
      </c>
      <c r="H2001" s="11">
        <f>VLOOKUP(A2001,'Operational Data'!$A$2:$E$201,4,FALSE)</f>
        <v>3203.67</v>
      </c>
      <c r="I2001" s="11">
        <f>VLOOKUP(A2001,'Operational Data'!$A$2:$E$201,5,FALSE)</f>
        <v>83.65</v>
      </c>
      <c r="J2001" s="21">
        <f t="shared" si="31"/>
        <v>3.5106269388932979E-2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4CFC6-D4F5-4476-956B-3DC27E337847}">
  <dimension ref="B1:H23"/>
  <sheetViews>
    <sheetView zoomScaleNormal="100" workbookViewId="0">
      <selection activeCell="K5" sqref="K5"/>
    </sheetView>
  </sheetViews>
  <sheetFormatPr defaultRowHeight="15.75" x14ac:dyDescent="0.25"/>
  <cols>
    <col min="2" max="2" width="26.42578125" bestFit="1" customWidth="1"/>
    <col min="4" max="4" width="26.85546875" bestFit="1" customWidth="1"/>
    <col min="5" max="5" width="12.140625" customWidth="1"/>
    <col min="6" max="6" width="39.140625" style="26" bestFit="1" customWidth="1"/>
    <col min="7" max="7" width="31.85546875" customWidth="1"/>
    <col min="8" max="8" width="11.140625" customWidth="1"/>
  </cols>
  <sheetData>
    <row r="1" spans="2:8" ht="16.5" thickBot="1" x14ac:dyDescent="0.3"/>
    <row r="2" spans="2:8" ht="35.25" customHeight="1" x14ac:dyDescent="0.25">
      <c r="B2" s="48" t="s">
        <v>456</v>
      </c>
      <c r="D2" s="48" t="s">
        <v>457</v>
      </c>
      <c r="F2" s="48" t="s">
        <v>458</v>
      </c>
      <c r="H2" s="28"/>
    </row>
    <row r="3" spans="2:8" ht="18" thickBot="1" x14ac:dyDescent="0.35">
      <c r="B3" s="49"/>
      <c r="D3" s="49"/>
      <c r="F3" s="49"/>
      <c r="H3" s="29"/>
    </row>
    <row r="4" spans="2:8" ht="15" customHeight="1" x14ac:dyDescent="0.3">
      <c r="F4" s="29"/>
    </row>
    <row r="5" spans="2:8" ht="16.5" customHeight="1" x14ac:dyDescent="0.25"/>
    <row r="7" spans="2:8" ht="15" x14ac:dyDescent="0.25">
      <c r="F7"/>
      <c r="G7" s="3"/>
    </row>
    <row r="8" spans="2:8" ht="15" x14ac:dyDescent="0.25">
      <c r="F8"/>
    </row>
    <row r="9" spans="2:8" ht="15" x14ac:dyDescent="0.25">
      <c r="F9"/>
    </row>
    <row r="10" spans="2:8" ht="15" x14ac:dyDescent="0.25">
      <c r="F10"/>
    </row>
    <row r="11" spans="2:8" ht="15" x14ac:dyDescent="0.25">
      <c r="F11"/>
    </row>
    <row r="12" spans="2:8" ht="15" x14ac:dyDescent="0.25">
      <c r="F12"/>
    </row>
    <row r="19" spans="5:7" ht="16.5" thickBot="1" x14ac:dyDescent="0.3"/>
    <row r="20" spans="5:7" ht="30.75" thickBot="1" x14ac:dyDescent="0.3">
      <c r="E20" s="39" t="s">
        <v>427</v>
      </c>
      <c r="F20" s="40" t="s">
        <v>428</v>
      </c>
      <c r="G20" s="41" t="s">
        <v>429</v>
      </c>
    </row>
    <row r="21" spans="5:7" ht="45.75" thickBot="1" x14ac:dyDescent="0.3">
      <c r="E21" s="42" t="s">
        <v>430</v>
      </c>
      <c r="F21" s="43" t="s">
        <v>431</v>
      </c>
      <c r="G21" s="44" t="s">
        <v>432</v>
      </c>
    </row>
    <row r="22" spans="5:7" ht="30.75" thickBot="1" x14ac:dyDescent="0.3">
      <c r="E22" s="42" t="s">
        <v>433</v>
      </c>
      <c r="F22" s="43">
        <v>2050</v>
      </c>
      <c r="G22" s="44" t="s">
        <v>434</v>
      </c>
    </row>
    <row r="23" spans="5:7" ht="45.75" thickBot="1" x14ac:dyDescent="0.3">
      <c r="E23" s="45" t="s">
        <v>435</v>
      </c>
      <c r="F23" s="46" t="s">
        <v>436</v>
      </c>
      <c r="G23" s="47" t="s">
        <v>437</v>
      </c>
    </row>
  </sheetData>
  <mergeCells count="3">
    <mergeCell ref="D2:D3"/>
    <mergeCell ref="B2:B3"/>
    <mergeCell ref="F2:F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23DD8-AB7F-42C4-A4F7-17E5663E76A0}">
  <dimension ref="A2:J8"/>
  <sheetViews>
    <sheetView workbookViewId="0">
      <selection activeCell="H28" sqref="H28"/>
    </sheetView>
  </sheetViews>
  <sheetFormatPr defaultRowHeight="15" x14ac:dyDescent="0.25"/>
  <cols>
    <col min="1" max="1" width="23.7109375" bestFit="1" customWidth="1"/>
    <col min="2" max="2" width="19.42578125" bestFit="1" customWidth="1"/>
    <col min="3" max="4" width="13.7109375" bestFit="1" customWidth="1"/>
    <col min="5" max="5" width="19" bestFit="1" customWidth="1"/>
    <col min="6" max="7" width="13.7109375" bestFit="1" customWidth="1"/>
    <col min="8" max="8" width="12" bestFit="1" customWidth="1"/>
    <col min="9" max="9" width="16" bestFit="1" customWidth="1"/>
    <col min="10" max="10" width="23.7109375" bestFit="1" customWidth="1"/>
    <col min="11" max="11" width="18.7109375" bestFit="1" customWidth="1"/>
    <col min="12" max="12" width="12" bestFit="1" customWidth="1"/>
    <col min="13" max="13" width="12.7109375" bestFit="1" customWidth="1"/>
    <col min="14" max="16" width="12" bestFit="1" customWidth="1"/>
    <col min="17" max="17" width="18.7109375" bestFit="1" customWidth="1"/>
    <col min="18" max="18" width="12" bestFit="1" customWidth="1"/>
    <col min="19" max="19" width="12.7109375" bestFit="1" customWidth="1"/>
    <col min="20" max="22" width="12" bestFit="1" customWidth="1"/>
    <col min="23" max="23" width="18.7109375" bestFit="1" customWidth="1"/>
    <col min="24" max="24" width="12" bestFit="1" customWidth="1"/>
    <col min="25" max="25" width="12.7109375" bestFit="1" customWidth="1"/>
    <col min="26" max="26" width="12" bestFit="1" customWidth="1"/>
  </cols>
  <sheetData>
    <row r="2" spans="1:10" ht="15.75" x14ac:dyDescent="0.25">
      <c r="A2" s="25" t="s">
        <v>440</v>
      </c>
      <c r="B2" s="25" t="s">
        <v>441</v>
      </c>
      <c r="C2" s="26"/>
      <c r="D2" s="26"/>
      <c r="E2" s="26"/>
      <c r="F2" s="26"/>
      <c r="G2" s="26"/>
      <c r="I2" s="25" t="s">
        <v>438</v>
      </c>
      <c r="J2" s="26" t="s">
        <v>440</v>
      </c>
    </row>
    <row r="3" spans="1:10" ht="15.75" x14ac:dyDescent="0.25">
      <c r="A3" s="25" t="s">
        <v>438</v>
      </c>
      <c r="B3" s="26" t="s">
        <v>30</v>
      </c>
      <c r="C3" s="26" t="s">
        <v>7</v>
      </c>
      <c r="D3" s="26" t="s">
        <v>12</v>
      </c>
      <c r="E3" s="26" t="s">
        <v>17</v>
      </c>
      <c r="F3" s="26" t="s">
        <v>19</v>
      </c>
      <c r="G3" s="26" t="s">
        <v>439</v>
      </c>
      <c r="I3" s="26" t="s">
        <v>8</v>
      </c>
      <c r="J3" s="51">
        <v>1256202.8636468977</v>
      </c>
    </row>
    <row r="4" spans="1:10" ht="15.75" x14ac:dyDescent="0.25">
      <c r="A4" s="26" t="s">
        <v>8</v>
      </c>
      <c r="B4" s="51">
        <v>340708.91512470035</v>
      </c>
      <c r="C4" s="51">
        <v>203900.76840210008</v>
      </c>
      <c r="D4" s="51">
        <v>188012.60904380004</v>
      </c>
      <c r="E4" s="51">
        <v>263715.98614679993</v>
      </c>
      <c r="F4" s="51">
        <v>259864.58492950001</v>
      </c>
      <c r="G4" s="51">
        <v>1256202.8636469005</v>
      </c>
      <c r="I4" s="26" t="s">
        <v>13</v>
      </c>
      <c r="J4" s="51">
        <v>1357086.2778158016</v>
      </c>
    </row>
    <row r="5" spans="1:10" ht="15.75" x14ac:dyDescent="0.25">
      <c r="A5" s="26" t="s">
        <v>13</v>
      </c>
      <c r="B5" s="51">
        <v>326256.59780630009</v>
      </c>
      <c r="C5" s="51">
        <v>284347.80954809987</v>
      </c>
      <c r="D5" s="51">
        <v>211151.0938876</v>
      </c>
      <c r="E5" s="51">
        <v>229042.00216819998</v>
      </c>
      <c r="F5" s="51">
        <v>306288.77440559992</v>
      </c>
      <c r="G5" s="51">
        <v>1357086.2778158002</v>
      </c>
      <c r="I5" s="26" t="s">
        <v>34</v>
      </c>
      <c r="J5" s="51">
        <v>1346028.9697205001</v>
      </c>
    </row>
    <row r="6" spans="1:10" ht="15.75" x14ac:dyDescent="0.25">
      <c r="A6" s="26" t="s">
        <v>34</v>
      </c>
      <c r="B6" s="51">
        <v>360843.2142764997</v>
      </c>
      <c r="C6" s="51">
        <v>217291.77147430004</v>
      </c>
      <c r="D6" s="51">
        <v>214720.7776948</v>
      </c>
      <c r="E6" s="51">
        <v>252643.37937040001</v>
      </c>
      <c r="F6" s="51">
        <v>300529.82690450014</v>
      </c>
      <c r="G6" s="51">
        <v>1346028.9697204998</v>
      </c>
      <c r="I6" s="26" t="s">
        <v>23</v>
      </c>
      <c r="J6" s="51">
        <v>1257073.9556838011</v>
      </c>
    </row>
    <row r="7" spans="1:10" ht="15.75" x14ac:dyDescent="0.25">
      <c r="A7" s="26" t="s">
        <v>23</v>
      </c>
      <c r="B7" s="51">
        <v>333304.58862180001</v>
      </c>
      <c r="C7" s="51">
        <v>240974.1356137</v>
      </c>
      <c r="D7" s="51">
        <v>202190.12861969997</v>
      </c>
      <c r="E7" s="51">
        <v>219288.22022130003</v>
      </c>
      <c r="F7" s="51">
        <v>261316.88260730001</v>
      </c>
      <c r="G7" s="51">
        <v>1257073.9556837999</v>
      </c>
      <c r="I7" s="26" t="s">
        <v>439</v>
      </c>
      <c r="J7" s="51">
        <v>5216392.0668670004</v>
      </c>
    </row>
    <row r="8" spans="1:10" ht="15.75" x14ac:dyDescent="0.25">
      <c r="A8" s="26" t="s">
        <v>439</v>
      </c>
      <c r="B8" s="51">
        <v>1361113.3158293001</v>
      </c>
      <c r="C8" s="51">
        <v>946514.48503820004</v>
      </c>
      <c r="D8" s="51">
        <v>816074.60924590006</v>
      </c>
      <c r="E8" s="51">
        <v>964689.58790669998</v>
      </c>
      <c r="F8" s="51">
        <v>1128000.0688469</v>
      </c>
      <c r="G8" s="51">
        <v>5216392.0668669995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770C-BCA1-4802-BFC7-9326946628A7}">
  <dimension ref="A1:B9"/>
  <sheetViews>
    <sheetView workbookViewId="0">
      <selection activeCell="I23" sqref="I23"/>
    </sheetView>
  </sheetViews>
  <sheetFormatPr defaultRowHeight="15" x14ac:dyDescent="0.25"/>
  <cols>
    <col min="1" max="1" width="18.140625" bestFit="1" customWidth="1"/>
    <col min="2" max="2" width="23.28515625" bestFit="1" customWidth="1"/>
  </cols>
  <sheetData>
    <row r="1" spans="1:2" x14ac:dyDescent="0.25">
      <c r="A1" s="7" t="s">
        <v>2</v>
      </c>
      <c r="B1" t="s">
        <v>443</v>
      </c>
    </row>
    <row r="3" spans="1:2" x14ac:dyDescent="0.25">
      <c r="A3" s="7" t="s">
        <v>438</v>
      </c>
      <c r="B3" t="s">
        <v>440</v>
      </c>
    </row>
    <row r="4" spans="1:2" x14ac:dyDescent="0.25">
      <c r="A4" s="8" t="s">
        <v>30</v>
      </c>
      <c r="B4" s="50">
        <v>1361113.315829301</v>
      </c>
    </row>
    <row r="5" spans="1:2" x14ac:dyDescent="0.25">
      <c r="A5" s="8" t="s">
        <v>19</v>
      </c>
      <c r="B5" s="50">
        <v>1128000.0688469009</v>
      </c>
    </row>
    <row r="6" spans="1:2" x14ac:dyDescent="0.25">
      <c r="A6" s="8" t="s">
        <v>17</v>
      </c>
      <c r="B6" s="50">
        <v>964689.58790669881</v>
      </c>
    </row>
    <row r="7" spans="1:2" x14ac:dyDescent="0.25">
      <c r="A7" s="8" t="s">
        <v>7</v>
      </c>
      <c r="B7" s="50">
        <v>946514.48503819993</v>
      </c>
    </row>
    <row r="8" spans="1:2" x14ac:dyDescent="0.25">
      <c r="A8" s="8" t="s">
        <v>12</v>
      </c>
      <c r="B8" s="50">
        <v>816074.60924589948</v>
      </c>
    </row>
    <row r="9" spans="1:2" x14ac:dyDescent="0.25">
      <c r="A9" s="8" t="s">
        <v>439</v>
      </c>
      <c r="B9" s="50">
        <v>5216392.0668669995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8C194-A314-4C2A-ABCD-6513D1C1E47D}">
  <dimension ref="A3:E10"/>
  <sheetViews>
    <sheetView workbookViewId="0">
      <selection activeCell="K31" sqref="K31"/>
    </sheetView>
  </sheetViews>
  <sheetFormatPr defaultRowHeight="15" x14ac:dyDescent="0.25"/>
  <cols>
    <col min="1" max="1" width="23.7109375" bestFit="1" customWidth="1"/>
    <col min="2" max="2" width="19.42578125" bestFit="1" customWidth="1"/>
    <col min="3" max="3" width="12.42578125" bestFit="1" customWidth="1"/>
    <col min="4" max="5" width="13.7109375" bestFit="1" customWidth="1"/>
  </cols>
  <sheetData>
    <row r="3" spans="1:5" ht="15.75" x14ac:dyDescent="0.25">
      <c r="A3" s="25" t="s">
        <v>440</v>
      </c>
      <c r="B3" s="25" t="s">
        <v>441</v>
      </c>
      <c r="C3" s="26"/>
      <c r="D3" s="26"/>
      <c r="E3" s="26"/>
    </row>
    <row r="4" spans="1:5" ht="15.75" x14ac:dyDescent="0.25">
      <c r="A4" s="25" t="s">
        <v>438</v>
      </c>
      <c r="B4" s="26" t="s">
        <v>14</v>
      </c>
      <c r="C4" s="26" t="s">
        <v>28</v>
      </c>
      <c r="D4" s="26" t="s">
        <v>9</v>
      </c>
      <c r="E4" s="26" t="s">
        <v>439</v>
      </c>
    </row>
    <row r="5" spans="1:5" ht="15.75" x14ac:dyDescent="0.25">
      <c r="A5" s="26" t="s">
        <v>30</v>
      </c>
      <c r="B5" s="51">
        <v>472128.33000000019</v>
      </c>
      <c r="C5" s="51">
        <v>450934.48000000004</v>
      </c>
      <c r="D5" s="51">
        <v>438050.50582930009</v>
      </c>
      <c r="E5" s="51">
        <v>1361113.3158293003</v>
      </c>
    </row>
    <row r="6" spans="1:5" ht="15.75" x14ac:dyDescent="0.25">
      <c r="A6" s="26" t="s">
        <v>7</v>
      </c>
      <c r="B6" s="51">
        <v>333523.87000000011</v>
      </c>
      <c r="C6" s="51">
        <v>320044.65999999997</v>
      </c>
      <c r="D6" s="51">
        <v>292945.95503820002</v>
      </c>
      <c r="E6" s="51">
        <v>946514.48503820004</v>
      </c>
    </row>
    <row r="7" spans="1:5" ht="15.75" x14ac:dyDescent="0.25">
      <c r="A7" s="26" t="s">
        <v>12</v>
      </c>
      <c r="B7" s="51">
        <v>275810.67000000004</v>
      </c>
      <c r="C7" s="51">
        <v>253401.97</v>
      </c>
      <c r="D7" s="51">
        <v>286861.96924589999</v>
      </c>
      <c r="E7" s="51">
        <v>816074.60924590006</v>
      </c>
    </row>
    <row r="8" spans="1:5" ht="15.75" x14ac:dyDescent="0.25">
      <c r="A8" s="26" t="s">
        <v>17</v>
      </c>
      <c r="B8" s="51">
        <v>280089.42999999982</v>
      </c>
      <c r="C8" s="51">
        <v>325701.40000000002</v>
      </c>
      <c r="D8" s="51">
        <v>358898.75790670008</v>
      </c>
      <c r="E8" s="51">
        <v>964689.58790669986</v>
      </c>
    </row>
    <row r="9" spans="1:5" ht="15.75" x14ac:dyDescent="0.25">
      <c r="A9" s="26" t="s">
        <v>19</v>
      </c>
      <c r="B9" s="51">
        <v>402291.23000000016</v>
      </c>
      <c r="C9" s="51">
        <v>335605.63</v>
      </c>
      <c r="D9" s="51">
        <v>390103.20884690015</v>
      </c>
      <c r="E9" s="51">
        <v>1128000.0688469002</v>
      </c>
    </row>
    <row r="10" spans="1:5" ht="15.75" x14ac:dyDescent="0.25">
      <c r="A10" s="26" t="s">
        <v>439</v>
      </c>
      <c r="B10" s="51">
        <v>1763843.5300000005</v>
      </c>
      <c r="C10" s="51">
        <v>1685688.1400000001</v>
      </c>
      <c r="D10" s="51">
        <v>1766860.3968670003</v>
      </c>
      <c r="E10" s="51">
        <v>5216392.0668670004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E3EAE-DB30-4DA5-947E-25D4F6BBC642}">
  <dimension ref="A3:I21"/>
  <sheetViews>
    <sheetView tabSelected="1" workbookViewId="0">
      <selection activeCell="D26" sqref="D26"/>
    </sheetView>
  </sheetViews>
  <sheetFormatPr defaultRowHeight="15" x14ac:dyDescent="0.25"/>
  <cols>
    <col min="1" max="1" width="16" bestFit="1" customWidth="1"/>
    <col min="2" max="2" width="34.42578125" bestFit="1" customWidth="1"/>
    <col min="3" max="3" width="18" customWidth="1"/>
    <col min="4" max="4" width="25.28515625" bestFit="1" customWidth="1"/>
    <col min="5" max="5" width="19.42578125" bestFit="1" customWidth="1"/>
    <col min="6" max="9" width="13.7109375" bestFit="1" customWidth="1"/>
  </cols>
  <sheetData>
    <row r="3" spans="1:9" ht="15.75" x14ac:dyDescent="0.25">
      <c r="A3" s="25" t="s">
        <v>438</v>
      </c>
      <c r="B3" s="26" t="s">
        <v>451</v>
      </c>
      <c r="D3" s="25" t="s">
        <v>450</v>
      </c>
      <c r="E3" s="25" t="s">
        <v>441</v>
      </c>
      <c r="F3" s="26"/>
      <c r="G3" s="26"/>
      <c r="H3" s="26"/>
      <c r="I3" s="26"/>
    </row>
    <row r="4" spans="1:9" ht="15.75" x14ac:dyDescent="0.25">
      <c r="A4" s="26" t="s">
        <v>8</v>
      </c>
      <c r="B4" s="26">
        <v>2537816.0299999989</v>
      </c>
      <c r="D4" s="25" t="s">
        <v>438</v>
      </c>
      <c r="E4" s="26" t="s">
        <v>8</v>
      </c>
      <c r="F4" s="26" t="s">
        <v>13</v>
      </c>
      <c r="G4" s="26" t="s">
        <v>34</v>
      </c>
      <c r="H4" s="26" t="s">
        <v>23</v>
      </c>
      <c r="I4" s="26" t="s">
        <v>439</v>
      </c>
    </row>
    <row r="5" spans="1:9" ht="15.75" x14ac:dyDescent="0.25">
      <c r="A5" s="26" t="s">
        <v>13</v>
      </c>
      <c r="B5" s="26">
        <v>2777778.4300000006</v>
      </c>
      <c r="D5" s="26" t="s">
        <v>30</v>
      </c>
      <c r="E5" s="26">
        <v>8.2066888500050688</v>
      </c>
      <c r="F5" s="26">
        <v>9.0201929735969006</v>
      </c>
      <c r="G5" s="26">
        <v>8.6195184429833294</v>
      </c>
      <c r="H5" s="26">
        <v>7.9020547427871533</v>
      </c>
      <c r="I5" s="26">
        <v>33.748455009372449</v>
      </c>
    </row>
    <row r="6" spans="1:9" ht="15.75" x14ac:dyDescent="0.25">
      <c r="A6" s="26" t="s">
        <v>34</v>
      </c>
      <c r="B6" s="26">
        <v>2820785.2499999991</v>
      </c>
      <c r="D6" s="26" t="s">
        <v>7</v>
      </c>
      <c r="E6" s="26">
        <v>6.0512362412911589</v>
      </c>
      <c r="F6" s="26">
        <v>8.6100811595246913</v>
      </c>
      <c r="G6" s="26">
        <v>6.4130541517197992</v>
      </c>
      <c r="H6" s="26">
        <v>7.5687466806312447</v>
      </c>
      <c r="I6" s="26">
        <v>28.643118233166895</v>
      </c>
    </row>
    <row r="7" spans="1:9" ht="15.75" x14ac:dyDescent="0.25">
      <c r="A7" s="26" t="s">
        <v>23</v>
      </c>
      <c r="B7" s="26">
        <v>2647831.7400000007</v>
      </c>
      <c r="D7" s="26" t="s">
        <v>12</v>
      </c>
      <c r="E7" s="26">
        <v>5.4982929869757227</v>
      </c>
      <c r="F7" s="26">
        <v>4.8916696645402755</v>
      </c>
      <c r="G7" s="26">
        <v>5.6035447532095635</v>
      </c>
      <c r="H7" s="26">
        <v>5.2624811369808739</v>
      </c>
      <c r="I7" s="26">
        <v>21.255988541706436</v>
      </c>
    </row>
    <row r="8" spans="1:9" ht="15.75" x14ac:dyDescent="0.25">
      <c r="A8" s="26" t="s">
        <v>439</v>
      </c>
      <c r="B8" s="26">
        <v>10784211.449999999</v>
      </c>
      <c r="D8" s="26" t="s">
        <v>17</v>
      </c>
      <c r="E8" s="26">
        <v>7.0515341173360309</v>
      </c>
      <c r="F8" s="26">
        <v>5.9595570637026745</v>
      </c>
      <c r="G8" s="26">
        <v>6.2211011045180102</v>
      </c>
      <c r="H8" s="26">
        <v>6.0005337297814032</v>
      </c>
      <c r="I8" s="26">
        <v>25.232726015338116</v>
      </c>
    </row>
    <row r="9" spans="1:9" ht="15.75" x14ac:dyDescent="0.25">
      <c r="D9" s="26" t="s">
        <v>19</v>
      </c>
      <c r="E9" s="26">
        <v>6.6201883361475513</v>
      </c>
      <c r="F9" s="26">
        <v>8.2100162289150358</v>
      </c>
      <c r="G9" s="26">
        <v>7.8381201112783003</v>
      </c>
      <c r="H9" s="26">
        <v>6.3774916733469293</v>
      </c>
      <c r="I9" s="26">
        <v>29.045816349687819</v>
      </c>
    </row>
    <row r="10" spans="1:9" ht="15.75" x14ac:dyDescent="0.25">
      <c r="D10" s="26" t="s">
        <v>439</v>
      </c>
      <c r="E10" s="26">
        <v>33.427940531755532</v>
      </c>
      <c r="F10" s="26">
        <v>36.691517090279582</v>
      </c>
      <c r="G10" s="26">
        <v>34.695338563709001</v>
      </c>
      <c r="H10" s="26">
        <v>33.111307963527601</v>
      </c>
      <c r="I10" s="26">
        <v>137.92610414927171</v>
      </c>
    </row>
    <row r="11" spans="1:9" ht="15.75" x14ac:dyDescent="0.25"/>
    <row r="12" spans="1:9" ht="15.75" x14ac:dyDescent="0.25"/>
    <row r="13" spans="1:9" ht="15.75" x14ac:dyDescent="0.25"/>
    <row r="14" spans="1:9" ht="15.75" x14ac:dyDescent="0.25"/>
    <row r="15" spans="1:9" ht="15.75" x14ac:dyDescent="0.25"/>
    <row r="16" spans="1:9" ht="15.75" x14ac:dyDescent="0.25"/>
    <row r="17" ht="15.75" x14ac:dyDescent="0.25"/>
    <row r="18" ht="15.75" x14ac:dyDescent="0.25"/>
    <row r="19" ht="15.75" x14ac:dyDescent="0.25"/>
    <row r="20" ht="15.75" x14ac:dyDescent="0.25"/>
    <row r="21" ht="15.75" x14ac:dyDescent="0.25"/>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4C0D6-9AFD-4649-B123-F15348CC9952}">
  <dimension ref="A1:B9"/>
  <sheetViews>
    <sheetView workbookViewId="0">
      <selection activeCell="B15" sqref="B15"/>
    </sheetView>
  </sheetViews>
  <sheetFormatPr defaultRowHeight="15" x14ac:dyDescent="0.25"/>
  <cols>
    <col min="1" max="1" width="19" bestFit="1" customWidth="1"/>
    <col min="2" max="2" width="28.42578125" bestFit="1" customWidth="1"/>
    <col min="3" max="3" width="32.85546875" bestFit="1" customWidth="1"/>
    <col min="4" max="4" width="28.42578125" bestFit="1" customWidth="1"/>
  </cols>
  <sheetData>
    <row r="1" spans="1:2" ht="15.75" x14ac:dyDescent="0.25">
      <c r="A1" s="25" t="s">
        <v>2</v>
      </c>
      <c r="B1" s="26" t="s">
        <v>443</v>
      </c>
    </row>
    <row r="3" spans="1:2" ht="15.75" x14ac:dyDescent="0.25">
      <c r="A3" s="25" t="s">
        <v>438</v>
      </c>
      <c r="B3" s="26" t="s">
        <v>453</v>
      </c>
    </row>
    <row r="4" spans="1:2" ht="15.75" x14ac:dyDescent="0.25">
      <c r="A4" s="26" t="s">
        <v>30</v>
      </c>
      <c r="B4" s="26">
        <v>21.59667946683032</v>
      </c>
    </row>
    <row r="5" spans="1:2" ht="15.75" x14ac:dyDescent="0.25">
      <c r="A5" s="26" t="s">
        <v>7</v>
      </c>
      <c r="B5" s="26">
        <v>19.602404710426793</v>
      </c>
    </row>
    <row r="6" spans="1:2" ht="15.75" x14ac:dyDescent="0.25">
      <c r="A6" s="26" t="s">
        <v>12</v>
      </c>
      <c r="B6" s="26">
        <v>20.228905314496462</v>
      </c>
    </row>
    <row r="7" spans="1:2" ht="15.75" x14ac:dyDescent="0.25">
      <c r="A7" s="26" t="s">
        <v>17</v>
      </c>
      <c r="B7" s="26">
        <v>20.970196272043257</v>
      </c>
    </row>
    <row r="8" spans="1:2" ht="15.75" x14ac:dyDescent="0.25">
      <c r="A8" s="26" t="s">
        <v>19</v>
      </c>
      <c r="B8" s="26">
        <v>21.320205259015903</v>
      </c>
    </row>
    <row r="9" spans="1:2" ht="15.75" x14ac:dyDescent="0.25">
      <c r="A9" s="26" t="s">
        <v>439</v>
      </c>
      <c r="B9" s="26">
        <v>20.845194457422789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769D7-AA43-41E1-93F5-CAD098F3BEC3}">
  <dimension ref="A1:E14"/>
  <sheetViews>
    <sheetView workbookViewId="0">
      <selection activeCell="G10" sqref="G10"/>
    </sheetView>
  </sheetViews>
  <sheetFormatPr defaultRowHeight="15" x14ac:dyDescent="0.25"/>
  <cols>
    <col min="1" max="1" width="19" bestFit="1" customWidth="1"/>
    <col min="2" max="2" width="23.7109375" bestFit="1" customWidth="1"/>
    <col min="3" max="3" width="12" bestFit="1" customWidth="1"/>
    <col min="4" max="4" width="26.5703125" bestFit="1" customWidth="1"/>
    <col min="5" max="5" width="23.7109375" bestFit="1" customWidth="1"/>
    <col min="6" max="6" width="8.140625" bestFit="1" customWidth="1"/>
  </cols>
  <sheetData>
    <row r="1" spans="1:5" ht="15.75" x14ac:dyDescent="0.25">
      <c r="A1" s="14" t="s">
        <v>2</v>
      </c>
      <c r="B1" s="15" t="s">
        <v>8</v>
      </c>
      <c r="D1" s="14" t="s">
        <v>2</v>
      </c>
      <c r="E1" s="15" t="s">
        <v>23</v>
      </c>
    </row>
    <row r="2" spans="1:5" ht="15.75" x14ac:dyDescent="0.25">
      <c r="A2" s="15"/>
      <c r="B2" s="15"/>
      <c r="D2" s="15"/>
      <c r="E2" s="15"/>
    </row>
    <row r="3" spans="1:5" ht="15.75" x14ac:dyDescent="0.25">
      <c r="A3" s="14" t="s">
        <v>438</v>
      </c>
      <c r="B3" s="15" t="s">
        <v>440</v>
      </c>
      <c r="D3" s="14" t="s">
        <v>438</v>
      </c>
      <c r="E3" s="15" t="s">
        <v>440</v>
      </c>
    </row>
    <row r="4" spans="1:5" ht="15.75" x14ac:dyDescent="0.25">
      <c r="A4" s="16" t="s">
        <v>30</v>
      </c>
      <c r="B4" s="15">
        <v>340708.91512469971</v>
      </c>
      <c r="D4" s="16" t="s">
        <v>30</v>
      </c>
      <c r="E4" s="15">
        <v>333304.58862179995</v>
      </c>
    </row>
    <row r="5" spans="1:5" ht="15.75" x14ac:dyDescent="0.25">
      <c r="A5" s="16" t="s">
        <v>7</v>
      </c>
      <c r="B5" s="15">
        <v>203900.7684021001</v>
      </c>
      <c r="D5" s="16" t="s">
        <v>7</v>
      </c>
      <c r="E5" s="15">
        <v>240974.13561369997</v>
      </c>
    </row>
    <row r="6" spans="1:5" ht="15.75" x14ac:dyDescent="0.25">
      <c r="A6" s="16" t="s">
        <v>12</v>
      </c>
      <c r="B6" s="15">
        <v>188012.6090438001</v>
      </c>
      <c r="D6" s="16" t="s">
        <v>12</v>
      </c>
      <c r="E6" s="15">
        <v>202190.12861969986</v>
      </c>
    </row>
    <row r="7" spans="1:5" ht="15.75" x14ac:dyDescent="0.25">
      <c r="A7" s="16" t="s">
        <v>17</v>
      </c>
      <c r="B7" s="15">
        <v>263715.98614679987</v>
      </c>
      <c r="D7" s="16" t="s">
        <v>17</v>
      </c>
      <c r="E7" s="15">
        <v>219288.22022130003</v>
      </c>
    </row>
    <row r="8" spans="1:5" ht="15.75" x14ac:dyDescent="0.25">
      <c r="A8" s="16" t="s">
        <v>19</v>
      </c>
      <c r="B8" s="15">
        <v>259864.58492949989</v>
      </c>
      <c r="D8" s="16" t="s">
        <v>19</v>
      </c>
      <c r="E8" s="15">
        <v>261316.8826073001</v>
      </c>
    </row>
    <row r="9" spans="1:5" ht="15.75" x14ac:dyDescent="0.25">
      <c r="A9" s="16" t="s">
        <v>439</v>
      </c>
      <c r="B9" s="15">
        <v>1256202.8636468996</v>
      </c>
      <c r="D9" s="16" t="s">
        <v>439</v>
      </c>
      <c r="E9" s="15">
        <v>1257073.9556837999</v>
      </c>
    </row>
    <row r="10" spans="1:5" ht="15.75" thickBot="1" x14ac:dyDescent="0.3"/>
    <row r="11" spans="1:5" ht="16.5" thickBot="1" x14ac:dyDescent="0.3">
      <c r="A11" s="18" t="s">
        <v>445</v>
      </c>
      <c r="B11" s="19">
        <v>1256202.8636468996</v>
      </c>
      <c r="D11" s="18" t="s">
        <v>446</v>
      </c>
      <c r="E11" s="19">
        <v>1257073.9556837999</v>
      </c>
    </row>
    <row r="14" spans="1:5" ht="63" x14ac:dyDescent="0.25">
      <c r="A14" s="32" t="s">
        <v>447</v>
      </c>
      <c r="B14" s="31">
        <f>((1256202.864 - 1257073.956)/1256202.864)*100</f>
        <v>-6.9343258558272627E-2</v>
      </c>
      <c r="D14" s="24" t="s">
        <v>452</v>
      </c>
      <c r="E14" s="23">
        <v>1257073.9556837999</v>
      </c>
    </row>
  </sheetData>
  <pageMargins left="0.7" right="0.7" top="0.75" bottom="0.75" header="0.3" footer="0.3"/>
  <pageSetup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8EB68-EA52-4085-B0A0-22FE86357802}">
  <dimension ref="A1:G9"/>
  <sheetViews>
    <sheetView workbookViewId="0">
      <selection activeCell="C13" sqref="C13"/>
    </sheetView>
  </sheetViews>
  <sheetFormatPr defaultRowHeight="15" x14ac:dyDescent="0.25"/>
  <cols>
    <col min="1" max="1" width="18.140625" bestFit="1" customWidth="1"/>
    <col min="2" max="2" width="23.28515625" bestFit="1" customWidth="1"/>
    <col min="3" max="3" width="32" bestFit="1" customWidth="1"/>
    <col min="5" max="5" width="18.140625" bestFit="1" customWidth="1"/>
    <col min="6" max="6" width="23.28515625" bestFit="1" customWidth="1"/>
    <col min="7" max="7" width="32" bestFit="1" customWidth="1"/>
  </cols>
  <sheetData>
    <row r="1" spans="1:7" x14ac:dyDescent="0.25">
      <c r="A1" s="27" t="s">
        <v>2</v>
      </c>
      <c r="B1" s="9" t="s">
        <v>443</v>
      </c>
      <c r="E1" s="12" t="s">
        <v>438</v>
      </c>
      <c r="F1" s="12" t="s">
        <v>440</v>
      </c>
      <c r="G1" s="12" t="s">
        <v>442</v>
      </c>
    </row>
    <row r="2" spans="1:7" x14ac:dyDescent="0.25">
      <c r="E2" s="9" t="s">
        <v>30</v>
      </c>
      <c r="F2" s="9">
        <v>1361113.315829301</v>
      </c>
      <c r="G2" s="9">
        <v>29395528</v>
      </c>
    </row>
    <row r="3" spans="1:7" x14ac:dyDescent="0.25">
      <c r="A3" s="27" t="s">
        <v>438</v>
      </c>
      <c r="B3" s="9" t="s">
        <v>440</v>
      </c>
      <c r="C3" s="9" t="s">
        <v>442</v>
      </c>
      <c r="E3" s="9" t="s">
        <v>7</v>
      </c>
      <c r="F3" s="9">
        <v>946514.48503819993</v>
      </c>
      <c r="G3" s="9">
        <v>18553960</v>
      </c>
    </row>
    <row r="4" spans="1:7" x14ac:dyDescent="0.25">
      <c r="A4" s="9" t="s">
        <v>30</v>
      </c>
      <c r="B4" s="52">
        <v>1361113.315829301</v>
      </c>
      <c r="C4" s="52">
        <v>29395528</v>
      </c>
      <c r="E4" s="9" t="s">
        <v>12</v>
      </c>
      <c r="F4" s="9">
        <v>816074.60924589948</v>
      </c>
      <c r="G4" s="9">
        <v>16508296</v>
      </c>
    </row>
    <row r="5" spans="1:7" x14ac:dyDescent="0.25">
      <c r="A5" s="9" t="s">
        <v>7</v>
      </c>
      <c r="B5" s="52">
        <v>946514.48503819993</v>
      </c>
      <c r="C5" s="52">
        <v>18553960</v>
      </c>
      <c r="E5" s="9" t="s">
        <v>17</v>
      </c>
      <c r="F5" s="9">
        <v>964689.58790669881</v>
      </c>
      <c r="G5" s="9">
        <v>20229730</v>
      </c>
    </row>
    <row r="6" spans="1:7" x14ac:dyDescent="0.25">
      <c r="A6" s="9" t="s">
        <v>12</v>
      </c>
      <c r="B6" s="52">
        <v>816074.60924589948</v>
      </c>
      <c r="C6" s="52">
        <v>16508296</v>
      </c>
      <c r="E6" s="9" t="s">
        <v>19</v>
      </c>
      <c r="F6" s="9">
        <v>1128000.0688469009</v>
      </c>
      <c r="G6" s="9">
        <v>24049193</v>
      </c>
    </row>
    <row r="7" spans="1:7" x14ac:dyDescent="0.25">
      <c r="A7" s="9" t="s">
        <v>17</v>
      </c>
      <c r="B7" s="52">
        <v>964689.58790669881</v>
      </c>
      <c r="C7" s="52">
        <v>20229730</v>
      </c>
      <c r="E7" s="13" t="s">
        <v>439</v>
      </c>
      <c r="F7" s="13">
        <v>5216392.0668669995</v>
      </c>
      <c r="G7" s="13">
        <v>108736707</v>
      </c>
    </row>
    <row r="8" spans="1:7" x14ac:dyDescent="0.25">
      <c r="A8" s="9" t="s">
        <v>19</v>
      </c>
      <c r="B8" s="52">
        <v>1128000.0688469009</v>
      </c>
      <c r="C8" s="52">
        <v>24049193</v>
      </c>
    </row>
    <row r="9" spans="1:7" x14ac:dyDescent="0.25">
      <c r="A9" s="9" t="s">
        <v>439</v>
      </c>
      <c r="B9" s="52">
        <v>5216392.0668669995</v>
      </c>
      <c r="C9" s="52">
        <v>108736707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Emission Data</vt:lpstr>
      <vt:lpstr>Operational Data</vt:lpstr>
      <vt:lpstr>Supplier Data</vt:lpstr>
      <vt:lpstr>Regulatory Benchmarks</vt:lpstr>
      <vt:lpstr>Emission Data (2)</vt:lpstr>
      <vt:lpstr>Dashboard</vt:lpstr>
      <vt:lpstr>Quarterly Emission Trends by Fa</vt:lpstr>
      <vt:lpstr>Facility Emissions Comparison (</vt:lpstr>
      <vt:lpstr>Contribution of Scope</vt:lpstr>
      <vt:lpstr>Energy Consumption Trend</vt:lpstr>
      <vt:lpstr>Production Efficiency</vt:lpstr>
      <vt:lpstr>Sheet1</vt:lpstr>
      <vt:lpstr>Scatter Plot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Som</dc:creator>
  <cp:lastModifiedBy>Akshay Som</cp:lastModifiedBy>
  <dcterms:created xsi:type="dcterms:W3CDTF">2025-05-10T02:54:51Z</dcterms:created>
  <dcterms:modified xsi:type="dcterms:W3CDTF">2025-05-11T12:56:50Z</dcterms:modified>
</cp:coreProperties>
</file>